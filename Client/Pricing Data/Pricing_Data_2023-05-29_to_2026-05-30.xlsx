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 Close Prices" sheetId="1" state="visible" r:id="rId1"/>
    <sheet name="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0.0000"/>
    <numFmt numFmtId="168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i val="1"/>
      <color rgb="00666666"/>
      <sz val="9"/>
    </font>
    <font>
      <name val="Calibri"/>
      <b val="1"/>
      <color rgb="001F3864"/>
      <sz val="14"/>
    </font>
    <font>
      <name val="Calibri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8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167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8640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IVV</t>
        </is>
      </c>
      <c r="C1" s="1" t="inlineStr">
        <is>
          <t>ARCC</t>
        </is>
      </c>
      <c r="D1" s="1" t="inlineStr">
        <is>
          <t>TSLX</t>
        </is>
      </c>
      <c r="E1" s="1" t="inlineStr">
        <is>
          <t>BXSL</t>
        </is>
      </c>
      <c r="F1" s="1" t="inlineStr">
        <is>
          <t>JPST</t>
        </is>
      </c>
      <c r="G1" s="1" t="inlineStr">
        <is>
          <t>S&amp;P 500</t>
        </is>
      </c>
    </row>
    <row r="2">
      <c r="A2" s="2" t="n">
        <v>45076</v>
      </c>
      <c r="B2" s="3" t="n">
        <v>405.21</v>
      </c>
      <c r="C2" s="3" t="n">
        <v>14.23</v>
      </c>
      <c r="D2" s="3" t="n">
        <v>13.69</v>
      </c>
      <c r="E2" s="3" t="n">
        <v>18.6</v>
      </c>
      <c r="F2" s="3" t="n">
        <v>43.48</v>
      </c>
      <c r="G2" s="3" t="n">
        <v>4205.52</v>
      </c>
    </row>
    <row r="3">
      <c r="A3" s="2" t="n">
        <v>45077</v>
      </c>
      <c r="B3" s="3" t="n">
        <v>402.71</v>
      </c>
      <c r="C3" s="3" t="n">
        <v>14.13</v>
      </c>
      <c r="D3" s="3" t="n">
        <v>13.62</v>
      </c>
      <c r="E3" s="3" t="n">
        <v>18.62</v>
      </c>
      <c r="F3" s="3" t="n">
        <v>43.51</v>
      </c>
      <c r="G3" s="3" t="n">
        <v>4179.83</v>
      </c>
    </row>
    <row r="4">
      <c r="A4" s="2" t="n">
        <v>45078</v>
      </c>
      <c r="B4" s="3" t="n">
        <v>406.86</v>
      </c>
      <c r="C4" s="3" t="n">
        <v>14.34</v>
      </c>
      <c r="D4" s="3" t="n">
        <v>13.96</v>
      </c>
      <c r="E4" s="3" t="n">
        <v>18.65</v>
      </c>
      <c r="F4" s="3" t="n">
        <v>43.53</v>
      </c>
      <c r="G4" s="3" t="n">
        <v>4221.02</v>
      </c>
    </row>
    <row r="5">
      <c r="A5" s="2" t="n">
        <v>45079</v>
      </c>
      <c r="B5" s="3" t="n">
        <v>412.66</v>
      </c>
      <c r="C5" s="3" t="n">
        <v>14.39</v>
      </c>
      <c r="D5" s="3" t="n">
        <v>13.95</v>
      </c>
      <c r="E5" s="3" t="n">
        <v>18.87</v>
      </c>
      <c r="F5" s="3" t="n">
        <v>43.52</v>
      </c>
      <c r="G5" s="3" t="n">
        <v>4282.37</v>
      </c>
    </row>
    <row r="6">
      <c r="A6" s="2" t="n">
        <v>45082</v>
      </c>
      <c r="B6" s="3" t="n">
        <v>411.95</v>
      </c>
      <c r="C6" s="3" t="n">
        <v>14.38</v>
      </c>
      <c r="D6" s="3" t="n">
        <v>14.08</v>
      </c>
      <c r="E6" s="3" t="n">
        <v>18.98</v>
      </c>
      <c r="F6" s="3" t="n">
        <v>43.53</v>
      </c>
      <c r="G6" s="3" t="n">
        <v>4273.79</v>
      </c>
    </row>
    <row r="7">
      <c r="A7" s="2" t="n">
        <v>45083</v>
      </c>
      <c r="B7" s="3" t="n">
        <v>412.82</v>
      </c>
      <c r="C7" s="3" t="n">
        <v>14.38</v>
      </c>
      <c r="D7" s="3" t="n">
        <v>14.06</v>
      </c>
      <c r="E7" s="3" t="n">
        <v>18.96</v>
      </c>
      <c r="F7" s="3" t="n">
        <v>43.52</v>
      </c>
      <c r="G7" s="3" t="n">
        <v>4283.85</v>
      </c>
    </row>
    <row r="8">
      <c r="A8" s="2" t="n">
        <v>45084</v>
      </c>
      <c r="B8" s="3" t="n">
        <v>411.46</v>
      </c>
      <c r="C8" s="3" t="n">
        <v>14.35</v>
      </c>
      <c r="D8" s="3" t="n">
        <v>14.15</v>
      </c>
      <c r="E8" s="3" t="n">
        <v>19.03</v>
      </c>
      <c r="F8" s="3" t="n">
        <v>43.52</v>
      </c>
      <c r="G8" s="3" t="n">
        <v>4267.52</v>
      </c>
    </row>
    <row r="9">
      <c r="A9" s="2" t="n">
        <v>45085</v>
      </c>
      <c r="B9" s="3" t="n">
        <v>413.84</v>
      </c>
      <c r="C9" s="3" t="n">
        <v>14.38</v>
      </c>
      <c r="D9" s="3" t="n">
        <v>14.17</v>
      </c>
      <c r="E9" s="3" t="n">
        <v>18.96</v>
      </c>
      <c r="F9" s="3" t="n">
        <v>43.54</v>
      </c>
      <c r="G9" s="3" t="n">
        <v>4293.93</v>
      </c>
    </row>
    <row r="10">
      <c r="A10" s="2" t="n">
        <v>45086</v>
      </c>
      <c r="B10" s="3" t="n">
        <v>414.67</v>
      </c>
      <c r="C10" s="3" t="n">
        <v>14.41</v>
      </c>
      <c r="D10" s="3" t="n">
        <v>14.17</v>
      </c>
      <c r="E10" s="3" t="n">
        <v>18.91</v>
      </c>
      <c r="F10" s="3" t="n">
        <v>43.54</v>
      </c>
      <c r="G10" s="3" t="n">
        <v>4298.86</v>
      </c>
    </row>
    <row r="11">
      <c r="A11" s="2" t="n">
        <v>45089</v>
      </c>
      <c r="B11" s="3" t="n">
        <v>418.43</v>
      </c>
      <c r="C11" s="3" t="n">
        <v>14.36</v>
      </c>
      <c r="D11" s="3" t="n">
        <v>14.3</v>
      </c>
      <c r="E11" s="3" t="n">
        <v>19</v>
      </c>
      <c r="F11" s="3" t="n">
        <v>43.53</v>
      </c>
      <c r="G11" s="3" t="n">
        <v>4338.93</v>
      </c>
    </row>
    <row r="12">
      <c r="A12" s="2" t="n">
        <v>45090</v>
      </c>
      <c r="B12" s="3" t="n">
        <v>421.17</v>
      </c>
      <c r="C12" s="3" t="n">
        <v>14.36</v>
      </c>
      <c r="D12" s="3" t="n">
        <v>14.34</v>
      </c>
      <c r="E12" s="3" t="n">
        <v>19.2</v>
      </c>
      <c r="F12" s="3" t="n">
        <v>43.53</v>
      </c>
      <c r="G12" s="3" t="n">
        <v>4369.01</v>
      </c>
    </row>
    <row r="13">
      <c r="A13" s="2" t="n">
        <v>45091</v>
      </c>
      <c r="B13" s="3" t="n">
        <v>421.66</v>
      </c>
      <c r="C13" s="3" t="n">
        <v>14.33</v>
      </c>
      <c r="D13" s="3" t="n">
        <v>14.25</v>
      </c>
      <c r="E13" s="3" t="n">
        <v>19.02</v>
      </c>
      <c r="F13" s="3" t="n">
        <v>43.52</v>
      </c>
      <c r="G13" s="3" t="n">
        <v>4372.59</v>
      </c>
    </row>
    <row r="14">
      <c r="A14" s="2" t="n">
        <v>45092</v>
      </c>
      <c r="B14" s="3" t="n">
        <v>426.87</v>
      </c>
      <c r="C14" s="3" t="n">
        <v>14.42</v>
      </c>
      <c r="D14" s="3" t="n">
        <v>14.22</v>
      </c>
      <c r="E14" s="3" t="n">
        <v>19</v>
      </c>
      <c r="F14" s="3" t="n">
        <v>43.55</v>
      </c>
      <c r="G14" s="3" t="n">
        <v>4425.84</v>
      </c>
    </row>
    <row r="15">
      <c r="A15" s="2" t="n">
        <v>45093</v>
      </c>
      <c r="B15" s="3" t="n">
        <v>425.35</v>
      </c>
      <c r="C15" s="3" t="n">
        <v>14.44</v>
      </c>
      <c r="D15" s="3" t="n">
        <v>14.35</v>
      </c>
      <c r="E15" s="3" t="n">
        <v>18.83</v>
      </c>
      <c r="F15" s="3" t="n">
        <v>43.56</v>
      </c>
      <c r="G15" s="3" t="n">
        <v>4409.59</v>
      </c>
    </row>
    <row r="16">
      <c r="A16" s="2" t="n">
        <v>45097</v>
      </c>
      <c r="B16" s="3" t="n">
        <v>423.33</v>
      </c>
      <c r="C16" s="3" t="n">
        <v>14.33</v>
      </c>
      <c r="D16" s="3" t="n">
        <v>14.31</v>
      </c>
      <c r="E16" s="3" t="n">
        <v>19.1</v>
      </c>
      <c r="F16" s="3" t="n">
        <v>43.57</v>
      </c>
      <c r="G16" s="3" t="n">
        <v>4388.71</v>
      </c>
    </row>
    <row r="17">
      <c r="A17" s="2" t="n">
        <v>45098</v>
      </c>
      <c r="B17" s="3" t="n">
        <v>421.1</v>
      </c>
      <c r="C17" s="3" t="n">
        <v>14.37</v>
      </c>
      <c r="D17" s="3" t="n">
        <v>14.31</v>
      </c>
      <c r="E17" s="3" t="n">
        <v>19.61</v>
      </c>
      <c r="F17" s="3" t="n">
        <v>43.57</v>
      </c>
      <c r="G17" s="3" t="n">
        <v>4365.69</v>
      </c>
    </row>
    <row r="18">
      <c r="A18" s="2" t="n">
        <v>45099</v>
      </c>
      <c r="B18" s="3" t="n">
        <v>422.62</v>
      </c>
      <c r="C18" s="3" t="n">
        <v>14.05</v>
      </c>
      <c r="D18" s="3" t="n">
        <v>14.07</v>
      </c>
      <c r="E18" s="3" t="n">
        <v>19.58</v>
      </c>
      <c r="F18" s="3" t="n">
        <v>43.58</v>
      </c>
      <c r="G18" s="3" t="n">
        <v>4381.89</v>
      </c>
    </row>
    <row r="19">
      <c r="A19" s="2" t="n">
        <v>45100</v>
      </c>
      <c r="B19" s="3" t="n">
        <v>419.4</v>
      </c>
      <c r="C19" s="3" t="n">
        <v>13.93</v>
      </c>
      <c r="D19" s="3" t="n">
        <v>13.89</v>
      </c>
      <c r="E19" s="3" t="n">
        <v>19.65</v>
      </c>
      <c r="F19" s="3" t="n">
        <v>43.59</v>
      </c>
      <c r="G19" s="3" t="n">
        <v>4348.33</v>
      </c>
    </row>
    <row r="20">
      <c r="A20" s="2" t="n">
        <v>45103</v>
      </c>
      <c r="B20" s="3" t="n">
        <v>417.63</v>
      </c>
      <c r="C20" s="3" t="n">
        <v>14.13</v>
      </c>
      <c r="D20" s="3" t="n">
        <v>14</v>
      </c>
      <c r="E20" s="3" t="n">
        <v>19.79</v>
      </c>
      <c r="F20" s="3" t="n">
        <v>43.61</v>
      </c>
      <c r="G20" s="3" t="n">
        <v>4328.82</v>
      </c>
    </row>
    <row r="21">
      <c r="A21" s="2" t="n">
        <v>45104</v>
      </c>
      <c r="B21" s="3" t="n">
        <v>422.26</v>
      </c>
      <c r="C21" s="3" t="n">
        <v>14.13</v>
      </c>
      <c r="D21" s="3" t="n">
        <v>14.04</v>
      </c>
      <c r="E21" s="3" t="n">
        <v>19.9</v>
      </c>
      <c r="F21" s="3" t="n">
        <v>43.6</v>
      </c>
      <c r="G21" s="3" t="n">
        <v>4378.41</v>
      </c>
    </row>
    <row r="22">
      <c r="A22" s="2" t="n">
        <v>45105</v>
      </c>
      <c r="B22" s="3" t="n">
        <v>422.39</v>
      </c>
      <c r="C22" s="3" t="n">
        <v>14.4</v>
      </c>
      <c r="D22" s="3" t="n">
        <v>14.13</v>
      </c>
      <c r="E22" s="3" t="n">
        <v>19.99</v>
      </c>
      <c r="F22" s="3" t="n">
        <v>43.61</v>
      </c>
      <c r="G22" s="3" t="n">
        <v>4376.86</v>
      </c>
    </row>
    <row r="23">
      <c r="A23" s="2" t="n">
        <v>45106</v>
      </c>
      <c r="B23" s="3" t="n">
        <v>424.08</v>
      </c>
      <c r="C23" s="3" t="n">
        <v>14.54</v>
      </c>
      <c r="D23" s="3" t="n">
        <v>14.34</v>
      </c>
      <c r="E23" s="3" t="n">
        <v>20.28</v>
      </c>
      <c r="F23" s="3" t="n">
        <v>43.6</v>
      </c>
      <c r="G23" s="3" t="n">
        <v>4396.44</v>
      </c>
    </row>
    <row r="24">
      <c r="A24" s="2" t="n">
        <v>45107</v>
      </c>
      <c r="B24" s="3" t="n">
        <v>429.28</v>
      </c>
      <c r="C24" s="3" t="n">
        <v>14.53</v>
      </c>
      <c r="D24" s="3" t="n">
        <v>14.33</v>
      </c>
      <c r="E24" s="3" t="n">
        <v>20.4</v>
      </c>
      <c r="F24" s="3" t="n">
        <v>43.61</v>
      </c>
      <c r="G24" s="3" t="n">
        <v>4450.38</v>
      </c>
    </row>
    <row r="25">
      <c r="A25" s="2" t="n">
        <v>45110</v>
      </c>
      <c r="B25" s="3" t="n">
        <v>429.89</v>
      </c>
      <c r="C25" s="3" t="n">
        <v>14.6</v>
      </c>
      <c r="D25" s="3" t="n">
        <v>14.35</v>
      </c>
      <c r="E25" s="3" t="n">
        <v>20.18</v>
      </c>
      <c r="F25" s="3" t="n">
        <v>43.61</v>
      </c>
      <c r="G25" s="3" t="n">
        <v>4455.59</v>
      </c>
    </row>
    <row r="26">
      <c r="A26" s="2" t="n">
        <v>45112</v>
      </c>
      <c r="B26" s="3" t="n">
        <v>429.15</v>
      </c>
      <c r="C26" s="3" t="n">
        <v>14.58</v>
      </c>
      <c r="D26" s="3" t="n">
        <v>14.36</v>
      </c>
      <c r="E26" s="3" t="n">
        <v>20.14</v>
      </c>
      <c r="F26" s="3" t="n">
        <v>43.63</v>
      </c>
      <c r="G26" s="3" t="n">
        <v>4446.82</v>
      </c>
    </row>
    <row r="27">
      <c r="A27" s="2" t="n">
        <v>45113</v>
      </c>
      <c r="B27" s="3" t="n">
        <v>425.64</v>
      </c>
      <c r="C27" s="3" t="n">
        <v>14.67</v>
      </c>
      <c r="D27" s="3" t="n">
        <v>14.35</v>
      </c>
      <c r="E27" s="3" t="n">
        <v>20.13</v>
      </c>
      <c r="F27" s="3" t="n">
        <v>43.62</v>
      </c>
      <c r="G27" s="3" t="n">
        <v>4411.59</v>
      </c>
    </row>
    <row r="28">
      <c r="A28" s="2" t="n">
        <v>45114</v>
      </c>
      <c r="B28" s="3" t="n">
        <v>424.55</v>
      </c>
      <c r="C28" s="3" t="n">
        <v>14.75</v>
      </c>
      <c r="D28" s="3" t="n">
        <v>14.43</v>
      </c>
      <c r="E28" s="3" t="n">
        <v>20.12</v>
      </c>
      <c r="F28" s="3" t="n">
        <v>43.64</v>
      </c>
      <c r="G28" s="3" t="n">
        <v>4398.95</v>
      </c>
    </row>
    <row r="29">
      <c r="A29" s="2" t="n">
        <v>45117</v>
      </c>
      <c r="B29" s="3" t="n">
        <v>425.67</v>
      </c>
      <c r="C29" s="3" t="n">
        <v>14.74</v>
      </c>
      <c r="D29" s="3" t="n">
        <v>14.48</v>
      </c>
      <c r="E29" s="3" t="n">
        <v>19.88</v>
      </c>
      <c r="F29" s="3" t="n">
        <v>43.67</v>
      </c>
      <c r="G29" s="3" t="n">
        <v>4409.53</v>
      </c>
    </row>
    <row r="30">
      <c r="A30" s="2" t="n">
        <v>45118</v>
      </c>
      <c r="B30" s="3" t="n">
        <v>428.54</v>
      </c>
      <c r="C30" s="3" t="n">
        <v>14.78</v>
      </c>
      <c r="D30" s="3" t="n">
        <v>14.48</v>
      </c>
      <c r="E30" s="3" t="n">
        <v>20.16</v>
      </c>
      <c r="F30" s="3" t="n">
        <v>43.68</v>
      </c>
      <c r="G30" s="3" t="n">
        <v>4439.26</v>
      </c>
    </row>
    <row r="31">
      <c r="A31" s="2" t="n">
        <v>45119</v>
      </c>
      <c r="B31" s="3" t="n">
        <v>431.75</v>
      </c>
      <c r="C31" s="3" t="n">
        <v>14.9</v>
      </c>
      <c r="D31" s="3" t="n">
        <v>14.52</v>
      </c>
      <c r="E31" s="3" t="n">
        <v>20.46</v>
      </c>
      <c r="F31" s="3" t="n">
        <v>43.72</v>
      </c>
      <c r="G31" s="3" t="n">
        <v>4472.16</v>
      </c>
    </row>
    <row r="32">
      <c r="A32" s="2" t="n">
        <v>45120</v>
      </c>
      <c r="B32" s="3" t="n">
        <v>435.43</v>
      </c>
      <c r="C32" s="3" t="n">
        <v>14.94</v>
      </c>
      <c r="D32" s="3" t="n">
        <v>14.7</v>
      </c>
      <c r="E32" s="3" t="n">
        <v>20.36</v>
      </c>
      <c r="F32" s="3" t="n">
        <v>43.75</v>
      </c>
      <c r="G32" s="3" t="n">
        <v>4510.04</v>
      </c>
    </row>
    <row r="33">
      <c r="A33" s="2" t="n">
        <v>45121</v>
      </c>
      <c r="B33" s="3" t="n">
        <v>435</v>
      </c>
      <c r="C33" s="3" t="n">
        <v>14.84</v>
      </c>
      <c r="D33" s="3" t="n">
        <v>14.7</v>
      </c>
      <c r="E33" s="3" t="n">
        <v>20.63</v>
      </c>
      <c r="F33" s="3" t="n">
        <v>43.74</v>
      </c>
      <c r="G33" s="3" t="n">
        <v>4505.42</v>
      </c>
    </row>
    <row r="34">
      <c r="A34" s="2" t="n">
        <v>45124</v>
      </c>
      <c r="B34" s="3" t="n">
        <v>436.62</v>
      </c>
      <c r="C34" s="3" t="n">
        <v>14.95</v>
      </c>
      <c r="D34" s="3" t="n">
        <v>14.91</v>
      </c>
      <c r="E34" s="3" t="n">
        <v>20.58</v>
      </c>
      <c r="F34" s="3" t="n">
        <v>43.74</v>
      </c>
      <c r="G34" s="3" t="n">
        <v>4522.79</v>
      </c>
    </row>
    <row r="35">
      <c r="A35" s="2" t="n">
        <v>45125</v>
      </c>
      <c r="B35" s="3" t="n">
        <v>439.78</v>
      </c>
      <c r="C35" s="3" t="n">
        <v>15.17</v>
      </c>
      <c r="D35" s="3" t="n">
        <v>15.12</v>
      </c>
      <c r="E35" s="3" t="n">
        <v>20.76</v>
      </c>
      <c r="F35" s="3" t="n">
        <v>43.76</v>
      </c>
      <c r="G35" s="3" t="n">
        <v>4554.98</v>
      </c>
    </row>
    <row r="36">
      <c r="A36" s="2" t="n">
        <v>45126</v>
      </c>
      <c r="B36" s="3" t="n">
        <v>440.59</v>
      </c>
      <c r="C36" s="3" t="n">
        <v>15.17</v>
      </c>
      <c r="D36" s="3" t="n">
        <v>15.1</v>
      </c>
      <c r="E36" s="3" t="n">
        <v>20.52</v>
      </c>
      <c r="F36" s="3" t="n">
        <v>43.78</v>
      </c>
      <c r="G36" s="3" t="n">
        <v>4565.72</v>
      </c>
    </row>
    <row r="37">
      <c r="A37" s="2" t="n">
        <v>45127</v>
      </c>
      <c r="B37" s="3" t="n">
        <v>437.85</v>
      </c>
      <c r="C37" s="3" t="n">
        <v>15.05</v>
      </c>
      <c r="D37" s="3" t="n">
        <v>15.01</v>
      </c>
      <c r="E37" s="3" t="n">
        <v>20.6</v>
      </c>
      <c r="F37" s="3" t="n">
        <v>43.77</v>
      </c>
      <c r="G37" s="3" t="n">
        <v>4534.87</v>
      </c>
    </row>
    <row r="38">
      <c r="A38" s="2" t="n">
        <v>45128</v>
      </c>
      <c r="B38" s="3" t="n">
        <v>437.84</v>
      </c>
      <c r="C38" s="3" t="n">
        <v>15.09</v>
      </c>
      <c r="D38" s="3" t="n">
        <v>15.06</v>
      </c>
      <c r="E38" s="3" t="n">
        <v>20.77</v>
      </c>
      <c r="F38" s="3" t="n">
        <v>43.76</v>
      </c>
      <c r="G38" s="3" t="n">
        <v>4536.34</v>
      </c>
    </row>
    <row r="39">
      <c r="A39" s="2" t="n">
        <v>45131</v>
      </c>
      <c r="B39" s="3" t="n">
        <v>439.77</v>
      </c>
      <c r="C39" s="3" t="n">
        <v>15.17</v>
      </c>
      <c r="D39" s="3" t="n">
        <v>15.17</v>
      </c>
      <c r="E39" s="3" t="n">
        <v>20.97</v>
      </c>
      <c r="F39" s="3" t="n">
        <v>43.78</v>
      </c>
      <c r="G39" s="3" t="n">
        <v>4554.64</v>
      </c>
    </row>
    <row r="40">
      <c r="A40" s="2" t="n">
        <v>45132</v>
      </c>
      <c r="B40" s="3" t="n">
        <v>440.96</v>
      </c>
      <c r="C40" s="3" t="n">
        <v>15.01</v>
      </c>
      <c r="D40" s="3" t="n">
        <v>15.09</v>
      </c>
      <c r="E40" s="3" t="n">
        <v>20.82</v>
      </c>
      <c r="F40" s="3" t="n">
        <v>43.79</v>
      </c>
      <c r="G40" s="3" t="n">
        <v>4567.46</v>
      </c>
    </row>
    <row r="41">
      <c r="A41" s="2" t="n">
        <v>45133</v>
      </c>
      <c r="B41" s="3" t="n">
        <v>441</v>
      </c>
      <c r="C41" s="3" t="n">
        <v>15.32</v>
      </c>
      <c r="D41" s="3" t="n">
        <v>15.3</v>
      </c>
      <c r="E41" s="3" t="n">
        <v>21.25</v>
      </c>
      <c r="F41" s="3" t="n">
        <v>43.81</v>
      </c>
      <c r="G41" s="3" t="n">
        <v>4566.75</v>
      </c>
    </row>
    <row r="42">
      <c r="A42" s="2" t="n">
        <v>45134</v>
      </c>
      <c r="B42" s="3" t="n">
        <v>438.15</v>
      </c>
      <c r="C42" s="3" t="n">
        <v>15.27</v>
      </c>
      <c r="D42" s="3" t="n">
        <v>15.18</v>
      </c>
      <c r="E42" s="3" t="n">
        <v>21.04</v>
      </c>
      <c r="F42" s="3" t="n">
        <v>43.81</v>
      </c>
      <c r="G42" s="3" t="n">
        <v>4537.41</v>
      </c>
    </row>
    <row r="43">
      <c r="A43" s="2" t="n">
        <v>45135</v>
      </c>
      <c r="B43" s="3" t="n">
        <v>442.29</v>
      </c>
      <c r="C43" s="3" t="n">
        <v>15.12</v>
      </c>
      <c r="D43" s="3" t="n">
        <v>15.23</v>
      </c>
      <c r="E43" s="3" t="n">
        <v>21.29</v>
      </c>
      <c r="F43" s="3" t="n">
        <v>43.82</v>
      </c>
      <c r="G43" s="3" t="n">
        <v>4582.23</v>
      </c>
    </row>
    <row r="44">
      <c r="A44" s="2" t="n">
        <v>45138</v>
      </c>
      <c r="B44" s="3" t="n">
        <v>443.21</v>
      </c>
      <c r="C44" s="3" t="n">
        <v>15.15</v>
      </c>
      <c r="D44" s="3" t="n">
        <v>15.25</v>
      </c>
      <c r="E44" s="3" t="n">
        <v>21.2</v>
      </c>
      <c r="F44" s="3" t="n">
        <v>43.84</v>
      </c>
      <c r="G44" s="3" t="n">
        <v>4588.96</v>
      </c>
    </row>
    <row r="45">
      <c r="A45" s="2" t="n">
        <v>45139</v>
      </c>
      <c r="B45" s="3" t="n">
        <v>441.98</v>
      </c>
      <c r="C45" s="3" t="n">
        <v>15.1</v>
      </c>
      <c r="D45" s="3" t="n">
        <v>15.36</v>
      </c>
      <c r="E45" s="3" t="n">
        <v>21.08</v>
      </c>
      <c r="F45" s="3" t="n">
        <v>43.84</v>
      </c>
      <c r="G45" s="3" t="n">
        <v>4576.73</v>
      </c>
    </row>
    <row r="46">
      <c r="A46" s="2" t="n">
        <v>45140</v>
      </c>
      <c r="B46" s="3" t="n">
        <v>435.81</v>
      </c>
      <c r="C46" s="3" t="n">
        <v>14.98</v>
      </c>
      <c r="D46" s="3" t="n">
        <v>15.34</v>
      </c>
      <c r="E46" s="3" t="n">
        <v>20.91</v>
      </c>
      <c r="F46" s="3" t="n">
        <v>43.86</v>
      </c>
      <c r="G46" s="3" t="n">
        <v>4513.39</v>
      </c>
    </row>
    <row r="47">
      <c r="A47" s="2" t="n">
        <v>45141</v>
      </c>
      <c r="B47" s="3" t="n">
        <v>434.55</v>
      </c>
      <c r="C47" s="3" t="n">
        <v>15.08</v>
      </c>
      <c r="D47" s="3" t="n">
        <v>15.37</v>
      </c>
      <c r="E47" s="3" t="n">
        <v>20.7</v>
      </c>
      <c r="F47" s="3" t="n">
        <v>43.87</v>
      </c>
      <c r="G47" s="3" t="n">
        <v>4501.89</v>
      </c>
    </row>
    <row r="48">
      <c r="A48" s="2" t="n">
        <v>45142</v>
      </c>
      <c r="B48" s="3" t="n">
        <v>432.53</v>
      </c>
      <c r="C48" s="3" t="n">
        <v>15.12</v>
      </c>
      <c r="D48" s="3" t="n">
        <v>16.03</v>
      </c>
      <c r="E48" s="3" t="n">
        <v>21.08</v>
      </c>
      <c r="F48" s="3" t="n">
        <v>43.89</v>
      </c>
      <c r="G48" s="3" t="n">
        <v>4478.03</v>
      </c>
    </row>
    <row r="49">
      <c r="A49" s="2" t="n">
        <v>45145</v>
      </c>
      <c r="B49" s="3" t="n">
        <v>436.36</v>
      </c>
      <c r="C49" s="3" t="n">
        <v>15.17</v>
      </c>
      <c r="D49" s="3" t="n">
        <v>15.77</v>
      </c>
      <c r="E49" s="3" t="n">
        <v>21.11</v>
      </c>
      <c r="F49" s="3" t="n">
        <v>43.9</v>
      </c>
      <c r="G49" s="3" t="n">
        <v>4518.44</v>
      </c>
    </row>
    <row r="50">
      <c r="A50" s="2" t="n">
        <v>45146</v>
      </c>
      <c r="B50" s="3" t="n">
        <v>434.53</v>
      </c>
      <c r="C50" s="3" t="n">
        <v>15.18</v>
      </c>
      <c r="D50" s="3" t="n">
        <v>15.72</v>
      </c>
      <c r="E50" s="3" t="n">
        <v>21.17</v>
      </c>
      <c r="F50" s="3" t="n">
        <v>43.91</v>
      </c>
      <c r="G50" s="3" t="n">
        <v>4499.38</v>
      </c>
    </row>
    <row r="51">
      <c r="A51" s="2" t="n">
        <v>45147</v>
      </c>
      <c r="B51" s="3" t="n">
        <v>431.59</v>
      </c>
      <c r="C51" s="3" t="n">
        <v>15.12</v>
      </c>
      <c r="D51" s="3" t="n">
        <v>15.64</v>
      </c>
      <c r="E51" s="3" t="n">
        <v>21.45</v>
      </c>
      <c r="F51" s="3" t="n">
        <v>43.91</v>
      </c>
      <c r="G51" s="3" t="n">
        <v>4467.71</v>
      </c>
    </row>
    <row r="52">
      <c r="A52" s="2" t="n">
        <v>45148</v>
      </c>
      <c r="B52" s="3" t="n">
        <v>431.78</v>
      </c>
      <c r="C52" s="3" t="n">
        <v>15.12</v>
      </c>
      <c r="D52" s="3" t="n">
        <v>15.55</v>
      </c>
      <c r="E52" s="3" t="n">
        <v>20.2</v>
      </c>
      <c r="F52" s="3" t="n">
        <v>43.91</v>
      </c>
      <c r="G52" s="3" t="n">
        <v>4468.83</v>
      </c>
    </row>
    <row r="53">
      <c r="A53" s="2" t="n">
        <v>45149</v>
      </c>
      <c r="B53" s="3" t="n">
        <v>431.52</v>
      </c>
      <c r="C53" s="3" t="n">
        <v>15.11</v>
      </c>
      <c r="D53" s="3" t="n">
        <v>15.57</v>
      </c>
      <c r="E53" s="3" t="n">
        <v>20.28</v>
      </c>
      <c r="F53" s="3" t="n">
        <v>43.92</v>
      </c>
      <c r="G53" s="3" t="n">
        <v>4464.05</v>
      </c>
    </row>
    <row r="54">
      <c r="A54" s="2" t="n">
        <v>45152</v>
      </c>
      <c r="B54" s="3" t="n">
        <v>433.83</v>
      </c>
      <c r="C54" s="3" t="n">
        <v>15.11</v>
      </c>
      <c r="D54" s="3" t="n">
        <v>15.66</v>
      </c>
      <c r="E54" s="3" t="n">
        <v>20.36</v>
      </c>
      <c r="F54" s="3" t="n">
        <v>43.92</v>
      </c>
      <c r="G54" s="3" t="n">
        <v>4489.72</v>
      </c>
    </row>
    <row r="55">
      <c r="A55" s="2" t="n">
        <v>45153</v>
      </c>
      <c r="B55" s="3" t="n">
        <v>428.92</v>
      </c>
      <c r="C55" s="3" t="n">
        <v>14.96</v>
      </c>
      <c r="D55" s="3" t="n">
        <v>15.55</v>
      </c>
      <c r="E55" s="3" t="n">
        <v>20.29</v>
      </c>
      <c r="F55" s="3" t="n">
        <v>43.93</v>
      </c>
      <c r="G55" s="3" t="n">
        <v>4437.86</v>
      </c>
    </row>
    <row r="56">
      <c r="A56" s="2" t="n">
        <v>45154</v>
      </c>
      <c r="B56" s="3" t="n">
        <v>425.71</v>
      </c>
      <c r="C56" s="3" t="n">
        <v>14.93</v>
      </c>
      <c r="D56" s="3" t="n">
        <v>15.5</v>
      </c>
      <c r="E56" s="3" t="n">
        <v>20.46</v>
      </c>
      <c r="F56" s="3" t="n">
        <v>43.92</v>
      </c>
      <c r="G56" s="3" t="n">
        <v>4404.33</v>
      </c>
    </row>
    <row r="57">
      <c r="A57" s="2" t="n">
        <v>45155</v>
      </c>
      <c r="B57" s="3" t="n">
        <v>422.44</v>
      </c>
      <c r="C57" s="3" t="n">
        <v>14.81</v>
      </c>
      <c r="D57" s="3" t="n">
        <v>15.26</v>
      </c>
      <c r="E57" s="3" t="n">
        <v>20.2</v>
      </c>
      <c r="F57" s="3" t="n">
        <v>43.93</v>
      </c>
      <c r="G57" s="3" t="n">
        <v>4370.36</v>
      </c>
    </row>
    <row r="58">
      <c r="A58" s="2" t="n">
        <v>45156</v>
      </c>
      <c r="B58" s="3" t="n">
        <v>422.52</v>
      </c>
      <c r="C58" s="3" t="n">
        <v>14.91</v>
      </c>
      <c r="D58" s="3" t="n">
        <v>15.42</v>
      </c>
      <c r="E58" s="3" t="n">
        <v>20.29</v>
      </c>
      <c r="F58" s="3" t="n">
        <v>43.95</v>
      </c>
      <c r="G58" s="3" t="n">
        <v>4369.71</v>
      </c>
    </row>
    <row r="59">
      <c r="A59" s="2" t="n">
        <v>45159</v>
      </c>
      <c r="B59" s="3" t="n">
        <v>425.37</v>
      </c>
      <c r="C59" s="3" t="n">
        <v>14.91</v>
      </c>
      <c r="D59" s="3" t="n">
        <v>15.4</v>
      </c>
      <c r="E59" s="3" t="n">
        <v>20.29</v>
      </c>
      <c r="F59" s="3" t="n">
        <v>43.94</v>
      </c>
      <c r="G59" s="3" t="n">
        <v>4399.77</v>
      </c>
    </row>
    <row r="60">
      <c r="A60" s="2" t="n">
        <v>45160</v>
      </c>
      <c r="B60" s="3" t="n">
        <v>424.15</v>
      </c>
      <c r="C60" s="3" t="n">
        <v>14.74</v>
      </c>
      <c r="D60" s="3" t="n">
        <v>15.27</v>
      </c>
      <c r="E60" s="3" t="n">
        <v>20.08</v>
      </c>
      <c r="F60" s="3" t="n">
        <v>43.95</v>
      </c>
      <c r="G60" s="3" t="n">
        <v>4387.55</v>
      </c>
    </row>
    <row r="61">
      <c r="A61" s="2" t="n">
        <v>45161</v>
      </c>
      <c r="B61" s="3" t="n">
        <v>428.83</v>
      </c>
      <c r="C61" s="3" t="n">
        <v>14.83</v>
      </c>
      <c r="D61" s="3" t="n">
        <v>15.27</v>
      </c>
      <c r="E61" s="3" t="n">
        <v>20.25</v>
      </c>
      <c r="F61" s="3" t="n">
        <v>43.98</v>
      </c>
      <c r="G61" s="3" t="n">
        <v>4436.01</v>
      </c>
    </row>
    <row r="62">
      <c r="A62" s="2" t="n">
        <v>45162</v>
      </c>
      <c r="B62" s="3" t="n">
        <v>423.07</v>
      </c>
      <c r="C62" s="3" t="n">
        <v>14.85</v>
      </c>
      <c r="D62" s="3" t="n">
        <v>15.33</v>
      </c>
      <c r="E62" s="3" t="n">
        <v>20.22</v>
      </c>
      <c r="F62" s="3" t="n">
        <v>43.98</v>
      </c>
      <c r="G62" s="3" t="n">
        <v>4376.31</v>
      </c>
    </row>
    <row r="63">
      <c r="A63" s="2" t="n">
        <v>45163</v>
      </c>
      <c r="B63" s="3" t="n">
        <v>426.1</v>
      </c>
      <c r="C63" s="3" t="n">
        <v>14.88</v>
      </c>
      <c r="D63" s="3" t="n">
        <v>15.35</v>
      </c>
      <c r="E63" s="3" t="n">
        <v>20.26</v>
      </c>
      <c r="F63" s="3" t="n">
        <v>43.99</v>
      </c>
      <c r="G63" s="3" t="n">
        <v>4405.71</v>
      </c>
    </row>
    <row r="64">
      <c r="A64" s="2" t="n">
        <v>45166</v>
      </c>
      <c r="B64" s="3" t="n">
        <v>428.67</v>
      </c>
      <c r="C64" s="3" t="n">
        <v>14.97</v>
      </c>
      <c r="D64" s="3" t="n">
        <v>15.42</v>
      </c>
      <c r="E64" s="3" t="n">
        <v>20.47</v>
      </c>
      <c r="F64" s="3" t="n">
        <v>44</v>
      </c>
      <c r="G64" s="3" t="n">
        <v>4433.31</v>
      </c>
    </row>
    <row r="65">
      <c r="A65" s="2" t="n">
        <v>45167</v>
      </c>
      <c r="B65" s="3" t="n">
        <v>434.86</v>
      </c>
      <c r="C65" s="3" t="n">
        <v>15.01</v>
      </c>
      <c r="D65" s="3" t="n">
        <v>15.45</v>
      </c>
      <c r="E65" s="3" t="n">
        <v>20.6</v>
      </c>
      <c r="F65" s="3" t="n">
        <v>44.03</v>
      </c>
      <c r="G65" s="3" t="n">
        <v>4497.63</v>
      </c>
    </row>
    <row r="66">
      <c r="A66" s="2" t="n">
        <v>45168</v>
      </c>
      <c r="B66" s="3" t="n">
        <v>436.77</v>
      </c>
      <c r="C66" s="3" t="n">
        <v>15.04</v>
      </c>
      <c r="D66" s="3" t="n">
        <v>15.51</v>
      </c>
      <c r="E66" s="3" t="n">
        <v>20.54</v>
      </c>
      <c r="F66" s="3" t="n">
        <v>44.04</v>
      </c>
      <c r="G66" s="3" t="n">
        <v>4514.87</v>
      </c>
    </row>
    <row r="67">
      <c r="A67" s="2" t="n">
        <v>45169</v>
      </c>
      <c r="B67" s="3" t="n">
        <v>436</v>
      </c>
      <c r="C67" s="3" t="n">
        <v>15.07</v>
      </c>
      <c r="D67" s="3" t="n">
        <v>15.51</v>
      </c>
      <c r="E67" s="3" t="n">
        <v>20.72</v>
      </c>
      <c r="F67" s="3" t="n">
        <v>44.06</v>
      </c>
      <c r="G67" s="3" t="n">
        <v>4507.66</v>
      </c>
    </row>
    <row r="68">
      <c r="A68" s="2" t="n">
        <v>45170</v>
      </c>
      <c r="B68" s="3" t="n">
        <v>436.92</v>
      </c>
      <c r="C68" s="3" t="n">
        <v>15.08</v>
      </c>
      <c r="D68" s="3" t="n">
        <v>15.59</v>
      </c>
      <c r="E68" s="3" t="n">
        <v>20.9</v>
      </c>
      <c r="F68" s="3" t="n">
        <v>44.07</v>
      </c>
      <c r="G68" s="3" t="n">
        <v>4515.77</v>
      </c>
    </row>
    <row r="69">
      <c r="A69" s="2" t="n">
        <v>45174</v>
      </c>
      <c r="B69" s="3" t="n">
        <v>435.05</v>
      </c>
      <c r="C69" s="3" t="n">
        <v>14.98</v>
      </c>
      <c r="D69" s="3" t="n">
        <v>15.43</v>
      </c>
      <c r="E69" s="3" t="n">
        <v>20.41</v>
      </c>
      <c r="F69" s="3" t="n">
        <v>44.05</v>
      </c>
      <c r="G69" s="3" t="n">
        <v>4496.83</v>
      </c>
    </row>
    <row r="70">
      <c r="A70" s="2" t="n">
        <v>45175</v>
      </c>
      <c r="B70" s="3" t="n">
        <v>432.02</v>
      </c>
      <c r="C70" s="3" t="n">
        <v>14.84</v>
      </c>
      <c r="D70" s="3" t="n">
        <v>15.28</v>
      </c>
      <c r="E70" s="3" t="n">
        <v>20.23</v>
      </c>
      <c r="F70" s="3" t="n">
        <v>44.07</v>
      </c>
      <c r="G70" s="3" t="n">
        <v>4465.48</v>
      </c>
    </row>
    <row r="71">
      <c r="A71" s="2" t="n">
        <v>45176</v>
      </c>
      <c r="B71" s="3" t="n">
        <v>430.83</v>
      </c>
      <c r="C71" s="3" t="n">
        <v>15.01</v>
      </c>
      <c r="D71" s="3" t="n">
        <v>15.42</v>
      </c>
      <c r="E71" s="3" t="n">
        <v>20.31</v>
      </c>
      <c r="F71" s="3" t="n">
        <v>44.09</v>
      </c>
      <c r="G71" s="3" t="n">
        <v>4451.14</v>
      </c>
    </row>
    <row r="72">
      <c r="A72" s="2" t="n">
        <v>45177</v>
      </c>
      <c r="B72" s="3" t="n">
        <v>431.36</v>
      </c>
      <c r="C72" s="3" t="n">
        <v>15.13</v>
      </c>
      <c r="D72" s="3" t="n">
        <v>15.53</v>
      </c>
      <c r="E72" s="3" t="n">
        <v>20.5</v>
      </c>
      <c r="F72" s="3" t="n">
        <v>44.09</v>
      </c>
      <c r="G72" s="3" t="n">
        <v>4457.49</v>
      </c>
    </row>
    <row r="73">
      <c r="A73" s="2" t="n">
        <v>45180</v>
      </c>
      <c r="B73" s="3" t="n">
        <v>434.28</v>
      </c>
      <c r="C73" s="3" t="n">
        <v>15.16</v>
      </c>
      <c r="D73" s="3" t="n">
        <v>15.76</v>
      </c>
      <c r="E73" s="3" t="n">
        <v>20.65</v>
      </c>
      <c r="F73" s="3" t="n">
        <v>44.08</v>
      </c>
      <c r="G73" s="3" t="n">
        <v>4487.46</v>
      </c>
    </row>
    <row r="74">
      <c r="A74" s="2" t="n">
        <v>45181</v>
      </c>
      <c r="B74" s="3" t="n">
        <v>431.93</v>
      </c>
      <c r="C74" s="3" t="n">
        <v>15.17</v>
      </c>
      <c r="D74" s="3" t="n">
        <v>15.76</v>
      </c>
      <c r="E74" s="3" t="n">
        <v>20.74</v>
      </c>
      <c r="F74" s="3" t="n">
        <v>44.1</v>
      </c>
      <c r="G74" s="3" t="n">
        <v>4461.9</v>
      </c>
    </row>
    <row r="75">
      <c r="A75" s="2" t="n">
        <v>45182</v>
      </c>
      <c r="B75" s="3" t="n">
        <v>432.33</v>
      </c>
      <c r="C75" s="3" t="n">
        <v>15.27</v>
      </c>
      <c r="D75" s="3" t="n">
        <v>15.81</v>
      </c>
      <c r="E75" s="3" t="n">
        <v>20.87</v>
      </c>
      <c r="F75" s="3" t="n">
        <v>44.12</v>
      </c>
      <c r="G75" s="3" t="n">
        <v>4467.44</v>
      </c>
    </row>
    <row r="76">
      <c r="A76" s="2" t="n">
        <v>45183</v>
      </c>
      <c r="B76" s="3" t="n">
        <v>436.19</v>
      </c>
      <c r="C76" s="3" t="n">
        <v>15.29</v>
      </c>
      <c r="D76" s="3" t="n">
        <v>15.86</v>
      </c>
      <c r="E76" s="3" t="n">
        <v>20.93</v>
      </c>
      <c r="F76" s="3" t="n">
        <v>44.13</v>
      </c>
      <c r="G76" s="3" t="n">
        <v>4505.1</v>
      </c>
    </row>
    <row r="77">
      <c r="A77" s="2" t="n">
        <v>45184</v>
      </c>
      <c r="B77" s="3" t="n">
        <v>430.57</v>
      </c>
      <c r="C77" s="3" t="n">
        <v>15.27</v>
      </c>
      <c r="D77" s="3" t="n">
        <v>15.98</v>
      </c>
      <c r="E77" s="3" t="n">
        <v>20.9</v>
      </c>
      <c r="F77" s="3" t="n">
        <v>44.13</v>
      </c>
      <c r="G77" s="3" t="n">
        <v>4450.32</v>
      </c>
    </row>
    <row r="78">
      <c r="A78" s="2" t="n">
        <v>45187</v>
      </c>
      <c r="B78" s="3" t="n">
        <v>431.31</v>
      </c>
      <c r="C78" s="3" t="n">
        <v>15.31</v>
      </c>
      <c r="D78" s="3" t="n">
        <v>15.95</v>
      </c>
      <c r="E78" s="3" t="n">
        <v>21.04</v>
      </c>
      <c r="F78" s="3" t="n">
        <v>44.13</v>
      </c>
      <c r="G78" s="3" t="n">
        <v>4453.53</v>
      </c>
    </row>
    <row r="79">
      <c r="A79" s="2" t="n">
        <v>45188</v>
      </c>
      <c r="B79" s="3" t="n">
        <v>430.35</v>
      </c>
      <c r="C79" s="3" t="n">
        <v>15.33</v>
      </c>
      <c r="D79" s="3" t="n">
        <v>16.03</v>
      </c>
      <c r="E79" s="3" t="n">
        <v>21.08</v>
      </c>
      <c r="F79" s="3" t="n">
        <v>44.15</v>
      </c>
      <c r="G79" s="3" t="n">
        <v>4443.95</v>
      </c>
    </row>
    <row r="80">
      <c r="A80" s="2" t="n">
        <v>45189</v>
      </c>
      <c r="B80" s="3" t="n">
        <v>426.27</v>
      </c>
      <c r="C80" s="3" t="n">
        <v>15.3</v>
      </c>
      <c r="D80" s="3" t="n">
        <v>16</v>
      </c>
      <c r="E80" s="3" t="n">
        <v>21.14</v>
      </c>
      <c r="F80" s="3" t="n">
        <v>44.14</v>
      </c>
      <c r="G80" s="3" t="n">
        <v>4402.2</v>
      </c>
    </row>
    <row r="81">
      <c r="A81" s="2" t="n">
        <v>45190</v>
      </c>
      <c r="B81" s="3" t="n">
        <v>419.29</v>
      </c>
      <c r="C81" s="3" t="n">
        <v>15.11</v>
      </c>
      <c r="D81" s="3" t="n">
        <v>15.81</v>
      </c>
      <c r="E81" s="3" t="n">
        <v>20.65</v>
      </c>
      <c r="F81" s="3" t="n">
        <v>44.16</v>
      </c>
      <c r="G81" s="3" t="n">
        <v>4330</v>
      </c>
    </row>
    <row r="82">
      <c r="A82" s="2" t="n">
        <v>45191</v>
      </c>
      <c r="B82" s="3" t="n">
        <v>418.29</v>
      </c>
      <c r="C82" s="3" t="n">
        <v>15.23</v>
      </c>
      <c r="D82" s="3" t="n">
        <v>15.96</v>
      </c>
      <c r="E82" s="3" t="n">
        <v>20.87</v>
      </c>
      <c r="F82" s="3" t="n">
        <v>44.18</v>
      </c>
      <c r="G82" s="3" t="n">
        <v>4320.06</v>
      </c>
    </row>
    <row r="83">
      <c r="A83" s="2" t="n">
        <v>45194</v>
      </c>
      <c r="B83" s="3" t="n">
        <v>420.02</v>
      </c>
      <c r="C83" s="3" t="n">
        <v>15.47</v>
      </c>
      <c r="D83" s="3" t="n">
        <v>16.07</v>
      </c>
      <c r="E83" s="3" t="n">
        <v>21.04</v>
      </c>
      <c r="F83" s="3" t="n">
        <v>44.18</v>
      </c>
      <c r="G83" s="3" t="n">
        <v>4337.44</v>
      </c>
    </row>
    <row r="84">
      <c r="A84" s="2" t="n">
        <v>45195</v>
      </c>
      <c r="B84" s="3" t="n">
        <v>413.87</v>
      </c>
      <c r="C84" s="3" t="n">
        <v>15.23</v>
      </c>
      <c r="D84" s="3" t="n">
        <v>15.84</v>
      </c>
      <c r="E84" s="3" t="n">
        <v>20.95</v>
      </c>
      <c r="F84" s="3" t="n">
        <v>44.18</v>
      </c>
      <c r="G84" s="3" t="n">
        <v>4273.53</v>
      </c>
    </row>
    <row r="85">
      <c r="A85" s="2" t="n">
        <v>45196</v>
      </c>
      <c r="B85" s="3" t="n">
        <v>413.98</v>
      </c>
      <c r="C85" s="3" t="n">
        <v>15.39</v>
      </c>
      <c r="D85" s="3" t="n">
        <v>15.93</v>
      </c>
      <c r="E85" s="3" t="n">
        <v>20.8</v>
      </c>
      <c r="F85" s="3" t="n">
        <v>44.18</v>
      </c>
      <c r="G85" s="3" t="n">
        <v>4274.51</v>
      </c>
    </row>
    <row r="86">
      <c r="A86" s="2" t="n">
        <v>45197</v>
      </c>
      <c r="B86" s="3" t="n">
        <v>416.4</v>
      </c>
      <c r="C86" s="3" t="n">
        <v>15.56</v>
      </c>
      <c r="D86" s="3" t="n">
        <v>16.14</v>
      </c>
      <c r="E86" s="3" t="n">
        <v>21.13</v>
      </c>
      <c r="F86" s="3" t="n">
        <v>44.21</v>
      </c>
      <c r="G86" s="3" t="n">
        <v>4299.7</v>
      </c>
    </row>
    <row r="87">
      <c r="A87" s="2" t="n">
        <v>45198</v>
      </c>
      <c r="B87" s="3" t="n">
        <v>415.49</v>
      </c>
      <c r="C87" s="3" t="n">
        <v>15.42</v>
      </c>
      <c r="D87" s="3" t="n">
        <v>16.08</v>
      </c>
      <c r="E87" s="3" t="n">
        <v>20.98</v>
      </c>
      <c r="F87" s="3" t="n">
        <v>44.19</v>
      </c>
      <c r="G87" s="3" t="n">
        <v>4288.05</v>
      </c>
    </row>
    <row r="88">
      <c r="A88" s="2" t="n">
        <v>45201</v>
      </c>
      <c r="B88" s="3" t="n">
        <v>415.34</v>
      </c>
      <c r="C88" s="3" t="n">
        <v>15.19</v>
      </c>
      <c r="D88" s="3" t="n">
        <v>15.77</v>
      </c>
      <c r="E88" s="3" t="n">
        <v>20.38</v>
      </c>
      <c r="F88" s="3" t="n">
        <v>44.2</v>
      </c>
      <c r="G88" s="3" t="n">
        <v>4288.39</v>
      </c>
    </row>
    <row r="89">
      <c r="A89" s="2" t="n">
        <v>45202</v>
      </c>
      <c r="B89" s="3" t="n">
        <v>409.81</v>
      </c>
      <c r="C89" s="3" t="n">
        <v>14.88</v>
      </c>
      <c r="D89" s="3" t="n">
        <v>15.5</v>
      </c>
      <c r="E89" s="3" t="n">
        <v>20.08</v>
      </c>
      <c r="F89" s="3" t="n">
        <v>44.19</v>
      </c>
      <c r="G89" s="3" t="n">
        <v>4229.45</v>
      </c>
    </row>
    <row r="90">
      <c r="A90" s="2" t="n">
        <v>45203</v>
      </c>
      <c r="B90" s="3" t="n">
        <v>412.71</v>
      </c>
      <c r="C90" s="3" t="n">
        <v>14.85</v>
      </c>
      <c r="D90" s="3" t="n">
        <v>15.59</v>
      </c>
      <c r="E90" s="3" t="n">
        <v>19.98</v>
      </c>
      <c r="F90" s="3" t="n">
        <v>44.24</v>
      </c>
      <c r="G90" s="3" t="n">
        <v>4263.75</v>
      </c>
    </row>
    <row r="91">
      <c r="A91" s="2" t="n">
        <v>45204</v>
      </c>
      <c r="B91" s="3" t="n">
        <v>412.52</v>
      </c>
      <c r="C91" s="3" t="n">
        <v>14.96</v>
      </c>
      <c r="D91" s="3" t="n">
        <v>15.58</v>
      </c>
      <c r="E91" s="3" t="n">
        <v>20.17</v>
      </c>
      <c r="F91" s="3" t="n">
        <v>44.26</v>
      </c>
      <c r="G91" s="3" t="n">
        <v>4258.19</v>
      </c>
    </row>
    <row r="92">
      <c r="A92" s="2" t="n">
        <v>45205</v>
      </c>
      <c r="B92" s="3" t="n">
        <v>417.36</v>
      </c>
      <c r="C92" s="3" t="n">
        <v>15.02</v>
      </c>
      <c r="D92" s="3" t="n">
        <v>15.69</v>
      </c>
      <c r="E92" s="3" t="n">
        <v>20.03</v>
      </c>
      <c r="F92" s="3" t="n">
        <v>44.24</v>
      </c>
      <c r="G92" s="3" t="n">
        <v>4308.5</v>
      </c>
    </row>
    <row r="93">
      <c r="A93" s="2" t="n">
        <v>45208</v>
      </c>
      <c r="B93" s="3" t="n">
        <v>420.11</v>
      </c>
      <c r="C93" s="3" t="n">
        <v>15.2</v>
      </c>
      <c r="D93" s="3" t="n">
        <v>15.76</v>
      </c>
      <c r="E93" s="3" t="n">
        <v>20.26</v>
      </c>
      <c r="F93" s="3" t="n">
        <v>44.28</v>
      </c>
      <c r="G93" s="3" t="n">
        <v>4335.66016</v>
      </c>
    </row>
    <row r="94">
      <c r="A94" s="2" t="n">
        <v>45209</v>
      </c>
      <c r="B94" s="3" t="n">
        <v>422.31</v>
      </c>
      <c r="C94" s="3" t="n">
        <v>15.23</v>
      </c>
      <c r="D94" s="3" t="n">
        <v>15.73</v>
      </c>
      <c r="E94" s="3" t="n">
        <v>20.46</v>
      </c>
      <c r="F94" s="3" t="n">
        <v>44.28</v>
      </c>
      <c r="G94" s="3" t="n">
        <v>4358.24023</v>
      </c>
    </row>
    <row r="95">
      <c r="A95" s="2" t="n">
        <v>45210</v>
      </c>
      <c r="B95" s="3" t="n">
        <v>424.1</v>
      </c>
      <c r="C95" s="3" t="n">
        <v>15.3</v>
      </c>
      <c r="D95" s="3" t="n">
        <v>15.81</v>
      </c>
      <c r="E95" s="3" t="n">
        <v>20.43</v>
      </c>
      <c r="F95" s="3" t="n">
        <v>44.28</v>
      </c>
      <c r="G95" s="3" t="n">
        <v>4376.9502</v>
      </c>
    </row>
    <row r="96">
      <c r="A96" s="2" t="n">
        <v>45211</v>
      </c>
      <c r="B96" s="3" t="n">
        <v>421.55</v>
      </c>
      <c r="C96" s="3" t="n">
        <v>15.1</v>
      </c>
      <c r="D96" s="3" t="n">
        <v>15.67</v>
      </c>
      <c r="E96" s="3" t="n">
        <v>20.43</v>
      </c>
      <c r="F96" s="3" t="n">
        <v>44.28</v>
      </c>
      <c r="G96" s="3" t="n">
        <v>4349.60986</v>
      </c>
    </row>
    <row r="97">
      <c r="A97" s="2" t="n">
        <v>45212</v>
      </c>
      <c r="B97" s="3" t="n">
        <v>419.34</v>
      </c>
      <c r="C97" s="3" t="n">
        <v>15.08</v>
      </c>
      <c r="D97" s="3" t="n">
        <v>15.72</v>
      </c>
      <c r="E97" s="3" t="n">
        <v>20.52</v>
      </c>
      <c r="F97" s="3" t="n">
        <v>44.29</v>
      </c>
      <c r="G97" s="3" t="n">
        <v>4327.77979</v>
      </c>
    </row>
    <row r="98">
      <c r="A98" s="2" t="n">
        <v>45215</v>
      </c>
      <c r="B98" s="3" t="n">
        <v>423.7</v>
      </c>
      <c r="C98" s="3" t="n">
        <v>15.43</v>
      </c>
      <c r="D98" s="3" t="n">
        <v>15.92</v>
      </c>
      <c r="E98" s="3" t="n">
        <v>20.92</v>
      </c>
      <c r="F98" s="3" t="n">
        <v>44.3</v>
      </c>
      <c r="G98" s="3" t="n">
        <v>4373.62988</v>
      </c>
    </row>
    <row r="99">
      <c r="A99" s="2" t="n">
        <v>45216</v>
      </c>
      <c r="B99" s="3" t="n">
        <v>423.83</v>
      </c>
      <c r="C99" s="3" t="n">
        <v>15.45</v>
      </c>
      <c r="D99" s="3" t="n">
        <v>15.84</v>
      </c>
      <c r="E99" s="3" t="n">
        <v>21.08</v>
      </c>
      <c r="F99" s="3" t="n">
        <v>44.29</v>
      </c>
      <c r="G99" s="3" t="n">
        <v>4373.2002</v>
      </c>
    </row>
    <row r="100">
      <c r="A100" s="2" t="n">
        <v>45217</v>
      </c>
      <c r="B100" s="3" t="n">
        <v>418.27</v>
      </c>
      <c r="C100" s="3" t="n">
        <v>15.24</v>
      </c>
      <c r="D100" s="3" t="n">
        <v>15.59</v>
      </c>
      <c r="E100" s="3" t="n">
        <v>20.95</v>
      </c>
      <c r="F100" s="3" t="n">
        <v>44.29</v>
      </c>
      <c r="G100" s="3" t="n">
        <v>4314.6001</v>
      </c>
    </row>
    <row r="101">
      <c r="A101" s="2" t="n">
        <v>45218</v>
      </c>
      <c r="B101" s="3" t="n">
        <v>414.48</v>
      </c>
      <c r="C101" s="3" t="n">
        <v>14.99</v>
      </c>
      <c r="D101" s="3" t="n">
        <v>15.44</v>
      </c>
      <c r="E101" s="3" t="n">
        <v>20.59</v>
      </c>
      <c r="F101" s="3" t="n">
        <v>44.31</v>
      </c>
      <c r="G101" s="3" t="n">
        <v>4278</v>
      </c>
    </row>
    <row r="102">
      <c r="A102" s="2" t="n">
        <v>45219</v>
      </c>
      <c r="B102" s="3" t="n">
        <v>409.38</v>
      </c>
      <c r="C102" s="3" t="n">
        <v>14.89</v>
      </c>
      <c r="D102" s="3" t="n">
        <v>15.36</v>
      </c>
      <c r="E102" s="3" t="n">
        <v>20.42</v>
      </c>
      <c r="F102" s="3" t="n">
        <v>44.35</v>
      </c>
      <c r="G102" s="3" t="n">
        <v>4224.16016</v>
      </c>
    </row>
    <row r="103">
      <c r="A103" s="2" t="n">
        <v>45222</v>
      </c>
      <c r="B103" s="3" t="n">
        <v>408.67</v>
      </c>
      <c r="C103" s="3" t="n">
        <v>14.9</v>
      </c>
      <c r="D103" s="3" t="n">
        <v>15.22</v>
      </c>
      <c r="E103" s="3" t="n">
        <v>20.71</v>
      </c>
      <c r="F103" s="3" t="n">
        <v>44.36</v>
      </c>
      <c r="G103" s="3" t="n">
        <v>4217.04004</v>
      </c>
    </row>
    <row r="104">
      <c r="A104" s="2" t="n">
        <v>45223</v>
      </c>
      <c r="B104" s="3" t="n">
        <v>411.74</v>
      </c>
      <c r="C104" s="3" t="n">
        <v>15.04</v>
      </c>
      <c r="D104" s="3" t="n">
        <v>15.29</v>
      </c>
      <c r="E104" s="3" t="n">
        <v>20.95</v>
      </c>
      <c r="F104" s="3" t="n">
        <v>44.38</v>
      </c>
      <c r="G104" s="3" t="n">
        <v>4247.68018</v>
      </c>
    </row>
    <row r="105">
      <c r="A105" s="2" t="n">
        <v>45224</v>
      </c>
      <c r="B105" s="3" t="n">
        <v>405.89</v>
      </c>
      <c r="C105" s="3" t="n">
        <v>14.97</v>
      </c>
      <c r="D105" s="3" t="n">
        <v>15.15</v>
      </c>
      <c r="E105" s="3" t="n">
        <v>20.73</v>
      </c>
      <c r="F105" s="3" t="n">
        <v>44.36</v>
      </c>
      <c r="G105" s="3" t="n">
        <v>4186.77002</v>
      </c>
    </row>
    <row r="106">
      <c r="A106" s="2" t="n">
        <v>45225</v>
      </c>
      <c r="B106" s="3" t="n">
        <v>400.99</v>
      </c>
      <c r="C106" s="3" t="n">
        <v>14.96</v>
      </c>
      <c r="D106" s="3" t="n">
        <v>15.19</v>
      </c>
      <c r="E106" s="3" t="n">
        <v>20.98</v>
      </c>
      <c r="F106" s="3" t="n">
        <v>44.38</v>
      </c>
      <c r="G106" s="3" t="n">
        <v>4137.22998</v>
      </c>
    </row>
    <row r="107">
      <c r="A107" s="2" t="n">
        <v>45226</v>
      </c>
      <c r="B107" s="3" t="n">
        <v>399.15</v>
      </c>
      <c r="C107" s="3" t="n">
        <v>14.78</v>
      </c>
      <c r="D107" s="3" t="n">
        <v>14.99</v>
      </c>
      <c r="E107" s="3" t="n">
        <v>20.75</v>
      </c>
      <c r="F107" s="3" t="n">
        <v>44.41</v>
      </c>
      <c r="G107" s="3" t="n">
        <v>4117.37012</v>
      </c>
    </row>
    <row r="108">
      <c r="A108" s="2" t="n">
        <v>45229</v>
      </c>
      <c r="B108" s="3" t="n">
        <v>403.9</v>
      </c>
      <c r="C108" s="3" t="n">
        <v>15.04</v>
      </c>
      <c r="D108" s="3" t="n">
        <v>15.22</v>
      </c>
      <c r="E108" s="3" t="n">
        <v>20.97</v>
      </c>
      <c r="F108" s="3" t="n">
        <v>44.4</v>
      </c>
      <c r="G108" s="3" t="n">
        <v>4166.81982</v>
      </c>
    </row>
    <row r="109">
      <c r="A109" s="2" t="n">
        <v>45230</v>
      </c>
      <c r="B109" s="3" t="n">
        <v>406.3</v>
      </c>
      <c r="C109" s="3" t="n">
        <v>15.02</v>
      </c>
      <c r="D109" s="3" t="n">
        <v>15.27</v>
      </c>
      <c r="E109" s="3" t="n">
        <v>20.98</v>
      </c>
      <c r="F109" s="3" t="n">
        <v>44.4</v>
      </c>
      <c r="G109" s="3" t="n">
        <v>4193.7998</v>
      </c>
    </row>
    <row r="110">
      <c r="A110" s="2" t="n">
        <v>45231</v>
      </c>
      <c r="B110" s="3" t="n">
        <v>410.75</v>
      </c>
      <c r="C110" s="3" t="n">
        <v>15.2</v>
      </c>
      <c r="D110" s="3" t="n">
        <v>15.54</v>
      </c>
      <c r="E110" s="3" t="n">
        <v>21.16</v>
      </c>
      <c r="F110" s="3" t="n">
        <v>44.42</v>
      </c>
      <c r="G110" s="3" t="n">
        <v>4237.85986</v>
      </c>
    </row>
    <row r="111">
      <c r="A111" s="2" t="n">
        <v>45232</v>
      </c>
      <c r="B111" s="3" t="n">
        <v>418.66</v>
      </c>
      <c r="C111" s="3" t="n">
        <v>15.52</v>
      </c>
      <c r="D111" s="3" t="n">
        <v>15.94</v>
      </c>
      <c r="E111" s="3" t="n">
        <v>21.28</v>
      </c>
      <c r="F111" s="3" t="n">
        <v>44.44</v>
      </c>
      <c r="G111" s="3" t="n">
        <v>4317.77979</v>
      </c>
    </row>
    <row r="112">
      <c r="A112" s="2" t="n">
        <v>45233</v>
      </c>
      <c r="B112" s="3" t="n">
        <v>422.41</v>
      </c>
      <c r="C112" s="3" t="n">
        <v>15.57</v>
      </c>
      <c r="D112" s="3" t="n">
        <v>16.26</v>
      </c>
      <c r="E112" s="3" t="n">
        <v>21.57</v>
      </c>
      <c r="F112" s="3" t="n">
        <v>44.47</v>
      </c>
      <c r="G112" s="3" t="n">
        <v>4358.33984</v>
      </c>
    </row>
    <row r="113">
      <c r="A113" s="2" t="n">
        <v>45236</v>
      </c>
      <c r="B113" s="3" t="n">
        <v>423.43</v>
      </c>
      <c r="C113" s="3" t="n">
        <v>15.48</v>
      </c>
      <c r="D113" s="3" t="n">
        <v>16.13</v>
      </c>
      <c r="E113" s="3" t="n">
        <v>21.44</v>
      </c>
      <c r="F113" s="3" t="n">
        <v>44.46</v>
      </c>
      <c r="G113" s="3" t="n">
        <v>4365.97998</v>
      </c>
    </row>
    <row r="114">
      <c r="A114" s="2" t="n">
        <v>45237</v>
      </c>
      <c r="B114" s="3" t="n">
        <v>424.55</v>
      </c>
      <c r="C114" s="3" t="n">
        <v>15.46</v>
      </c>
      <c r="D114" s="3" t="n">
        <v>16</v>
      </c>
      <c r="E114" s="3" t="n">
        <v>21.45</v>
      </c>
      <c r="F114" s="3" t="n">
        <v>44.48</v>
      </c>
      <c r="G114" s="3" t="n">
        <v>4378.37988</v>
      </c>
    </row>
    <row r="115">
      <c r="A115" s="2" t="n">
        <v>45238</v>
      </c>
      <c r="B115" s="3" t="n">
        <v>424.9</v>
      </c>
      <c r="C115" s="3" t="n">
        <v>15.47</v>
      </c>
      <c r="D115" s="3" t="n">
        <v>16.07</v>
      </c>
      <c r="E115" s="3" t="n">
        <v>21.27</v>
      </c>
      <c r="F115" s="3" t="n">
        <v>44.49</v>
      </c>
      <c r="G115" s="3" t="n">
        <v>4382.77979</v>
      </c>
    </row>
    <row r="116">
      <c r="A116" s="2" t="n">
        <v>45239</v>
      </c>
      <c r="B116" s="3" t="n">
        <v>421.7</v>
      </c>
      <c r="C116" s="3" t="n">
        <v>15.42</v>
      </c>
      <c r="D116" s="3" t="n">
        <v>16.15</v>
      </c>
      <c r="E116" s="3" t="n">
        <v>21.22</v>
      </c>
      <c r="F116" s="3" t="n">
        <v>44.49</v>
      </c>
      <c r="G116" s="3" t="n">
        <v>4347.3501</v>
      </c>
    </row>
    <row r="117">
      <c r="A117" s="2" t="n">
        <v>45240</v>
      </c>
      <c r="B117" s="3" t="n">
        <v>428.3</v>
      </c>
      <c r="C117" s="3" t="n">
        <v>15.53</v>
      </c>
      <c r="D117" s="3" t="n">
        <v>16.27</v>
      </c>
      <c r="E117" s="3" t="n">
        <v>21.37</v>
      </c>
      <c r="F117" s="3" t="n">
        <v>44.5</v>
      </c>
      <c r="G117" s="3" t="n">
        <v>4415.24023</v>
      </c>
    </row>
    <row r="118">
      <c r="A118" s="2" t="n">
        <v>45243</v>
      </c>
      <c r="B118" s="3" t="n">
        <v>427.8</v>
      </c>
      <c r="C118" s="3" t="n">
        <v>15.53</v>
      </c>
      <c r="D118" s="3" t="n">
        <v>16.42</v>
      </c>
      <c r="E118" s="3" t="n">
        <v>21.28</v>
      </c>
      <c r="F118" s="3" t="n">
        <v>44.52</v>
      </c>
      <c r="G118" s="3" t="n">
        <v>4411.5498</v>
      </c>
    </row>
    <row r="119">
      <c r="A119" s="2" t="n">
        <v>45244</v>
      </c>
      <c r="B119" s="3" t="n">
        <v>436.19</v>
      </c>
      <c r="C119" s="3" t="n">
        <v>15.65</v>
      </c>
      <c r="D119" s="3" t="n">
        <v>16.59</v>
      </c>
      <c r="E119" s="3" t="n">
        <v>21.73</v>
      </c>
      <c r="F119" s="3" t="n">
        <v>44.57</v>
      </c>
      <c r="G119" s="3" t="n">
        <v>4495.7002</v>
      </c>
    </row>
    <row r="120">
      <c r="A120" s="2" t="n">
        <v>45245</v>
      </c>
      <c r="B120" s="3" t="n">
        <v>437.07</v>
      </c>
      <c r="C120" s="3" t="n">
        <v>15.6</v>
      </c>
      <c r="D120" s="3" t="n">
        <v>16.5</v>
      </c>
      <c r="E120" s="3" t="n">
        <v>21.61</v>
      </c>
      <c r="F120" s="3" t="n">
        <v>44.58</v>
      </c>
      <c r="G120" s="3" t="n">
        <v>4502.87988</v>
      </c>
    </row>
    <row r="121">
      <c r="A121" s="2" t="n">
        <v>45246</v>
      </c>
      <c r="B121" s="3" t="n">
        <v>437.61</v>
      </c>
      <c r="C121" s="3" t="n">
        <v>15.55</v>
      </c>
      <c r="D121" s="3" t="n">
        <v>16.42</v>
      </c>
      <c r="E121" s="3" t="n">
        <v>21.48</v>
      </c>
      <c r="F121" s="3" t="n">
        <v>44.6</v>
      </c>
      <c r="G121" s="3" t="n">
        <v>4508.24023</v>
      </c>
    </row>
    <row r="122">
      <c r="A122" s="2" t="n">
        <v>45247</v>
      </c>
      <c r="B122" s="3" t="n">
        <v>438.08</v>
      </c>
      <c r="C122" s="3" t="n">
        <v>15.57</v>
      </c>
      <c r="D122" s="3" t="n">
        <v>16.5</v>
      </c>
      <c r="E122" s="3" t="n">
        <v>21.72</v>
      </c>
      <c r="F122" s="3" t="n">
        <v>44.59</v>
      </c>
      <c r="G122" s="3" t="n">
        <v>4514.02002</v>
      </c>
    </row>
    <row r="123">
      <c r="A123" s="2" t="n">
        <v>45250</v>
      </c>
      <c r="B123" s="3" t="n">
        <v>441.6</v>
      </c>
      <c r="C123" s="3" t="n">
        <v>15.63</v>
      </c>
      <c r="D123" s="3" t="n">
        <v>16.52</v>
      </c>
      <c r="E123" s="3" t="n">
        <v>21.66</v>
      </c>
      <c r="F123" s="3" t="n">
        <v>44.6</v>
      </c>
      <c r="G123" s="3" t="n">
        <v>4547.37988</v>
      </c>
    </row>
    <row r="124">
      <c r="A124" s="2" t="n">
        <v>45251</v>
      </c>
      <c r="B124" s="3" t="n">
        <v>440.58</v>
      </c>
      <c r="C124" s="3" t="n">
        <v>15.64</v>
      </c>
      <c r="D124" s="3" t="n">
        <v>16.52</v>
      </c>
      <c r="E124" s="3" t="n">
        <v>21.7</v>
      </c>
      <c r="F124" s="3" t="n">
        <v>44.61</v>
      </c>
      <c r="G124" s="3" t="n">
        <v>4538.18994</v>
      </c>
    </row>
    <row r="125">
      <c r="A125" s="2" t="n">
        <v>45252</v>
      </c>
      <c r="B125" s="3" t="n">
        <v>442.26</v>
      </c>
      <c r="C125" s="3" t="n">
        <v>15.72</v>
      </c>
      <c r="D125" s="3" t="n">
        <v>16.59</v>
      </c>
      <c r="E125" s="3" t="n">
        <v>21.64</v>
      </c>
      <c r="F125" s="3" t="n">
        <v>44.64</v>
      </c>
      <c r="G125" s="3" t="n">
        <v>4556.62012</v>
      </c>
    </row>
    <row r="126">
      <c r="A126" s="2" t="n">
        <v>45254</v>
      </c>
      <c r="B126" s="3" t="n">
        <v>442.59</v>
      </c>
      <c r="C126" s="3" t="n">
        <v>15.76</v>
      </c>
      <c r="D126" s="3" t="n">
        <v>16.6</v>
      </c>
      <c r="E126" s="3" t="n">
        <v>21.95</v>
      </c>
      <c r="F126" s="3" t="n">
        <v>44.63</v>
      </c>
      <c r="G126" s="3" t="n">
        <v>4559.33984</v>
      </c>
    </row>
    <row r="127">
      <c r="A127" s="2" t="n">
        <v>45257</v>
      </c>
      <c r="B127" s="3" t="n">
        <v>441.76</v>
      </c>
      <c r="C127" s="3" t="n">
        <v>15.72</v>
      </c>
      <c r="D127" s="3" t="n">
        <v>16.6</v>
      </c>
      <c r="E127" s="3" t="n">
        <v>21.84</v>
      </c>
      <c r="F127" s="3" t="n">
        <v>44.67</v>
      </c>
      <c r="G127" s="3" t="n">
        <v>4550.43018</v>
      </c>
    </row>
    <row r="128">
      <c r="A128" s="2" t="n">
        <v>45258</v>
      </c>
      <c r="B128" s="3" t="n">
        <v>442.14</v>
      </c>
      <c r="C128" s="3" t="n">
        <v>15.65</v>
      </c>
      <c r="D128" s="3" t="n">
        <v>16.46</v>
      </c>
      <c r="E128" s="3" t="n">
        <v>21.81</v>
      </c>
      <c r="F128" s="3" t="n">
        <v>44.69</v>
      </c>
      <c r="G128" s="3" t="n">
        <v>4554.89014</v>
      </c>
    </row>
    <row r="129">
      <c r="A129" s="2" t="n">
        <v>45259</v>
      </c>
      <c r="B129" s="3" t="n">
        <v>441.94</v>
      </c>
      <c r="C129" s="3" t="n">
        <v>15.66</v>
      </c>
      <c r="D129" s="3" t="n">
        <v>16.39</v>
      </c>
      <c r="E129" s="3" t="n">
        <v>21.67</v>
      </c>
      <c r="F129" s="3" t="n">
        <v>44.71</v>
      </c>
      <c r="G129" s="3" t="n">
        <v>4550.58008</v>
      </c>
    </row>
    <row r="130">
      <c r="A130" s="2" t="n">
        <v>45260</v>
      </c>
      <c r="B130" s="3" t="n">
        <v>443.54</v>
      </c>
      <c r="C130" s="3" t="n">
        <v>15.7</v>
      </c>
      <c r="D130" s="3" t="n">
        <v>16.55</v>
      </c>
      <c r="E130" s="3" t="n">
        <v>21.75</v>
      </c>
      <c r="F130" s="3" t="n">
        <v>44.72</v>
      </c>
      <c r="G130" s="3" t="n">
        <v>4567.7998</v>
      </c>
    </row>
    <row r="131">
      <c r="A131" s="2" t="n">
        <v>45261</v>
      </c>
      <c r="B131" s="3" t="n">
        <v>446.16</v>
      </c>
      <c r="C131" s="3" t="n">
        <v>15.78</v>
      </c>
      <c r="D131" s="3" t="n">
        <v>16.58</v>
      </c>
      <c r="E131" s="3" t="n">
        <v>21.67</v>
      </c>
      <c r="F131" s="3" t="n">
        <v>44.76</v>
      </c>
      <c r="G131" s="3" t="n">
        <v>4594.62988</v>
      </c>
    </row>
    <row r="132">
      <c r="A132" s="2" t="n">
        <v>45264</v>
      </c>
      <c r="B132" s="3" t="n">
        <v>443.95</v>
      </c>
      <c r="C132" s="3" t="n">
        <v>15.73</v>
      </c>
      <c r="D132" s="3" t="n">
        <v>16.55</v>
      </c>
      <c r="E132" s="3" t="n">
        <v>21.41</v>
      </c>
      <c r="F132" s="3" t="n">
        <v>44.76</v>
      </c>
      <c r="G132" s="3" t="n">
        <v>4569.77</v>
      </c>
    </row>
    <row r="133">
      <c r="A133" s="2" t="n">
        <v>45265</v>
      </c>
      <c r="B133" s="3" t="n">
        <v>443.85</v>
      </c>
      <c r="C133" s="3" t="n">
        <v>15.67</v>
      </c>
      <c r="D133" s="3" t="n">
        <v>16.47</v>
      </c>
      <c r="E133" s="3" t="n">
        <v>21.13</v>
      </c>
      <c r="F133" s="3" t="n">
        <v>44.79</v>
      </c>
      <c r="G133" s="3" t="n">
        <v>4567.17</v>
      </c>
    </row>
    <row r="134">
      <c r="A134" s="2" t="n">
        <v>45266</v>
      </c>
      <c r="B134" s="3" t="n">
        <v>442.02</v>
      </c>
      <c r="C134" s="3" t="n">
        <v>15.61</v>
      </c>
      <c r="D134" s="3" t="n">
        <v>16.44</v>
      </c>
      <c r="E134" s="3" t="n">
        <v>20.94</v>
      </c>
      <c r="F134" s="3" t="n">
        <v>44.79</v>
      </c>
      <c r="G134" s="3" t="n">
        <v>4549.35</v>
      </c>
    </row>
    <row r="135">
      <c r="A135" s="2" t="n">
        <v>45267</v>
      </c>
      <c r="B135" s="3" t="n">
        <v>445.41</v>
      </c>
      <c r="C135" s="3" t="n">
        <v>15.8</v>
      </c>
      <c r="D135" s="3" t="n">
        <v>16.57</v>
      </c>
      <c r="E135" s="3" t="n">
        <v>21.14</v>
      </c>
      <c r="F135" s="3" t="n">
        <v>44.8</v>
      </c>
      <c r="G135" s="3" t="n">
        <v>4585.58</v>
      </c>
    </row>
    <row r="136">
      <c r="A136" s="2" t="n">
        <v>45268</v>
      </c>
      <c r="B136" s="3" t="n">
        <v>447.34</v>
      </c>
      <c r="C136" s="3" t="n">
        <v>15.91</v>
      </c>
      <c r="D136" s="3" t="n">
        <v>16.69</v>
      </c>
      <c r="E136" s="3" t="n">
        <v>21.34</v>
      </c>
      <c r="F136" s="3" t="n">
        <v>44.8</v>
      </c>
      <c r="G136" s="3" t="n">
        <v>4604.36</v>
      </c>
    </row>
    <row r="137">
      <c r="A137" s="2" t="n">
        <v>45271</v>
      </c>
      <c r="B137" s="3" t="n">
        <v>449.08</v>
      </c>
      <c r="C137" s="3" t="n">
        <v>15.89</v>
      </c>
      <c r="D137" s="3" t="n">
        <v>16.65</v>
      </c>
      <c r="E137" s="3" t="n">
        <v>21.37</v>
      </c>
      <c r="F137" s="3" t="n">
        <v>44.8</v>
      </c>
      <c r="G137" s="3" t="n">
        <v>4622.43</v>
      </c>
    </row>
    <row r="138">
      <c r="A138" s="2" t="n">
        <v>45272</v>
      </c>
      <c r="B138" s="3" t="n">
        <v>451.3</v>
      </c>
      <c r="C138" s="3" t="n">
        <v>15.94</v>
      </c>
      <c r="D138" s="3" t="n">
        <v>16.81</v>
      </c>
      <c r="E138" s="3" t="n">
        <v>21.49</v>
      </c>
      <c r="F138" s="3" t="n">
        <v>44.81</v>
      </c>
      <c r="G138" s="3" t="n">
        <v>4643.69</v>
      </c>
    </row>
    <row r="139">
      <c r="A139" s="2" t="n">
        <v>45273</v>
      </c>
      <c r="B139" s="3" t="n">
        <v>457.49</v>
      </c>
      <c r="C139" s="3" t="n">
        <v>16.01</v>
      </c>
      <c r="D139" s="3" t="n">
        <v>16.97</v>
      </c>
      <c r="E139" s="3" t="n">
        <v>21.5</v>
      </c>
      <c r="F139" s="3" t="n">
        <v>44.88</v>
      </c>
      <c r="G139" s="3" t="n">
        <v>4707.08</v>
      </c>
    </row>
    <row r="140">
      <c r="A140" s="2" t="n">
        <v>45274</v>
      </c>
      <c r="B140" s="3" t="n">
        <v>458.92</v>
      </c>
      <c r="C140" s="3" t="n">
        <v>16.02</v>
      </c>
      <c r="D140" s="3" t="n">
        <v>17.21</v>
      </c>
      <c r="E140" s="3" t="n">
        <v>21.39</v>
      </c>
      <c r="F140" s="3" t="n">
        <v>44.9</v>
      </c>
      <c r="G140" s="3" t="n">
        <v>4719.54</v>
      </c>
    </row>
    <row r="141">
      <c r="A141" s="2" t="n">
        <v>45275</v>
      </c>
      <c r="B141" s="3" t="n">
        <v>458.14</v>
      </c>
      <c r="C141" s="3" t="n">
        <v>15.89</v>
      </c>
      <c r="D141" s="3" t="n">
        <v>17.08</v>
      </c>
      <c r="E141" s="3" t="n">
        <v>21.33</v>
      </c>
      <c r="F141" s="3" t="n">
        <v>44.9</v>
      </c>
      <c r="G141" s="3" t="n">
        <v>4719.18</v>
      </c>
    </row>
    <row r="142">
      <c r="A142" s="2" t="n">
        <v>45278</v>
      </c>
      <c r="B142" s="3" t="n">
        <v>460.69</v>
      </c>
      <c r="C142" s="3" t="n">
        <v>16.02</v>
      </c>
      <c r="D142" s="3" t="n">
        <v>17.04</v>
      </c>
      <c r="E142" s="3" t="n">
        <v>21.39</v>
      </c>
      <c r="F142" s="3" t="n">
        <v>44.9</v>
      </c>
      <c r="G142" s="3" t="n">
        <v>4740.57</v>
      </c>
    </row>
    <row r="143">
      <c r="A143" s="2" t="n">
        <v>45279</v>
      </c>
      <c r="B143" s="3" t="n">
        <v>463.35</v>
      </c>
      <c r="C143" s="3" t="n">
        <v>16</v>
      </c>
      <c r="D143" s="3" t="n">
        <v>17.16</v>
      </c>
      <c r="E143" s="3" t="n">
        <v>21.67</v>
      </c>
      <c r="F143" s="3" t="n">
        <v>44.92</v>
      </c>
      <c r="G143" s="3" t="n">
        <v>4768.36</v>
      </c>
    </row>
    <row r="144">
      <c r="A144" s="2" t="n">
        <v>45280</v>
      </c>
      <c r="B144" s="3" t="n">
        <v>456.71</v>
      </c>
      <c r="C144" s="3" t="n">
        <v>15.86</v>
      </c>
      <c r="D144" s="3" t="n">
        <v>17.01</v>
      </c>
      <c r="E144" s="3" t="n">
        <v>21.47</v>
      </c>
      <c r="F144" s="3" t="n">
        <v>44.95</v>
      </c>
      <c r="G144" s="3" t="n">
        <v>4698.34</v>
      </c>
    </row>
    <row r="145">
      <c r="A145" s="2" t="n">
        <v>45281</v>
      </c>
      <c r="B145" s="3" t="n">
        <v>461.34</v>
      </c>
      <c r="C145" s="3" t="n">
        <v>15.92</v>
      </c>
      <c r="D145" s="3" t="n">
        <v>17.1</v>
      </c>
      <c r="E145" s="3" t="n">
        <v>21.47</v>
      </c>
      <c r="F145" s="3" t="n">
        <v>44.97</v>
      </c>
      <c r="G145" s="3" t="n">
        <v>4746.76</v>
      </c>
    </row>
    <row r="146">
      <c r="A146" s="2" t="n">
        <v>45282</v>
      </c>
      <c r="B146" s="3" t="n">
        <v>462.23</v>
      </c>
      <c r="C146" s="3" t="n">
        <v>16.03</v>
      </c>
      <c r="D146" s="3" t="n">
        <v>17.2</v>
      </c>
      <c r="E146" s="3" t="n">
        <v>21.57</v>
      </c>
      <c r="F146" s="3" t="n">
        <v>44.98</v>
      </c>
      <c r="G146" s="3" t="n">
        <v>4754.64</v>
      </c>
    </row>
    <row r="147">
      <c r="A147" s="2" t="n">
        <v>45286</v>
      </c>
      <c r="B147" s="3" t="n">
        <v>464.22</v>
      </c>
      <c r="C147" s="3" t="n">
        <v>16.18</v>
      </c>
      <c r="D147" s="3" t="n">
        <v>17.34</v>
      </c>
      <c r="E147" s="3" t="n">
        <v>21.77</v>
      </c>
      <c r="F147" s="3" t="n">
        <v>44.99</v>
      </c>
      <c r="G147" s="3" t="n">
        <v>4774.74</v>
      </c>
    </row>
    <row r="148">
      <c r="A148" s="2" t="n">
        <v>45287</v>
      </c>
      <c r="B148" s="3" t="n">
        <v>465.1</v>
      </c>
      <c r="C148" s="3" t="n">
        <v>16.27</v>
      </c>
      <c r="D148" s="3" t="n">
        <v>17.54</v>
      </c>
      <c r="E148" s="3" t="n">
        <v>21.95</v>
      </c>
      <c r="F148" s="3" t="n">
        <v>45.01</v>
      </c>
      <c r="G148" s="3" t="n">
        <v>4781.59</v>
      </c>
    </row>
    <row r="149">
      <c r="A149" s="2" t="n">
        <v>45288</v>
      </c>
      <c r="B149" s="3" t="n">
        <v>465.31</v>
      </c>
      <c r="C149" s="3" t="n">
        <v>16.29</v>
      </c>
      <c r="D149" s="3" t="n">
        <v>17.71</v>
      </c>
      <c r="E149" s="3" t="n">
        <v>21.85</v>
      </c>
      <c r="F149" s="3" t="n">
        <v>45.03</v>
      </c>
      <c r="G149" s="3" t="n">
        <v>4783.36</v>
      </c>
    </row>
    <row r="150">
      <c r="A150" s="2" t="n">
        <v>45289</v>
      </c>
      <c r="B150" s="3" t="n">
        <v>463.98</v>
      </c>
      <c r="C150" s="3" t="n">
        <v>16.25</v>
      </c>
      <c r="D150" s="3" t="n">
        <v>17.43</v>
      </c>
      <c r="E150" s="3" t="n">
        <v>21.78</v>
      </c>
      <c r="F150" s="3" t="n">
        <v>45.04</v>
      </c>
      <c r="G150" s="3" t="n">
        <v>4769.82</v>
      </c>
    </row>
    <row r="151">
      <c r="A151" s="2" t="n">
        <v>45293</v>
      </c>
      <c r="B151" s="3" t="n">
        <v>461.32</v>
      </c>
      <c r="C151" s="3" t="n">
        <v>16.25</v>
      </c>
      <c r="D151" s="3" t="n">
        <v>17.42</v>
      </c>
      <c r="E151" s="3" t="n">
        <v>21.96</v>
      </c>
      <c r="F151" s="3" t="n">
        <v>45.04</v>
      </c>
      <c r="G151" s="3" t="n">
        <v>4742.82</v>
      </c>
    </row>
    <row r="152">
      <c r="A152" s="2" t="n">
        <v>45294</v>
      </c>
      <c r="B152" s="3" t="n">
        <v>457.55</v>
      </c>
      <c r="C152" s="3" t="n">
        <v>16.25</v>
      </c>
      <c r="D152" s="3" t="n">
        <v>17.29</v>
      </c>
      <c r="E152" s="3" t="n">
        <v>22.03</v>
      </c>
      <c r="F152" s="3" t="n">
        <v>45.05</v>
      </c>
      <c r="G152" s="3" t="n">
        <v>4704.82</v>
      </c>
    </row>
    <row r="153">
      <c r="A153" s="2" t="n">
        <v>45295</v>
      </c>
      <c r="B153" s="3" t="n">
        <v>456.14</v>
      </c>
      <c r="C153" s="3" t="n">
        <v>16.62</v>
      </c>
      <c r="D153" s="3" t="n">
        <v>17.59</v>
      </c>
      <c r="E153" s="3" t="n">
        <v>22.62</v>
      </c>
      <c r="F153" s="3" t="n">
        <v>45.05</v>
      </c>
      <c r="G153" s="3" t="n">
        <v>4688.69</v>
      </c>
    </row>
    <row r="154">
      <c r="A154" s="2" t="n">
        <v>45296</v>
      </c>
      <c r="B154" s="3" t="n">
        <v>456.69</v>
      </c>
      <c r="C154" s="3" t="n">
        <v>16.56</v>
      </c>
      <c r="D154" s="3" t="n">
        <v>17.53</v>
      </c>
      <c r="E154" s="3" t="n">
        <v>22.41</v>
      </c>
      <c r="F154" s="3" t="n">
        <v>45.05</v>
      </c>
      <c r="G154" s="3" t="n">
        <v>4697.23</v>
      </c>
    </row>
    <row r="155">
      <c r="A155" s="2" t="n">
        <v>45299</v>
      </c>
      <c r="B155" s="3" t="n">
        <v>462.97</v>
      </c>
      <c r="C155" s="3" t="n">
        <v>16.54</v>
      </c>
      <c r="D155" s="3" t="n">
        <v>17.63</v>
      </c>
      <c r="E155" s="3" t="n">
        <v>22.62</v>
      </c>
      <c r="F155" s="3" t="n">
        <v>45.06</v>
      </c>
      <c r="G155" s="3" t="n">
        <v>4763.55</v>
      </c>
    </row>
    <row r="156">
      <c r="A156" s="2" t="n">
        <v>45300</v>
      </c>
      <c r="B156" s="3" t="n">
        <v>462.54</v>
      </c>
      <c r="C156" s="3" t="n">
        <v>16.48</v>
      </c>
      <c r="D156" s="3" t="n">
        <v>17.51</v>
      </c>
      <c r="E156" s="3" t="n">
        <v>22.46</v>
      </c>
      <c r="F156" s="3" t="n">
        <v>45.08</v>
      </c>
      <c r="G156" s="3" t="n">
        <v>4756.51</v>
      </c>
    </row>
    <row r="157">
      <c r="A157" s="2" t="n">
        <v>45301</v>
      </c>
      <c r="B157" s="3" t="n">
        <v>465.13</v>
      </c>
      <c r="C157" s="3" t="n">
        <v>16.56</v>
      </c>
      <c r="D157" s="3" t="n">
        <v>17.54</v>
      </c>
      <c r="E157" s="3" t="n">
        <v>22.4</v>
      </c>
      <c r="F157" s="3" t="n">
        <v>45.08</v>
      </c>
      <c r="G157" s="3" t="n">
        <v>4783.46</v>
      </c>
    </row>
    <row r="158">
      <c r="A158" s="2" t="n">
        <v>45302</v>
      </c>
      <c r="B158" s="3" t="n">
        <v>464.88</v>
      </c>
      <c r="C158" s="3" t="n">
        <v>16.47</v>
      </c>
      <c r="D158" s="3" t="n">
        <v>17.43</v>
      </c>
      <c r="E158" s="3" t="n">
        <v>22.21</v>
      </c>
      <c r="F158" s="3" t="n">
        <v>45.13</v>
      </c>
      <c r="G158" s="3" t="n">
        <v>4780.23</v>
      </c>
    </row>
    <row r="159">
      <c r="A159" s="2" t="n">
        <v>45303</v>
      </c>
      <c r="B159" s="3" t="n">
        <v>465.28</v>
      </c>
      <c r="C159" s="3" t="n">
        <v>16.55</v>
      </c>
      <c r="D159" s="3" t="n">
        <v>17.54</v>
      </c>
      <c r="E159" s="3" t="n">
        <v>22.29</v>
      </c>
      <c r="F159" s="3" t="n">
        <v>45.16</v>
      </c>
      <c r="G159" s="3" t="n">
        <v>4783.84</v>
      </c>
    </row>
    <row r="160">
      <c r="A160" s="2" t="n">
        <v>45307</v>
      </c>
      <c r="B160" s="3" t="n">
        <v>463.66</v>
      </c>
      <c r="C160" s="3" t="n">
        <v>16.37</v>
      </c>
      <c r="D160" s="3" t="n">
        <v>17.42</v>
      </c>
      <c r="E160" s="3" t="n">
        <v>22.09</v>
      </c>
      <c r="F160" s="3" t="n">
        <v>45.16</v>
      </c>
      <c r="G160" s="3" t="n">
        <v>4765.99</v>
      </c>
    </row>
    <row r="161">
      <c r="A161" s="2" t="n">
        <v>45308</v>
      </c>
      <c r="B161" s="3" t="n">
        <v>461.06</v>
      </c>
      <c r="C161" s="3" t="n">
        <v>16.37</v>
      </c>
      <c r="D161" s="3" t="n">
        <v>17.45</v>
      </c>
      <c r="E161" s="3" t="n">
        <v>22.25</v>
      </c>
      <c r="F161" s="3" t="n">
        <v>45.14</v>
      </c>
      <c r="G161" s="3" t="n">
        <v>4739.22</v>
      </c>
    </row>
    <row r="162">
      <c r="A162" s="2" t="n">
        <v>45309</v>
      </c>
      <c r="B162" s="3" t="n">
        <v>465.01</v>
      </c>
      <c r="C162" s="3" t="n">
        <v>16.45</v>
      </c>
      <c r="D162" s="3" t="n">
        <v>17.53</v>
      </c>
      <c r="E162" s="3" t="n">
        <v>22.28</v>
      </c>
      <c r="F162" s="3" t="n">
        <v>45.17</v>
      </c>
      <c r="G162" s="3" t="n">
        <v>4780.95</v>
      </c>
    </row>
    <row r="163">
      <c r="A163" s="2" t="n">
        <v>45310</v>
      </c>
      <c r="B163" s="3" t="n">
        <v>470.83</v>
      </c>
      <c r="C163" s="3" t="n">
        <v>16.52</v>
      </c>
      <c r="D163" s="3" t="n">
        <v>17.58</v>
      </c>
      <c r="E163" s="3" t="n">
        <v>22.26</v>
      </c>
      <c r="F163" s="3" t="n">
        <v>45.17</v>
      </c>
      <c r="G163" s="3" t="n">
        <v>4839.82</v>
      </c>
    </row>
    <row r="164">
      <c r="A164" s="2" t="n">
        <v>45313</v>
      </c>
      <c r="B164" s="3" t="n">
        <v>471.85</v>
      </c>
      <c r="C164" s="3" t="n">
        <v>16.54</v>
      </c>
      <c r="D164" s="3" t="n">
        <v>17.8</v>
      </c>
      <c r="E164" s="3" t="n">
        <v>22.47</v>
      </c>
      <c r="F164" s="3" t="n">
        <v>45.18</v>
      </c>
      <c r="G164" s="3" t="n">
        <v>4850.44</v>
      </c>
    </row>
    <row r="165">
      <c r="A165" s="2" t="n">
        <v>45314</v>
      </c>
      <c r="B165" s="3" t="n">
        <v>473.32</v>
      </c>
      <c r="C165" s="3" t="n">
        <v>16.57</v>
      </c>
      <c r="D165" s="3" t="n">
        <v>17.87</v>
      </c>
      <c r="E165" s="3" t="n">
        <v>22.49</v>
      </c>
      <c r="F165" s="3" t="n">
        <v>45.19</v>
      </c>
      <c r="G165" s="3" t="n">
        <v>4864.61</v>
      </c>
    </row>
    <row r="166">
      <c r="A166" s="2" t="n">
        <v>45315</v>
      </c>
      <c r="B166" s="3" t="n">
        <v>473.68</v>
      </c>
      <c r="C166" s="3" t="n">
        <v>16.49</v>
      </c>
      <c r="D166" s="3" t="n">
        <v>17.78</v>
      </c>
      <c r="E166" s="3" t="n">
        <v>22.45</v>
      </c>
      <c r="F166" s="3" t="n">
        <v>45.19</v>
      </c>
      <c r="G166" s="3" t="n">
        <v>4868.54</v>
      </c>
    </row>
    <row r="167">
      <c r="A167" s="2" t="n">
        <v>45316</v>
      </c>
      <c r="B167" s="3" t="n">
        <v>476.32</v>
      </c>
      <c r="C167" s="3" t="n">
        <v>16.62</v>
      </c>
      <c r="D167" s="3" t="n">
        <v>17.8</v>
      </c>
      <c r="E167" s="3" t="n">
        <v>22.34</v>
      </c>
      <c r="F167" s="3" t="n">
        <v>45.23</v>
      </c>
      <c r="G167" s="3" t="n">
        <v>4894.17</v>
      </c>
    </row>
    <row r="168">
      <c r="A168" s="2" t="n">
        <v>45317</v>
      </c>
      <c r="B168" s="3" t="n">
        <v>475.83</v>
      </c>
      <c r="C168" s="3" t="n">
        <v>16.68</v>
      </c>
      <c r="D168" s="3" t="n">
        <v>17.96</v>
      </c>
      <c r="E168" s="3" t="n">
        <v>22.55</v>
      </c>
      <c r="F168" s="3" t="n">
        <v>45.23</v>
      </c>
      <c r="G168" s="3" t="n">
        <v>4890.96</v>
      </c>
    </row>
    <row r="169">
      <c r="A169" s="2" t="n">
        <v>45320</v>
      </c>
      <c r="B169" s="3" t="n">
        <v>479.57</v>
      </c>
      <c r="C169" s="3" t="n">
        <v>16.65</v>
      </c>
      <c r="D169" s="3" t="n">
        <v>17.77</v>
      </c>
      <c r="E169" s="3" t="n">
        <v>22.66</v>
      </c>
      <c r="F169" s="3" t="n">
        <v>45.24</v>
      </c>
      <c r="G169" s="3" t="n">
        <v>4927.94</v>
      </c>
    </row>
    <row r="170">
      <c r="A170" s="2" t="n">
        <v>45321</v>
      </c>
      <c r="B170" s="3" t="n">
        <v>479.21</v>
      </c>
      <c r="C170" s="3" t="n">
        <v>16.72</v>
      </c>
      <c r="D170" s="3" t="n">
        <v>17.83</v>
      </c>
      <c r="E170" s="3" t="n">
        <v>22.78</v>
      </c>
      <c r="F170" s="3" t="n">
        <v>45.25</v>
      </c>
      <c r="G170" s="3" t="n">
        <v>4924.96</v>
      </c>
    </row>
    <row r="171">
      <c r="A171" s="2" t="n">
        <v>45322</v>
      </c>
      <c r="B171" s="3" t="n">
        <v>471.34</v>
      </c>
      <c r="C171" s="3" t="n">
        <v>16.41</v>
      </c>
      <c r="D171" s="3" t="n">
        <v>17.48</v>
      </c>
      <c r="E171" s="3" t="n">
        <v>22.55</v>
      </c>
      <c r="F171" s="3" t="n">
        <v>45.27</v>
      </c>
      <c r="G171" s="3" t="n">
        <v>4845.66</v>
      </c>
    </row>
    <row r="172">
      <c r="A172" s="2" t="n">
        <v>45323</v>
      </c>
      <c r="B172" s="3" t="n">
        <v>477.59</v>
      </c>
      <c r="C172" s="3" t="n">
        <v>16.29</v>
      </c>
      <c r="D172" s="3" t="n">
        <v>17.31</v>
      </c>
      <c r="E172" s="3" t="n">
        <v>22.41</v>
      </c>
      <c r="F172" s="3" t="n">
        <v>45.29</v>
      </c>
      <c r="G172" s="3" t="n">
        <v>4906.18</v>
      </c>
    </row>
    <row r="173">
      <c r="A173" s="2" t="n">
        <v>45324</v>
      </c>
      <c r="B173" s="3" t="n">
        <v>482.52</v>
      </c>
      <c r="C173" s="3" t="n">
        <v>16.37</v>
      </c>
      <c r="D173" s="3" t="n">
        <v>17.33</v>
      </c>
      <c r="E173" s="3" t="n">
        <v>22.55</v>
      </c>
      <c r="F173" s="3" t="n">
        <v>45.29</v>
      </c>
      <c r="G173" s="3" t="n">
        <v>4958.62</v>
      </c>
    </row>
    <row r="174">
      <c r="A174" s="2" t="n">
        <v>45327</v>
      </c>
      <c r="B174" s="3" t="n">
        <v>480.91</v>
      </c>
      <c r="C174" s="3" t="n">
        <v>16.2</v>
      </c>
      <c r="D174" s="3" t="n">
        <v>17.3</v>
      </c>
      <c r="E174" s="3" t="n">
        <v>22.18</v>
      </c>
      <c r="F174" s="3" t="n">
        <v>45.28</v>
      </c>
      <c r="G174" s="3" t="n">
        <v>4942.82</v>
      </c>
    </row>
    <row r="175">
      <c r="A175" s="2" t="n">
        <v>45328</v>
      </c>
      <c r="B175" s="3" t="n">
        <v>482.21</v>
      </c>
      <c r="C175" s="3" t="n">
        <v>16.18</v>
      </c>
      <c r="D175" s="3" t="n">
        <v>17.26</v>
      </c>
      <c r="E175" s="3" t="n">
        <v>22.04</v>
      </c>
      <c r="F175" s="3" t="n">
        <v>45.29</v>
      </c>
      <c r="G175" s="3" t="n">
        <v>4954.24</v>
      </c>
    </row>
    <row r="176">
      <c r="A176" s="2" t="n">
        <v>45329</v>
      </c>
      <c r="B176" s="3" t="n">
        <v>486.12</v>
      </c>
      <c r="C176" s="3" t="n">
        <v>16.38</v>
      </c>
      <c r="D176" s="3" t="n">
        <v>17.29</v>
      </c>
      <c r="E176" s="3" t="n">
        <v>22.32</v>
      </c>
      <c r="F176" s="3" t="n">
        <v>45.29</v>
      </c>
      <c r="G176" s="3" t="n">
        <v>4995.05</v>
      </c>
    </row>
    <row r="177">
      <c r="A177" s="2" t="n">
        <v>45330</v>
      </c>
      <c r="B177" s="3" t="n">
        <v>486.44</v>
      </c>
      <c r="C177" s="3" t="n">
        <v>16.24</v>
      </c>
      <c r="D177" s="3" t="n">
        <v>17.2</v>
      </c>
      <c r="E177" s="3" t="n">
        <v>22.41</v>
      </c>
      <c r="F177" s="3" t="n">
        <v>45.3</v>
      </c>
      <c r="G177" s="3" t="n">
        <v>4997.92</v>
      </c>
    </row>
    <row r="178">
      <c r="A178" s="2" t="n">
        <v>45331</v>
      </c>
      <c r="B178" s="3" t="n">
        <v>489.26</v>
      </c>
      <c r="C178" s="3" t="n">
        <v>16.28</v>
      </c>
      <c r="D178" s="3" t="n">
        <v>17.29</v>
      </c>
      <c r="E178" s="3" t="n">
        <v>22.37</v>
      </c>
      <c r="F178" s="3" t="n">
        <v>45.31</v>
      </c>
      <c r="G178" s="3" t="n">
        <v>5026.62</v>
      </c>
    </row>
    <row r="179">
      <c r="A179" s="2" t="n">
        <v>45334</v>
      </c>
      <c r="B179" s="3" t="n">
        <v>489</v>
      </c>
      <c r="C179" s="3" t="n">
        <v>16.38</v>
      </c>
      <c r="D179" s="3" t="n">
        <v>17.5</v>
      </c>
      <c r="E179" s="3" t="n">
        <v>22.52</v>
      </c>
      <c r="F179" s="3" t="n">
        <v>45.32</v>
      </c>
      <c r="G179" s="3" t="n">
        <v>5021.83</v>
      </c>
    </row>
    <row r="180">
      <c r="A180" s="2" t="n">
        <v>45335</v>
      </c>
      <c r="B180" s="3" t="n">
        <v>482.43</v>
      </c>
      <c r="C180" s="3" t="n">
        <v>16.41</v>
      </c>
      <c r="D180" s="3" t="n">
        <v>17.29</v>
      </c>
      <c r="E180" s="3" t="n">
        <v>22.65</v>
      </c>
      <c r="F180" s="3" t="n">
        <v>45.3</v>
      </c>
      <c r="G180" s="3" t="n">
        <v>4953.16</v>
      </c>
    </row>
    <row r="181">
      <c r="A181" s="2" t="n">
        <v>45336</v>
      </c>
      <c r="B181" s="3" t="n">
        <v>486.74</v>
      </c>
      <c r="C181" s="3" t="n">
        <v>16.42</v>
      </c>
      <c r="D181" s="3" t="n">
        <v>17.21</v>
      </c>
      <c r="E181" s="3" t="n">
        <v>22.78</v>
      </c>
      <c r="F181" s="3" t="n">
        <v>45.31</v>
      </c>
      <c r="G181" s="3" t="n">
        <v>5000.63</v>
      </c>
    </row>
    <row r="182">
      <c r="A182" s="2" t="n">
        <v>45337</v>
      </c>
      <c r="B182" s="3" t="n">
        <v>489.94</v>
      </c>
      <c r="C182" s="3" t="n">
        <v>16.37</v>
      </c>
      <c r="D182" s="3" t="n">
        <v>17.54</v>
      </c>
      <c r="E182" s="3" t="n">
        <v>23.05</v>
      </c>
      <c r="F182" s="3" t="n">
        <v>45.34</v>
      </c>
      <c r="G182" s="3" t="n">
        <v>5029.72</v>
      </c>
    </row>
    <row r="183">
      <c r="A183" s="2" t="n">
        <v>45338</v>
      </c>
      <c r="B183" s="3" t="n">
        <v>487.61</v>
      </c>
      <c r="C183" s="3" t="n">
        <v>16.35</v>
      </c>
      <c r="D183" s="3" t="n">
        <v>17.54</v>
      </c>
      <c r="E183" s="3" t="n">
        <v>23.14</v>
      </c>
      <c r="F183" s="3" t="n">
        <v>45.33</v>
      </c>
      <c r="G183" s="3" t="n">
        <v>5005.56</v>
      </c>
    </row>
    <row r="184">
      <c r="A184" s="2" t="n">
        <v>45342</v>
      </c>
      <c r="B184" s="3" t="n">
        <v>484.9</v>
      </c>
      <c r="C184" s="3" t="n">
        <v>16.32</v>
      </c>
      <c r="D184" s="3" t="n">
        <v>17.49</v>
      </c>
      <c r="E184" s="3" t="n">
        <v>22.93</v>
      </c>
      <c r="F184" s="3" t="n">
        <v>45.36</v>
      </c>
      <c r="G184" s="3" t="n">
        <v>4975.52</v>
      </c>
    </row>
    <row r="185">
      <c r="A185" s="2" t="n">
        <v>45343</v>
      </c>
      <c r="B185" s="3" t="n">
        <v>485.34</v>
      </c>
      <c r="C185" s="3" t="n">
        <v>16.25</v>
      </c>
      <c r="D185" s="3" t="n">
        <v>17.54</v>
      </c>
      <c r="E185" s="3" t="n">
        <v>23.05</v>
      </c>
      <c r="F185" s="3" t="n">
        <v>45.37</v>
      </c>
      <c r="G185" s="3" t="n">
        <v>4981.81</v>
      </c>
    </row>
    <row r="186">
      <c r="A186" s="2" t="n">
        <v>45344</v>
      </c>
      <c r="B186" s="3" t="n">
        <v>495.48</v>
      </c>
      <c r="C186" s="3" t="n">
        <v>16.32</v>
      </c>
      <c r="D186" s="3" t="n">
        <v>17.61</v>
      </c>
      <c r="E186" s="3" t="n">
        <v>23.28</v>
      </c>
      <c r="F186" s="3" t="n">
        <v>45.37</v>
      </c>
      <c r="G186" s="3" t="n">
        <v>5087.02</v>
      </c>
    </row>
    <row r="187">
      <c r="A187" s="2" t="n">
        <v>45345</v>
      </c>
      <c r="B187" s="3" t="n">
        <v>495.76</v>
      </c>
      <c r="C187" s="3" t="n">
        <v>16.32</v>
      </c>
      <c r="D187" s="3" t="n">
        <v>17.66</v>
      </c>
      <c r="E187" s="3" t="n">
        <v>23.46</v>
      </c>
      <c r="F187" s="3" t="n">
        <v>45.38</v>
      </c>
      <c r="G187" s="3" t="n">
        <v>5088.79</v>
      </c>
    </row>
    <row r="188">
      <c r="A188" s="2" t="n">
        <v>45348</v>
      </c>
      <c r="B188" s="3" t="n">
        <v>493.89</v>
      </c>
      <c r="C188" s="3" t="n">
        <v>16.28</v>
      </c>
      <c r="D188" s="3" t="n">
        <v>17.6</v>
      </c>
      <c r="E188" s="3" t="n">
        <v>23.43</v>
      </c>
      <c r="F188" s="3" t="n">
        <v>45.38</v>
      </c>
      <c r="G188" s="3" t="n">
        <v>5069.54</v>
      </c>
    </row>
    <row r="189">
      <c r="A189" s="2" t="n">
        <v>45349</v>
      </c>
      <c r="B189" s="3" t="n">
        <v>494.77</v>
      </c>
      <c r="C189" s="3" t="n">
        <v>16.41</v>
      </c>
      <c r="D189" s="3" t="n">
        <v>17.73</v>
      </c>
      <c r="E189" s="3" t="n">
        <v>23.59</v>
      </c>
      <c r="F189" s="3" t="n">
        <v>45.39</v>
      </c>
      <c r="G189" s="3" t="n">
        <v>5078.17</v>
      </c>
    </row>
    <row r="190">
      <c r="A190" s="2" t="n">
        <v>45350</v>
      </c>
      <c r="B190" s="3" t="n">
        <v>494.15</v>
      </c>
      <c r="C190" s="3" t="n">
        <v>16.36</v>
      </c>
      <c r="D190" s="3" t="n">
        <v>17.62</v>
      </c>
      <c r="E190" s="3" t="n">
        <v>23.35</v>
      </c>
      <c r="F190" s="3" t="n">
        <v>45.41</v>
      </c>
      <c r="G190" s="3" t="n">
        <v>5069.77</v>
      </c>
    </row>
    <row r="191">
      <c r="A191" s="2" t="n">
        <v>45351</v>
      </c>
      <c r="B191" s="3" t="n">
        <v>495.87</v>
      </c>
      <c r="C191" s="3" t="n">
        <v>16.41</v>
      </c>
      <c r="D191" s="3" t="n">
        <v>17.68</v>
      </c>
      <c r="E191" s="3" t="n">
        <v>23.33</v>
      </c>
      <c r="F191" s="3" t="n">
        <v>45.42</v>
      </c>
      <c r="G191" s="3" t="n">
        <v>5096.28</v>
      </c>
    </row>
    <row r="192">
      <c r="A192" s="2" t="n">
        <v>45352</v>
      </c>
      <c r="B192" s="3" t="n">
        <v>500.67</v>
      </c>
      <c r="C192" s="3" t="n">
        <v>16.41</v>
      </c>
      <c r="D192" s="3" t="n">
        <v>17.07</v>
      </c>
      <c r="E192" s="3" t="n">
        <v>23.37</v>
      </c>
      <c r="F192" s="3" t="n">
        <v>45.43</v>
      </c>
      <c r="G192" s="3" t="n">
        <v>5137.07</v>
      </c>
    </row>
    <row r="193">
      <c r="A193" s="2" t="n">
        <v>45355</v>
      </c>
      <c r="B193" s="3" t="n">
        <v>500.07</v>
      </c>
      <c r="C193" s="3" t="n">
        <v>16.49</v>
      </c>
      <c r="D193" s="3" t="n">
        <v>17.03</v>
      </c>
      <c r="E193" s="3" t="n">
        <v>23.4</v>
      </c>
      <c r="F193" s="3" t="n">
        <v>45.43</v>
      </c>
      <c r="G193" s="3" t="n">
        <v>5130.94</v>
      </c>
    </row>
    <row r="194">
      <c r="A194" s="2" t="n">
        <v>45356</v>
      </c>
      <c r="B194" s="3" t="n">
        <v>495.02</v>
      </c>
      <c r="C194" s="3" t="n">
        <v>16.41</v>
      </c>
      <c r="D194" s="3" t="n">
        <v>16.9</v>
      </c>
      <c r="E194" s="3" t="n">
        <v>23.42</v>
      </c>
      <c r="F194" s="3" t="n">
        <v>45.45</v>
      </c>
      <c r="G194" s="3" t="n">
        <v>5078.64</v>
      </c>
    </row>
    <row r="195">
      <c r="A195" s="2" t="n">
        <v>45357</v>
      </c>
      <c r="B195" s="3" t="n">
        <v>497.7</v>
      </c>
      <c r="C195" s="3" t="n">
        <v>16.54</v>
      </c>
      <c r="D195" s="3" t="n">
        <v>17.03</v>
      </c>
      <c r="E195" s="3" t="n">
        <v>23.66</v>
      </c>
      <c r="F195" s="3" t="n">
        <v>45.46</v>
      </c>
      <c r="G195" s="3" t="n">
        <v>5104.77</v>
      </c>
    </row>
    <row r="196">
      <c r="A196" s="2" t="n">
        <v>45358</v>
      </c>
      <c r="B196" s="3" t="n">
        <v>502.65</v>
      </c>
      <c r="C196" s="3" t="n">
        <v>16.6</v>
      </c>
      <c r="D196" s="3" t="n">
        <v>16.96</v>
      </c>
      <c r="E196" s="3" t="n">
        <v>23.8</v>
      </c>
      <c r="F196" s="3" t="n">
        <v>45.48</v>
      </c>
      <c r="G196" s="3" t="n">
        <v>5157.35</v>
      </c>
    </row>
    <row r="197">
      <c r="A197" s="2" t="n">
        <v>45359</v>
      </c>
      <c r="B197" s="3" t="n">
        <v>499.6</v>
      </c>
      <c r="C197" s="3" t="n">
        <v>16.64</v>
      </c>
      <c r="D197" s="3" t="n">
        <v>17.06</v>
      </c>
      <c r="E197" s="3" t="n">
        <v>23.95</v>
      </c>
      <c r="F197" s="3" t="n">
        <v>45.5</v>
      </c>
      <c r="G197" s="3" t="n">
        <v>5123.68</v>
      </c>
    </row>
    <row r="198">
      <c r="A198" s="2" t="n">
        <v>45362</v>
      </c>
      <c r="B198" s="3" t="n">
        <v>499.35</v>
      </c>
      <c r="C198" s="3" t="n">
        <v>16.67</v>
      </c>
      <c r="D198" s="3" t="n">
        <v>17.26</v>
      </c>
      <c r="E198" s="3" t="n">
        <v>24.02</v>
      </c>
      <c r="F198" s="3" t="n">
        <v>45.49</v>
      </c>
      <c r="G198" s="3" t="n">
        <v>5117.93</v>
      </c>
    </row>
    <row r="199">
      <c r="A199" s="2" t="n">
        <v>45363</v>
      </c>
      <c r="B199" s="3" t="n">
        <v>504.56</v>
      </c>
      <c r="C199" s="3" t="n">
        <v>16.82</v>
      </c>
      <c r="D199" s="3" t="n">
        <v>17.36</v>
      </c>
      <c r="E199" s="3" t="n">
        <v>24.24</v>
      </c>
      <c r="F199" s="3" t="n">
        <v>45.49</v>
      </c>
      <c r="G199" s="3" t="n">
        <v>5175.28</v>
      </c>
    </row>
    <row r="200">
      <c r="A200" s="2" t="n">
        <v>45364</v>
      </c>
      <c r="B200" s="3" t="n">
        <v>503.75</v>
      </c>
      <c r="C200" s="3" t="n">
        <v>16.86</v>
      </c>
      <c r="D200" s="3" t="n">
        <v>17.26</v>
      </c>
      <c r="E200" s="3" t="n">
        <v>24.35</v>
      </c>
      <c r="F200" s="3" t="n">
        <v>45.48</v>
      </c>
      <c r="G200" s="3" t="n">
        <v>5165.3</v>
      </c>
    </row>
    <row r="201">
      <c r="A201" s="2" t="n">
        <v>45365</v>
      </c>
      <c r="B201" s="3" t="n">
        <v>502.66</v>
      </c>
      <c r="C201" s="3" t="n">
        <v>16.61</v>
      </c>
      <c r="D201" s="3" t="n">
        <v>17</v>
      </c>
      <c r="E201" s="3" t="n">
        <v>23.76</v>
      </c>
      <c r="F201" s="3" t="n">
        <v>45.51</v>
      </c>
      <c r="G201" s="3" t="n">
        <v>5150.47</v>
      </c>
    </row>
    <row r="202">
      <c r="A202" s="2" t="n">
        <v>45366</v>
      </c>
      <c r="B202" s="3" t="n">
        <v>498.57</v>
      </c>
      <c r="C202" s="3" t="n">
        <v>16.77</v>
      </c>
      <c r="D202" s="3" t="n">
        <v>17.17</v>
      </c>
      <c r="E202" s="3" t="n">
        <v>23.95</v>
      </c>
      <c r="F202" s="3" t="n">
        <v>45.51</v>
      </c>
      <c r="G202" s="3" t="n">
        <v>5117.1</v>
      </c>
    </row>
    <row r="203">
      <c r="A203" s="2" t="n">
        <v>45369</v>
      </c>
      <c r="B203" s="3" t="n">
        <v>502.08</v>
      </c>
      <c r="C203" s="3" t="n">
        <v>16.66</v>
      </c>
      <c r="D203" s="3" t="n">
        <v>17.12</v>
      </c>
      <c r="E203" s="3" t="n">
        <v>24.05</v>
      </c>
      <c r="F203" s="3" t="n">
        <v>45.52</v>
      </c>
      <c r="G203" s="3" t="n">
        <v>5149.43</v>
      </c>
    </row>
    <row r="204">
      <c r="A204" s="2" t="n">
        <v>45370</v>
      </c>
      <c r="B204" s="3" t="n">
        <v>504.99</v>
      </c>
      <c r="C204" s="3" t="n">
        <v>16.57</v>
      </c>
      <c r="D204" s="3" t="n">
        <v>17.19</v>
      </c>
      <c r="E204" s="3" t="n">
        <v>24.05</v>
      </c>
      <c r="F204" s="3" t="n">
        <v>45.55</v>
      </c>
      <c r="G204" s="3" t="n">
        <v>5178.52</v>
      </c>
    </row>
    <row r="205">
      <c r="A205" s="2" t="n">
        <v>45371</v>
      </c>
      <c r="B205" s="3" t="n">
        <v>509.68</v>
      </c>
      <c r="C205" s="3" t="n">
        <v>16.57</v>
      </c>
      <c r="D205" s="3" t="n">
        <v>17.22</v>
      </c>
      <c r="E205" s="3" t="n">
        <v>24.15</v>
      </c>
      <c r="F205" s="3" t="n">
        <v>45.56</v>
      </c>
      <c r="G205" s="3" t="n">
        <v>5224.63</v>
      </c>
    </row>
    <row r="206">
      <c r="A206" s="2" t="n">
        <v>45372</v>
      </c>
      <c r="B206" s="3" t="n">
        <v>511.26</v>
      </c>
      <c r="C206" s="3" t="n">
        <v>16.66</v>
      </c>
      <c r="D206" s="3" t="n">
        <v>17.32</v>
      </c>
      <c r="E206" s="3" t="n">
        <v>24.37</v>
      </c>
      <c r="F206" s="3" t="n">
        <v>45.58</v>
      </c>
      <c r="G206" s="3" t="n">
        <v>5241.54</v>
      </c>
    </row>
    <row r="207">
      <c r="A207" s="2" t="n">
        <v>45373</v>
      </c>
      <c r="B207" s="3" t="n">
        <v>510.58</v>
      </c>
      <c r="C207" s="3" t="n">
        <v>16.61</v>
      </c>
      <c r="D207" s="3" t="n">
        <v>17.24</v>
      </c>
      <c r="E207" s="3" t="n">
        <v>24.37</v>
      </c>
      <c r="F207" s="3" t="n">
        <v>45.58</v>
      </c>
      <c r="G207" s="3" t="n">
        <v>5234.17</v>
      </c>
    </row>
    <row r="208">
      <c r="A208" s="2" t="n">
        <v>45376</v>
      </c>
      <c r="B208" s="3" t="n">
        <v>508.98</v>
      </c>
      <c r="C208" s="3" t="n">
        <v>16.71</v>
      </c>
      <c r="D208" s="3" t="n">
        <v>17.29</v>
      </c>
      <c r="E208" s="3" t="n">
        <v>24.7</v>
      </c>
      <c r="F208" s="3" t="n">
        <v>45.59</v>
      </c>
      <c r="G208" s="3" t="n">
        <v>5218.18</v>
      </c>
    </row>
    <row r="209">
      <c r="A209" s="2" t="n">
        <v>45377</v>
      </c>
      <c r="B209" s="3" t="n">
        <v>507.91</v>
      </c>
      <c r="C209" s="3" t="n">
        <v>16.81</v>
      </c>
      <c r="D209" s="3" t="n">
        <v>17.39</v>
      </c>
      <c r="E209" s="3" t="n">
        <v>24.76</v>
      </c>
      <c r="F209" s="3" t="n">
        <v>45.61</v>
      </c>
      <c r="G209" s="3" t="n">
        <v>5203.57</v>
      </c>
    </row>
    <row r="210">
      <c r="A210" s="2" t="n">
        <v>45378</v>
      </c>
      <c r="B210" s="3" t="n">
        <v>512.33</v>
      </c>
      <c r="C210" s="3" t="n">
        <v>17.01</v>
      </c>
      <c r="D210" s="3" t="n">
        <v>17.58</v>
      </c>
      <c r="E210" s="3" t="n">
        <v>24.89</v>
      </c>
      <c r="F210" s="3" t="n">
        <v>45.63</v>
      </c>
      <c r="G210" s="3" t="n">
        <v>5248.48</v>
      </c>
    </row>
    <row r="211">
      <c r="A211" s="2" t="n">
        <v>45379</v>
      </c>
      <c r="B211" s="3" t="n">
        <v>512.34</v>
      </c>
      <c r="C211" s="3" t="n">
        <v>17.3</v>
      </c>
      <c r="D211" s="3" t="n">
        <v>17.74</v>
      </c>
      <c r="E211" s="3" t="n">
        <v>25.16</v>
      </c>
      <c r="F211" s="3" t="n">
        <v>45.62</v>
      </c>
      <c r="G211" s="3" t="n">
        <v>5254.34</v>
      </c>
    </row>
    <row r="212">
      <c r="A212" s="2" t="n">
        <v>45383</v>
      </c>
      <c r="B212" s="3" t="n">
        <v>511.51</v>
      </c>
      <c r="C212" s="3" t="n">
        <v>16.94</v>
      </c>
      <c r="D212" s="3" t="n">
        <v>17.52</v>
      </c>
      <c r="E212" s="3" t="n">
        <v>24.87</v>
      </c>
      <c r="F212" s="3" t="n">
        <v>45.62</v>
      </c>
      <c r="G212" s="3" t="n">
        <v>5243.78</v>
      </c>
    </row>
    <row r="213">
      <c r="A213" s="2" t="n">
        <v>45384</v>
      </c>
      <c r="B213" s="3" t="n">
        <v>508.17</v>
      </c>
      <c r="C213" s="3" t="n">
        <v>17.06</v>
      </c>
      <c r="D213" s="3" t="n">
        <v>17.39</v>
      </c>
      <c r="E213" s="3" t="n">
        <v>24.72</v>
      </c>
      <c r="F213" s="3" t="n">
        <v>45.64</v>
      </c>
      <c r="G213" s="3" t="n">
        <v>5205.8</v>
      </c>
    </row>
    <row r="214">
      <c r="A214" s="2" t="n">
        <v>45385</v>
      </c>
      <c r="B214" s="3" t="n">
        <v>508.73</v>
      </c>
      <c r="C214" s="3" t="n">
        <v>17.01</v>
      </c>
      <c r="D214" s="3" t="n">
        <v>17.45</v>
      </c>
      <c r="E214" s="3" t="n">
        <v>24.85</v>
      </c>
      <c r="F214" s="3" t="n">
        <v>45.65</v>
      </c>
      <c r="G214" s="3" t="n">
        <v>5211.48</v>
      </c>
    </row>
    <row r="215">
      <c r="A215" s="2" t="n">
        <v>45386</v>
      </c>
      <c r="B215" s="3" t="n">
        <v>502.48</v>
      </c>
      <c r="C215" s="3" t="n">
        <v>16.91</v>
      </c>
      <c r="D215" s="3" t="n">
        <v>17.29</v>
      </c>
      <c r="E215" s="3" t="n">
        <v>24.79</v>
      </c>
      <c r="F215" s="3" t="n">
        <v>45.68</v>
      </c>
      <c r="G215" s="3" t="n">
        <v>5147.2</v>
      </c>
    </row>
    <row r="216">
      <c r="A216" s="2" t="n">
        <v>45387</v>
      </c>
      <c r="B216" s="3" t="n">
        <v>507.72</v>
      </c>
      <c r="C216" s="3" t="n">
        <v>17.09</v>
      </c>
      <c r="D216" s="3" t="n">
        <v>17.37</v>
      </c>
      <c r="E216" s="3" t="n">
        <v>24.96</v>
      </c>
      <c r="F216" s="3" t="n">
        <v>45.67</v>
      </c>
      <c r="G216" s="3" t="n">
        <v>5204.35</v>
      </c>
    </row>
    <row r="217">
      <c r="A217" s="2" t="n">
        <v>45390</v>
      </c>
      <c r="B217" s="3" t="n">
        <v>507.86</v>
      </c>
      <c r="C217" s="3" t="n">
        <v>17.08</v>
      </c>
      <c r="D217" s="3" t="n">
        <v>17.33</v>
      </c>
      <c r="E217" s="3" t="n">
        <v>24.9</v>
      </c>
      <c r="F217" s="3" t="n">
        <v>45.67</v>
      </c>
      <c r="G217" s="3" t="n">
        <v>5202.38</v>
      </c>
    </row>
    <row r="218">
      <c r="A218" s="2" t="n">
        <v>45391</v>
      </c>
      <c r="B218" s="3" t="n">
        <v>508.49</v>
      </c>
      <c r="C218" s="3" t="n">
        <v>17.06</v>
      </c>
      <c r="D218" s="3" t="n">
        <v>17.35</v>
      </c>
      <c r="E218" s="3" t="n">
        <v>24.86</v>
      </c>
      <c r="F218" s="3" t="n">
        <v>45.69</v>
      </c>
      <c r="G218" s="3" t="n">
        <v>5209.92</v>
      </c>
    </row>
    <row r="219">
      <c r="A219" s="2" t="n">
        <v>45392</v>
      </c>
      <c r="B219" s="3" t="n">
        <v>503.56</v>
      </c>
      <c r="C219" s="3" t="n">
        <v>16.94</v>
      </c>
      <c r="D219" s="3" t="n">
        <v>17.29</v>
      </c>
      <c r="E219" s="3" t="n">
        <v>24.89</v>
      </c>
      <c r="F219" s="3" t="n">
        <v>45.65</v>
      </c>
      <c r="G219" s="3" t="n">
        <v>5160.65</v>
      </c>
    </row>
    <row r="220">
      <c r="A220" s="2" t="n">
        <v>45393</v>
      </c>
      <c r="B220" s="3" t="n">
        <v>507.33</v>
      </c>
      <c r="C220" s="3" t="n">
        <v>17.05</v>
      </c>
      <c r="D220" s="3" t="n">
        <v>17.38</v>
      </c>
      <c r="E220" s="3" t="n">
        <v>24.98</v>
      </c>
      <c r="F220" s="3" t="n">
        <v>45.67</v>
      </c>
      <c r="G220" s="3" t="n">
        <v>5199.05</v>
      </c>
    </row>
    <row r="221">
      <c r="A221" s="2" t="n">
        <v>45394</v>
      </c>
      <c r="B221" s="3" t="n">
        <v>500.24</v>
      </c>
      <c r="C221" s="3" t="n">
        <v>16.85</v>
      </c>
      <c r="D221" s="3" t="n">
        <v>17.18</v>
      </c>
      <c r="E221" s="3" t="n">
        <v>24.63</v>
      </c>
      <c r="F221" s="3" t="n">
        <v>45.68</v>
      </c>
      <c r="G221" s="3" t="n">
        <v>5123.4</v>
      </c>
    </row>
    <row r="222">
      <c r="A222" s="2" t="n">
        <v>45397</v>
      </c>
      <c r="B222" s="3" t="n">
        <v>494.04</v>
      </c>
      <c r="C222" s="3" t="n">
        <v>16.81</v>
      </c>
      <c r="D222" s="3" t="n">
        <v>17.14</v>
      </c>
      <c r="E222" s="3" t="n">
        <v>24.6</v>
      </c>
      <c r="F222" s="3" t="n">
        <v>45.69</v>
      </c>
      <c r="G222" s="3" t="n">
        <v>5061.81</v>
      </c>
    </row>
    <row r="223">
      <c r="A223" s="2" t="n">
        <v>45398</v>
      </c>
      <c r="B223" s="3" t="n">
        <v>493.09</v>
      </c>
      <c r="C223" s="3" t="n">
        <v>16.81</v>
      </c>
      <c r="D223" s="3" t="n">
        <v>17.01</v>
      </c>
      <c r="E223" s="3" t="n">
        <v>24.82</v>
      </c>
      <c r="F223" s="3" t="n">
        <v>45.7</v>
      </c>
      <c r="G223" s="3" t="n">
        <v>5051.4</v>
      </c>
    </row>
    <row r="224">
      <c r="A224" s="2" t="n">
        <v>45399</v>
      </c>
      <c r="B224" s="3" t="n">
        <v>490.23</v>
      </c>
      <c r="C224" s="3" t="n">
        <v>16.89</v>
      </c>
      <c r="D224" s="3" t="n">
        <v>17.15</v>
      </c>
      <c r="E224" s="3" t="n">
        <v>24.92</v>
      </c>
      <c r="F224" s="3" t="n">
        <v>45.72</v>
      </c>
      <c r="G224" s="3" t="n">
        <v>5022.22</v>
      </c>
    </row>
    <row r="225">
      <c r="A225" s="2" t="n">
        <v>45400</v>
      </c>
      <c r="B225" s="3" t="n">
        <v>489.1</v>
      </c>
      <c r="C225" s="3" t="n">
        <v>16.96</v>
      </c>
      <c r="D225" s="3" t="n">
        <v>17.24</v>
      </c>
      <c r="E225" s="3" t="n">
        <v>25.19</v>
      </c>
      <c r="F225" s="3" t="n">
        <v>45.72</v>
      </c>
      <c r="G225" s="3" t="n">
        <v>5011.11</v>
      </c>
    </row>
    <row r="226">
      <c r="A226" s="2" t="n">
        <v>45401</v>
      </c>
      <c r="B226" s="3" t="n">
        <v>484.86</v>
      </c>
      <c r="C226" s="3" t="n">
        <v>17.11</v>
      </c>
      <c r="D226" s="3" t="n">
        <v>17.31</v>
      </c>
      <c r="E226" s="3" t="n">
        <v>25.29</v>
      </c>
      <c r="F226" s="3" t="n">
        <v>45.72</v>
      </c>
      <c r="G226" s="3" t="n">
        <v>4967.24</v>
      </c>
    </row>
    <row r="227">
      <c r="A227" s="2" t="n">
        <v>45404</v>
      </c>
      <c r="B227" s="3" t="n">
        <v>489.33</v>
      </c>
      <c r="C227" s="3" t="n">
        <v>17.16</v>
      </c>
      <c r="D227" s="3" t="n">
        <v>17.66</v>
      </c>
      <c r="E227" s="3" t="n">
        <v>25.52</v>
      </c>
      <c r="F227" s="3" t="n">
        <v>45.74</v>
      </c>
      <c r="G227" s="3" t="n">
        <v>5010.59</v>
      </c>
    </row>
    <row r="228">
      <c r="A228" s="2" t="n">
        <v>45405</v>
      </c>
      <c r="B228" s="3" t="n">
        <v>495.23</v>
      </c>
      <c r="C228" s="3" t="n">
        <v>17.23</v>
      </c>
      <c r="D228" s="3" t="n">
        <v>17.53</v>
      </c>
      <c r="E228" s="3" t="n">
        <v>25.76</v>
      </c>
      <c r="F228" s="3" t="n">
        <v>45.75</v>
      </c>
      <c r="G228" s="3" t="n">
        <v>5070.56</v>
      </c>
    </row>
    <row r="229">
      <c r="A229" s="2" t="n">
        <v>45406</v>
      </c>
      <c r="B229" s="3" t="n">
        <v>495.03</v>
      </c>
      <c r="C229" s="3" t="n">
        <v>17.27</v>
      </c>
      <c r="D229" s="3" t="n">
        <v>17.5</v>
      </c>
      <c r="E229" s="3" t="n">
        <v>25.73</v>
      </c>
      <c r="F229" s="3" t="n">
        <v>45.75</v>
      </c>
      <c r="G229" s="3" t="n">
        <v>5071.62</v>
      </c>
    </row>
    <row r="230">
      <c r="A230" s="2" t="n">
        <v>45407</v>
      </c>
      <c r="B230" s="3" t="n">
        <v>492.94</v>
      </c>
      <c r="C230" s="3" t="n">
        <v>17.14</v>
      </c>
      <c r="D230" s="3" t="n">
        <v>17.49</v>
      </c>
      <c r="E230" s="3" t="n">
        <v>25.69</v>
      </c>
      <c r="F230" s="3" t="n">
        <v>45.77</v>
      </c>
      <c r="G230" s="3" t="n">
        <v>5048.41</v>
      </c>
    </row>
    <row r="231">
      <c r="A231" s="2" t="n">
        <v>45408</v>
      </c>
      <c r="B231" s="3" t="n">
        <v>497.76</v>
      </c>
      <c r="C231" s="3" t="n">
        <v>17.26</v>
      </c>
      <c r="D231" s="3" t="n">
        <v>17.95</v>
      </c>
      <c r="E231" s="3" t="n">
        <v>25.92</v>
      </c>
      <c r="F231" s="3" t="n">
        <v>45.78</v>
      </c>
      <c r="G231" s="3" t="n">
        <v>5099.95</v>
      </c>
    </row>
    <row r="232">
      <c r="A232" s="2" t="n">
        <v>45411</v>
      </c>
      <c r="B232" s="3" t="n">
        <v>499.53</v>
      </c>
      <c r="C232" s="3" t="n">
        <v>17.29</v>
      </c>
      <c r="D232" s="3" t="n">
        <v>17.96</v>
      </c>
      <c r="E232" s="3" t="n">
        <v>25.94</v>
      </c>
      <c r="F232" s="3" t="n">
        <v>45.8</v>
      </c>
      <c r="G232" s="3" t="n">
        <v>5116.16</v>
      </c>
    </row>
    <row r="233">
      <c r="A233" s="2" t="n">
        <v>45412</v>
      </c>
      <c r="B233" s="3" t="n">
        <v>491.59</v>
      </c>
      <c r="C233" s="3" t="n">
        <v>17.12</v>
      </c>
      <c r="D233" s="3" t="n">
        <v>17.96</v>
      </c>
      <c r="E233" s="3" t="n">
        <v>25.6</v>
      </c>
      <c r="F233" s="3" t="n">
        <v>45.8</v>
      </c>
      <c r="G233" s="3" t="n">
        <v>5035.7</v>
      </c>
    </row>
    <row r="234">
      <c r="A234" s="2" t="n">
        <v>45413</v>
      </c>
      <c r="B234" s="3" t="n">
        <v>490.05</v>
      </c>
      <c r="C234" s="3" t="n">
        <v>17.32</v>
      </c>
      <c r="D234" s="3" t="n">
        <v>18.03</v>
      </c>
      <c r="E234" s="3" t="n">
        <v>25.97</v>
      </c>
      <c r="F234" s="3" t="n">
        <v>45.81</v>
      </c>
      <c r="G234" s="3" t="n">
        <v>5018.4</v>
      </c>
    </row>
    <row r="235">
      <c r="A235" s="2" t="n">
        <v>45414</v>
      </c>
      <c r="B235" s="3" t="n">
        <v>494.53</v>
      </c>
      <c r="C235" s="3" t="n">
        <v>17.06</v>
      </c>
      <c r="D235" s="3" t="n">
        <v>17.29</v>
      </c>
      <c r="E235" s="3" t="n">
        <v>25.84</v>
      </c>
      <c r="F235" s="3" t="n">
        <v>45.84</v>
      </c>
      <c r="G235" s="3" t="n">
        <v>5064.19</v>
      </c>
    </row>
    <row r="236">
      <c r="A236" s="2" t="n">
        <v>45415</v>
      </c>
      <c r="B236" s="3" t="n">
        <v>500.75</v>
      </c>
      <c r="C236" s="3" t="n">
        <v>17.12</v>
      </c>
      <c r="D236" s="3" t="n">
        <v>17.39</v>
      </c>
      <c r="E236" s="3" t="n">
        <v>26.03</v>
      </c>
      <c r="F236" s="3" t="n">
        <v>45.87</v>
      </c>
      <c r="G236" s="3" t="n">
        <v>5127.8</v>
      </c>
    </row>
    <row r="237">
      <c r="A237" s="2" t="n">
        <v>45418</v>
      </c>
      <c r="B237" s="3" t="n">
        <v>505.97</v>
      </c>
      <c r="C237" s="3" t="n">
        <v>17.35</v>
      </c>
      <c r="D237" s="3" t="n">
        <v>17.42</v>
      </c>
      <c r="E237" s="3" t="n">
        <v>26.25</v>
      </c>
      <c r="F237" s="3" t="n">
        <v>45.87</v>
      </c>
      <c r="G237" s="3" t="n">
        <v>5180.73</v>
      </c>
    </row>
    <row r="238">
      <c r="A238" s="2" t="n">
        <v>45419</v>
      </c>
      <c r="B238" s="3" t="n">
        <v>506.62</v>
      </c>
      <c r="C238" s="3" t="n">
        <v>17.28</v>
      </c>
      <c r="D238" s="3" t="n">
        <v>17.41</v>
      </c>
      <c r="E238" s="3" t="n">
        <v>26.07</v>
      </c>
      <c r="F238" s="3" t="n">
        <v>45.88</v>
      </c>
      <c r="G238" s="3" t="n">
        <v>5187.71</v>
      </c>
    </row>
    <row r="239">
      <c r="A239" s="2" t="n">
        <v>45420</v>
      </c>
      <c r="B239" s="3" t="n">
        <v>506.57</v>
      </c>
      <c r="C239" s="3" t="n">
        <v>17.26</v>
      </c>
      <c r="D239" s="3" t="n">
        <v>17.56</v>
      </c>
      <c r="E239" s="3" t="n">
        <v>25.63</v>
      </c>
      <c r="F239" s="3" t="n">
        <v>45.88</v>
      </c>
      <c r="G239" s="3" t="n">
        <v>5187.66</v>
      </c>
    </row>
    <row r="240">
      <c r="A240" s="2" t="n">
        <v>45421</v>
      </c>
      <c r="B240" s="3" t="n">
        <v>509.35</v>
      </c>
      <c r="C240" s="3" t="n">
        <v>17.38</v>
      </c>
      <c r="D240" s="3" t="n">
        <v>17.68</v>
      </c>
      <c r="E240" s="3" t="n">
        <v>25.75</v>
      </c>
      <c r="F240" s="3" t="n">
        <v>45.9</v>
      </c>
      <c r="G240" s="3" t="n">
        <v>5214.07</v>
      </c>
    </row>
    <row r="241">
      <c r="A241" s="2" t="n">
        <v>45422</v>
      </c>
      <c r="B241" s="3" t="n">
        <v>510.06</v>
      </c>
      <c r="C241" s="3" t="n">
        <v>17.53</v>
      </c>
      <c r="D241" s="3" t="n">
        <v>17.92</v>
      </c>
      <c r="E241" s="3" t="n">
        <v>25.54</v>
      </c>
      <c r="F241" s="3" t="n">
        <v>45.89</v>
      </c>
      <c r="G241" s="3" t="n">
        <v>5222.69</v>
      </c>
    </row>
    <row r="242">
      <c r="A242" s="2" t="n">
        <v>45425</v>
      </c>
      <c r="B242" s="3" t="n">
        <v>510.23</v>
      </c>
      <c r="C242" s="3" t="n">
        <v>17.56</v>
      </c>
      <c r="D242" s="3" t="n">
        <v>17.84</v>
      </c>
      <c r="E242" s="3" t="n">
        <v>25.24</v>
      </c>
      <c r="F242" s="3" t="n">
        <v>45.91</v>
      </c>
      <c r="G242" s="3" t="n">
        <v>5221.41</v>
      </c>
    </row>
    <row r="243">
      <c r="A243" s="2" t="n">
        <v>45426</v>
      </c>
      <c r="B243" s="3" t="n">
        <v>512.5599999999999</v>
      </c>
      <c r="C243" s="3" t="n">
        <v>17.65</v>
      </c>
      <c r="D243" s="3" t="n">
        <v>17.94</v>
      </c>
      <c r="E243" s="3" t="n">
        <v>25.16</v>
      </c>
      <c r="F243" s="3" t="n">
        <v>45.92</v>
      </c>
      <c r="G243" s="3" t="n">
        <v>5246.69</v>
      </c>
    </row>
    <row r="244">
      <c r="A244" s="2" t="n">
        <v>45427</v>
      </c>
      <c r="B244" s="3" t="n">
        <v>518.92</v>
      </c>
      <c r="C244" s="3" t="n">
        <v>17.59</v>
      </c>
      <c r="D244" s="3" t="n">
        <v>17.74</v>
      </c>
      <c r="E244" s="3" t="n">
        <v>24.7</v>
      </c>
      <c r="F244" s="3" t="n">
        <v>45.95</v>
      </c>
      <c r="G244" s="3" t="n">
        <v>5308.14</v>
      </c>
    </row>
    <row r="245">
      <c r="A245" s="2" t="n">
        <v>45428</v>
      </c>
      <c r="B245" s="3" t="n">
        <v>517.7</v>
      </c>
      <c r="C245" s="3" t="n">
        <v>17.57</v>
      </c>
      <c r="D245" s="3" t="n">
        <v>17.63</v>
      </c>
      <c r="E245" s="3" t="n">
        <v>24.67</v>
      </c>
      <c r="F245" s="3" t="n">
        <v>45.96</v>
      </c>
      <c r="G245" s="3" t="n">
        <v>5297.09</v>
      </c>
    </row>
    <row r="246">
      <c r="A246" s="2" t="n">
        <v>45429</v>
      </c>
      <c r="B246" s="3" t="n">
        <v>518.58</v>
      </c>
      <c r="C246" s="3" t="n">
        <v>17.68</v>
      </c>
      <c r="D246" s="3" t="n">
        <v>17.58</v>
      </c>
      <c r="E246" s="3" t="n">
        <v>24.73</v>
      </c>
      <c r="F246" s="3" t="n">
        <v>45.96</v>
      </c>
      <c r="G246" s="3" t="n">
        <v>5303.26</v>
      </c>
    </row>
    <row r="247">
      <c r="A247" s="2" t="n">
        <v>45432</v>
      </c>
      <c r="B247" s="3" t="n">
        <v>519.1799999999999</v>
      </c>
      <c r="C247" s="3" t="n">
        <v>17.72</v>
      </c>
      <c r="D247" s="3" t="n">
        <v>17.73</v>
      </c>
      <c r="E247" s="3" t="n">
        <v>24.8</v>
      </c>
      <c r="F247" s="3" t="n">
        <v>45.97</v>
      </c>
      <c r="G247" s="3" t="n">
        <v>5308.12</v>
      </c>
    </row>
    <row r="248">
      <c r="A248" s="2" t="n">
        <v>45433</v>
      </c>
      <c r="B248" s="3" t="n">
        <v>520.45</v>
      </c>
      <c r="C248" s="3" t="n">
        <v>17.83</v>
      </c>
      <c r="D248" s="3" t="n">
        <v>17.84</v>
      </c>
      <c r="E248" s="3" t="n">
        <v>24.98</v>
      </c>
      <c r="F248" s="3" t="n">
        <v>45.99</v>
      </c>
      <c r="G248" s="3" t="n">
        <v>5321.42</v>
      </c>
    </row>
    <row r="249">
      <c r="A249" s="2" t="n">
        <v>45434</v>
      </c>
      <c r="B249" s="3" t="n">
        <v>518.97</v>
      </c>
      <c r="C249" s="3" t="n">
        <v>17.75</v>
      </c>
      <c r="D249" s="3" t="n">
        <v>17.59</v>
      </c>
      <c r="E249" s="3" t="n">
        <v>24.81</v>
      </c>
      <c r="F249" s="3" t="n">
        <v>45.98</v>
      </c>
      <c r="G249" s="3" t="n">
        <v>5307.02</v>
      </c>
    </row>
    <row r="250">
      <c r="A250" s="2" t="n">
        <v>45435</v>
      </c>
      <c r="B250" s="3" t="n">
        <v>515.1799999999999</v>
      </c>
      <c r="C250" s="3" t="n">
        <v>17.61</v>
      </c>
      <c r="D250" s="3" t="n">
        <v>17.67</v>
      </c>
      <c r="E250" s="3" t="n">
        <v>24.79</v>
      </c>
      <c r="F250" s="3" t="n">
        <v>46</v>
      </c>
      <c r="G250" s="3" t="n">
        <v>5267.85</v>
      </c>
    </row>
    <row r="251">
      <c r="A251" s="2" t="n">
        <v>45436</v>
      </c>
      <c r="B251" s="3" t="n">
        <v>518.6</v>
      </c>
      <c r="C251" s="3" t="n">
        <v>17.74</v>
      </c>
      <c r="D251" s="3" t="n">
        <v>17.96</v>
      </c>
      <c r="E251" s="3" t="n">
        <v>24.97</v>
      </c>
      <c r="F251" s="3" t="n">
        <v>46.01</v>
      </c>
      <c r="G251" s="3" t="n">
        <v>5304.71</v>
      </c>
    </row>
    <row r="252">
      <c r="A252" s="2" t="n">
        <v>45440</v>
      </c>
      <c r="B252" s="3" t="n">
        <v>519</v>
      </c>
      <c r="C252" s="3" t="n">
        <v>17.73</v>
      </c>
      <c r="D252" s="3" t="n">
        <v>17.87</v>
      </c>
      <c r="E252" s="3" t="n">
        <v>24.85</v>
      </c>
      <c r="F252" s="3" t="n">
        <v>46.02</v>
      </c>
      <c r="G252" s="3" t="n">
        <v>5306.03</v>
      </c>
    </row>
    <row r="253">
      <c r="A253" s="2" t="n">
        <v>45441</v>
      </c>
      <c r="B253" s="3" t="n">
        <v>515.28</v>
      </c>
      <c r="C253" s="3" t="n">
        <v>17.65</v>
      </c>
      <c r="D253" s="3" t="n">
        <v>17.9</v>
      </c>
      <c r="E253" s="3" t="n">
        <v>24.81</v>
      </c>
      <c r="F253" s="3" t="n">
        <v>46.01</v>
      </c>
      <c r="G253" s="3" t="n">
        <v>5266.96</v>
      </c>
    </row>
    <row r="254">
      <c r="A254" s="2" t="n">
        <v>45442</v>
      </c>
      <c r="B254" s="3" t="n">
        <v>511.94</v>
      </c>
      <c r="C254" s="3" t="n">
        <v>17.79</v>
      </c>
      <c r="D254" s="3" t="n">
        <v>18.08</v>
      </c>
      <c r="E254" s="3" t="n">
        <v>25.21</v>
      </c>
      <c r="F254" s="3" t="n">
        <v>46.03</v>
      </c>
      <c r="G254" s="3" t="n">
        <v>5235.47</v>
      </c>
    </row>
    <row r="255">
      <c r="A255" s="2" t="n">
        <v>45443</v>
      </c>
      <c r="B255" s="3" t="n">
        <v>516.46</v>
      </c>
      <c r="C255" s="3" t="n">
        <v>17.92</v>
      </c>
      <c r="D255" s="3" t="n">
        <v>18.27</v>
      </c>
      <c r="E255" s="3" t="n">
        <v>25.42</v>
      </c>
      <c r="F255" s="3" t="n">
        <v>46.05</v>
      </c>
      <c r="G255" s="3" t="n">
        <v>5277.5</v>
      </c>
    </row>
    <row r="256">
      <c r="A256" s="2" t="n">
        <v>45446</v>
      </c>
      <c r="B256" s="3" t="n">
        <v>516.78</v>
      </c>
      <c r="C256" s="3" t="n">
        <v>17.92</v>
      </c>
      <c r="D256" s="3" t="n">
        <v>18.21</v>
      </c>
      <c r="E256" s="3" t="n">
        <v>25.44</v>
      </c>
      <c r="F256" s="3" t="n">
        <v>46.07</v>
      </c>
      <c r="G256" s="3" t="n">
        <v>5283.41</v>
      </c>
    </row>
    <row r="257">
      <c r="A257" s="2" t="n">
        <v>45447</v>
      </c>
      <c r="B257" s="3" t="n">
        <v>517.54</v>
      </c>
      <c r="C257" s="3" t="n">
        <v>17.92</v>
      </c>
      <c r="D257" s="3" t="n">
        <v>18.03</v>
      </c>
      <c r="E257" s="3" t="n">
        <v>25.36</v>
      </c>
      <c r="F257" s="3" t="n">
        <v>46.09</v>
      </c>
      <c r="G257" s="3" t="n">
        <v>5291.35</v>
      </c>
    </row>
    <row r="258">
      <c r="A258" s="2" t="n">
        <v>45448</v>
      </c>
      <c r="B258" s="3" t="n">
        <v>523.74</v>
      </c>
      <c r="C258" s="3" t="n">
        <v>17.93</v>
      </c>
      <c r="D258" s="3" t="n">
        <v>18.19</v>
      </c>
      <c r="E258" s="3" t="n">
        <v>25.41</v>
      </c>
      <c r="F258" s="3" t="n">
        <v>46.1</v>
      </c>
      <c r="G258" s="3" t="n">
        <v>5354.04</v>
      </c>
    </row>
    <row r="259">
      <c r="A259" s="2" t="n">
        <v>45449</v>
      </c>
      <c r="B259" s="3" t="n">
        <v>523.72</v>
      </c>
      <c r="C259" s="3" t="n">
        <v>17.74</v>
      </c>
      <c r="D259" s="3" t="n">
        <v>18.08</v>
      </c>
      <c r="E259" s="3" t="n">
        <v>25.27</v>
      </c>
      <c r="F259" s="3" t="n">
        <v>46.11</v>
      </c>
      <c r="G259" s="3" t="n">
        <v>5352.95</v>
      </c>
    </row>
    <row r="260">
      <c r="A260" s="2" t="n">
        <v>45450</v>
      </c>
      <c r="B260" s="3" t="n">
        <v>523.0599999999999</v>
      </c>
      <c r="C260" s="3" t="n">
        <v>17.89</v>
      </c>
      <c r="D260" s="3" t="n">
        <v>18.17</v>
      </c>
      <c r="E260" s="3" t="n">
        <v>25.4</v>
      </c>
      <c r="F260" s="3" t="n">
        <v>46.1</v>
      </c>
      <c r="G260" s="3" t="n">
        <v>5346.98</v>
      </c>
    </row>
    <row r="261">
      <c r="A261" s="2" t="n">
        <v>45453</v>
      </c>
      <c r="B261" s="3" t="n">
        <v>524.62</v>
      </c>
      <c r="C261" s="3" t="n">
        <v>17.88</v>
      </c>
      <c r="D261" s="3" t="n">
        <v>18.07</v>
      </c>
      <c r="E261" s="3" t="n">
        <v>25.48</v>
      </c>
      <c r="F261" s="3" t="n">
        <v>46.11</v>
      </c>
      <c r="G261" s="3" t="n">
        <v>5360.78</v>
      </c>
    </row>
    <row r="262">
      <c r="A262" s="2" t="n">
        <v>45454</v>
      </c>
      <c r="B262" s="3" t="n">
        <v>525.92</v>
      </c>
      <c r="C262" s="3" t="n">
        <v>17.79</v>
      </c>
      <c r="D262" s="3" t="n">
        <v>18</v>
      </c>
      <c r="E262" s="3" t="n">
        <v>25.33</v>
      </c>
      <c r="F262" s="3" t="n">
        <v>46.13</v>
      </c>
      <c r="G262" s="3" t="n">
        <v>5375.31</v>
      </c>
    </row>
    <row r="263">
      <c r="A263" s="2" t="n">
        <v>45455</v>
      </c>
      <c r="B263" s="3" t="n">
        <v>530.3</v>
      </c>
      <c r="C263" s="3" t="n">
        <v>17.8</v>
      </c>
      <c r="D263" s="3" t="n">
        <v>18</v>
      </c>
      <c r="E263" s="3" t="n">
        <v>25.36</v>
      </c>
      <c r="F263" s="3" t="n">
        <v>46.16</v>
      </c>
      <c r="G263" s="3" t="n">
        <v>5421.02</v>
      </c>
    </row>
    <row r="264">
      <c r="A264" s="2" t="n">
        <v>45456</v>
      </c>
      <c r="B264" s="3" t="n">
        <v>531.42</v>
      </c>
      <c r="C264" s="3" t="n">
        <v>17.67</v>
      </c>
      <c r="D264" s="3" t="n">
        <v>17.81</v>
      </c>
      <c r="E264" s="3" t="n">
        <v>25.36</v>
      </c>
      <c r="F264" s="3" t="n">
        <v>46.18</v>
      </c>
      <c r="G264" s="3" t="n">
        <v>5433.75</v>
      </c>
    </row>
    <row r="265">
      <c r="A265" s="2" t="n">
        <v>45457</v>
      </c>
      <c r="B265" s="3" t="n">
        <v>531.6</v>
      </c>
      <c r="C265" s="3" t="n">
        <v>17.58</v>
      </c>
      <c r="D265" s="3" t="n">
        <v>17.83</v>
      </c>
      <c r="E265" s="3" t="n">
        <v>25.31</v>
      </c>
      <c r="F265" s="3" t="n">
        <v>46.19</v>
      </c>
      <c r="G265" s="3" t="n">
        <v>5431.61</v>
      </c>
    </row>
    <row r="266">
      <c r="A266" s="2" t="n">
        <v>45460</v>
      </c>
      <c r="B266" s="3" t="n">
        <v>535.95</v>
      </c>
      <c r="C266" s="3" t="n">
        <v>17.61</v>
      </c>
      <c r="D266" s="3" t="n">
        <v>18</v>
      </c>
      <c r="E266" s="3" t="n">
        <v>25.37</v>
      </c>
      <c r="F266" s="3" t="n">
        <v>46.18</v>
      </c>
      <c r="G266" s="3" t="n">
        <v>5473.24</v>
      </c>
    </row>
    <row r="267">
      <c r="A267" s="2" t="n">
        <v>45461</v>
      </c>
      <c r="B267" s="3" t="n">
        <v>537.25</v>
      </c>
      <c r="C267" s="3" t="n">
        <v>17.5</v>
      </c>
      <c r="D267" s="3" t="n">
        <v>17.97</v>
      </c>
      <c r="E267" s="3" t="n">
        <v>25.45</v>
      </c>
      <c r="F267" s="3" t="n">
        <v>46.2</v>
      </c>
      <c r="G267" s="3" t="n">
        <v>5487.02</v>
      </c>
    </row>
    <row r="268">
      <c r="A268" s="2" t="n">
        <v>45463</v>
      </c>
      <c r="B268" s="3" t="n">
        <v>535.59</v>
      </c>
      <c r="C268" s="3" t="n">
        <v>17.5</v>
      </c>
      <c r="D268" s="3" t="n">
        <v>18.02</v>
      </c>
      <c r="E268" s="3" t="n">
        <v>25.31</v>
      </c>
      <c r="F268" s="3" t="n">
        <v>46.2</v>
      </c>
      <c r="G268" s="3" t="n">
        <v>5473.16</v>
      </c>
    </row>
    <row r="269">
      <c r="A269" s="2" t="n">
        <v>45464</v>
      </c>
      <c r="B269" s="3" t="n">
        <v>534.6799999999999</v>
      </c>
      <c r="C269" s="3" t="n">
        <v>17.5</v>
      </c>
      <c r="D269" s="3" t="n">
        <v>17.98</v>
      </c>
      <c r="E269" s="3" t="n">
        <v>25.7</v>
      </c>
      <c r="F269" s="3" t="n">
        <v>46.2</v>
      </c>
      <c r="G269" s="3" t="n">
        <v>5464.61</v>
      </c>
    </row>
    <row r="270">
      <c r="A270" s="2" t="n">
        <v>45467</v>
      </c>
      <c r="B270" s="3" t="n">
        <v>533.3099999999999</v>
      </c>
      <c r="C270" s="3" t="n">
        <v>17.57</v>
      </c>
      <c r="D270" s="3" t="n">
        <v>18.04</v>
      </c>
      <c r="E270" s="3" t="n">
        <v>25.54</v>
      </c>
      <c r="F270" s="3" t="n">
        <v>46.23</v>
      </c>
      <c r="G270" s="3" t="n">
        <v>5447.88</v>
      </c>
    </row>
    <row r="271">
      <c r="A271" s="2" t="n">
        <v>45468</v>
      </c>
      <c r="B271" s="3" t="n">
        <v>535.34</v>
      </c>
      <c r="C271" s="3" t="n">
        <v>17.44</v>
      </c>
      <c r="D271" s="3" t="n">
        <v>17.94</v>
      </c>
      <c r="E271" s="3" t="n">
        <v>25.63</v>
      </c>
      <c r="F271" s="3" t="n">
        <v>46.23</v>
      </c>
      <c r="G271" s="3" t="n">
        <v>5469.29</v>
      </c>
    </row>
    <row r="272">
      <c r="A272" s="2" t="n">
        <v>45469</v>
      </c>
      <c r="B272" s="3" t="n">
        <v>536.16</v>
      </c>
      <c r="C272" s="3" t="n">
        <v>17.49</v>
      </c>
      <c r="D272" s="3" t="n">
        <v>17.96</v>
      </c>
      <c r="E272" s="3" t="n">
        <v>25.63</v>
      </c>
      <c r="F272" s="3" t="n">
        <v>46.23</v>
      </c>
      <c r="G272" s="3" t="n">
        <v>5477.91</v>
      </c>
    </row>
    <row r="273">
      <c r="A273" s="2" t="n">
        <v>45470</v>
      </c>
      <c r="B273" s="3" t="n">
        <v>536.9400000000001</v>
      </c>
      <c r="C273" s="3" t="n">
        <v>17.68</v>
      </c>
      <c r="D273" s="3" t="n">
        <v>18.11</v>
      </c>
      <c r="E273" s="3" t="n">
        <v>25.71</v>
      </c>
      <c r="F273" s="3" t="n">
        <v>46.24</v>
      </c>
      <c r="G273" s="3" t="n">
        <v>5482.88</v>
      </c>
    </row>
    <row r="274">
      <c r="A274" s="2" t="n">
        <v>45471</v>
      </c>
      <c r="B274" s="3" t="n">
        <v>534.9</v>
      </c>
      <c r="C274" s="3" t="n">
        <v>17.72</v>
      </c>
      <c r="D274" s="3" t="n">
        <v>18.11</v>
      </c>
      <c r="E274" s="3" t="n">
        <v>25.35</v>
      </c>
      <c r="F274" s="3" t="n">
        <v>46.25</v>
      </c>
      <c r="G274" s="3" t="n">
        <v>5460.49</v>
      </c>
    </row>
    <row r="275">
      <c r="A275" s="2" t="n">
        <v>45474</v>
      </c>
      <c r="B275" s="3" t="n">
        <v>536.05</v>
      </c>
      <c r="C275" s="3" t="n">
        <v>17.61</v>
      </c>
      <c r="D275" s="3" t="n">
        <v>18.16</v>
      </c>
      <c r="E275" s="3" t="n">
        <v>25.26</v>
      </c>
      <c r="F275" s="3" t="n">
        <v>46.25</v>
      </c>
      <c r="G275" s="3" t="n">
        <v>5475.1</v>
      </c>
    </row>
    <row r="276">
      <c r="A276" s="2" t="n">
        <v>45475</v>
      </c>
      <c r="B276" s="3" t="n">
        <v>539.47</v>
      </c>
      <c r="C276" s="3" t="n">
        <v>17.75</v>
      </c>
      <c r="D276" s="3" t="n">
        <v>18.46</v>
      </c>
      <c r="E276" s="3" t="n">
        <v>25.79</v>
      </c>
      <c r="F276" s="3" t="n">
        <v>46.28</v>
      </c>
      <c r="G276" s="3" t="n">
        <v>5509.02</v>
      </c>
    </row>
    <row r="277">
      <c r="A277" s="2" t="n">
        <v>45476</v>
      </c>
      <c r="B277" s="3" t="n">
        <v>541.84</v>
      </c>
      <c r="C277" s="3" t="n">
        <v>17.82</v>
      </c>
      <c r="D277" s="3" t="n">
        <v>18.45</v>
      </c>
      <c r="E277" s="3" t="n">
        <v>25.77</v>
      </c>
      <c r="F277" s="3" t="n">
        <v>46.29</v>
      </c>
      <c r="G277" s="3" t="n">
        <v>5537.01</v>
      </c>
    </row>
    <row r="278">
      <c r="A278" s="2" t="n">
        <v>45478</v>
      </c>
      <c r="B278" s="3" t="n">
        <v>545.1900000000001</v>
      </c>
      <c r="C278" s="3" t="n">
        <v>17.94</v>
      </c>
      <c r="D278" s="3" t="n">
        <v>18.43</v>
      </c>
      <c r="E278" s="3" t="n">
        <v>26.05</v>
      </c>
      <c r="F278" s="3" t="n">
        <v>46.32</v>
      </c>
      <c r="G278" s="3" t="n">
        <v>5567.2</v>
      </c>
    </row>
    <row r="279">
      <c r="A279" s="2" t="n">
        <v>45481</v>
      </c>
      <c r="B279" s="3" t="n">
        <v>545.8200000000001</v>
      </c>
      <c r="C279" s="3" t="n">
        <v>17.98</v>
      </c>
      <c r="D279" s="3" t="n">
        <v>18.46</v>
      </c>
      <c r="E279" s="3" t="n">
        <v>26.15</v>
      </c>
      <c r="F279" s="3" t="n">
        <v>46.34</v>
      </c>
      <c r="G279" s="3" t="n">
        <v>5572.86</v>
      </c>
    </row>
    <row r="280">
      <c r="A280" s="2" t="n">
        <v>45482</v>
      </c>
      <c r="B280" s="3" t="n">
        <v>546.33</v>
      </c>
      <c r="C280" s="3" t="n">
        <v>17.9</v>
      </c>
      <c r="D280" s="3" t="n">
        <v>18.39</v>
      </c>
      <c r="E280" s="3" t="n">
        <v>25.45</v>
      </c>
      <c r="F280" s="3" t="n">
        <v>46.34</v>
      </c>
      <c r="G280" s="3" t="n">
        <v>5576.97</v>
      </c>
    </row>
    <row r="281">
      <c r="A281" s="2" t="n">
        <v>45483</v>
      </c>
      <c r="B281" s="3" t="n">
        <v>551.53</v>
      </c>
      <c r="C281" s="3" t="n">
        <v>17.98</v>
      </c>
      <c r="D281" s="3" t="n">
        <v>18.55</v>
      </c>
      <c r="E281" s="3" t="n">
        <v>25.5</v>
      </c>
      <c r="F281" s="3" t="n">
        <v>46.36</v>
      </c>
      <c r="G281" s="3" t="n">
        <v>5633.92</v>
      </c>
    </row>
    <row r="282">
      <c r="A282" s="2" t="n">
        <v>45484</v>
      </c>
      <c r="B282" s="3" t="n">
        <v>546.85</v>
      </c>
      <c r="C282" s="3" t="n">
        <v>18.04</v>
      </c>
      <c r="D282" s="3" t="n">
        <v>18.46</v>
      </c>
      <c r="E282" s="3" t="n">
        <v>25.48</v>
      </c>
      <c r="F282" s="3" t="n">
        <v>46.39</v>
      </c>
      <c r="G282" s="3" t="n">
        <v>5584.55</v>
      </c>
    </row>
    <row r="283">
      <c r="A283" s="2" t="n">
        <v>45485</v>
      </c>
      <c r="B283" s="3" t="n">
        <v>550.35</v>
      </c>
      <c r="C283" s="3" t="n">
        <v>18.01</v>
      </c>
      <c r="D283" s="3" t="n">
        <v>18.55</v>
      </c>
      <c r="E283" s="3" t="n">
        <v>25.26</v>
      </c>
      <c r="F283" s="3" t="n">
        <v>46.42</v>
      </c>
      <c r="G283" s="3" t="n">
        <v>5615.34</v>
      </c>
    </row>
    <row r="284">
      <c r="A284" s="2" t="n">
        <v>45488</v>
      </c>
      <c r="B284" s="3" t="n">
        <v>551.88</v>
      </c>
      <c r="C284" s="3" t="n">
        <v>17.88</v>
      </c>
      <c r="D284" s="3" t="n">
        <v>18.47</v>
      </c>
      <c r="E284" s="3" t="n">
        <v>25.31</v>
      </c>
      <c r="F284" s="3" t="n">
        <v>46.42</v>
      </c>
      <c r="G284" s="3" t="n">
        <v>5631.21</v>
      </c>
    </row>
    <row r="285">
      <c r="A285" s="2" t="n">
        <v>45489</v>
      </c>
      <c r="B285" s="3" t="n">
        <v>555.16</v>
      </c>
      <c r="C285" s="3" t="n">
        <v>17.87</v>
      </c>
      <c r="D285" s="3" t="n">
        <v>18.33</v>
      </c>
      <c r="E285" s="3" t="n">
        <v>25.27</v>
      </c>
      <c r="F285" s="3" t="n">
        <v>46.43</v>
      </c>
      <c r="G285" s="3" t="n">
        <v>5667.21</v>
      </c>
    </row>
    <row r="286">
      <c r="A286" s="2" t="n">
        <v>45490</v>
      </c>
      <c r="B286" s="3" t="n">
        <v>547.41</v>
      </c>
      <c r="C286" s="3" t="n">
        <v>17.91</v>
      </c>
      <c r="D286" s="3" t="n">
        <v>18.35</v>
      </c>
      <c r="E286" s="3" t="n">
        <v>25.08</v>
      </c>
      <c r="F286" s="3" t="n">
        <v>46.43</v>
      </c>
      <c r="G286" s="3" t="n">
        <v>5588.28</v>
      </c>
    </row>
    <row r="287">
      <c r="A287" s="2" t="n">
        <v>45491</v>
      </c>
      <c r="B287" s="3" t="n">
        <v>543.08</v>
      </c>
      <c r="C287" s="3" t="n">
        <v>17.72</v>
      </c>
      <c r="D287" s="3" t="n">
        <v>18.22</v>
      </c>
      <c r="E287" s="3" t="n">
        <v>25.06</v>
      </c>
      <c r="F287" s="3" t="n">
        <v>46.44</v>
      </c>
      <c r="G287" s="3" t="n">
        <v>5544.58</v>
      </c>
    </row>
    <row r="288">
      <c r="A288" s="2" t="n">
        <v>45492</v>
      </c>
      <c r="B288" s="3" t="n">
        <v>539.54</v>
      </c>
      <c r="C288" s="3" t="n">
        <v>17.61</v>
      </c>
      <c r="D288" s="3" t="n">
        <v>18.04</v>
      </c>
      <c r="E288" s="3" t="n">
        <v>25.04</v>
      </c>
      <c r="F288" s="3" t="n">
        <v>46.45</v>
      </c>
      <c r="G288" s="3" t="n">
        <v>5504.99</v>
      </c>
    </row>
    <row r="289">
      <c r="A289" s="2" t="n">
        <v>45495</v>
      </c>
      <c r="B289" s="3" t="n">
        <v>545.14</v>
      </c>
      <c r="C289" s="3" t="n">
        <v>17.84</v>
      </c>
      <c r="D289" s="3" t="n">
        <v>18.25</v>
      </c>
      <c r="E289" s="3" t="n">
        <v>25.28</v>
      </c>
      <c r="F289" s="3" t="n">
        <v>46.46</v>
      </c>
      <c r="G289" s="3" t="n">
        <v>5564.4</v>
      </c>
    </row>
    <row r="290">
      <c r="A290" s="2" t="n">
        <v>45496</v>
      </c>
      <c r="B290" s="3" t="n">
        <v>544.23</v>
      </c>
      <c r="C290" s="3" t="n">
        <v>17.74</v>
      </c>
      <c r="D290" s="3" t="n">
        <v>18.03</v>
      </c>
      <c r="E290" s="3" t="n">
        <v>25</v>
      </c>
      <c r="F290" s="3" t="n">
        <v>46.47</v>
      </c>
      <c r="G290" s="3" t="n">
        <v>5555.75</v>
      </c>
    </row>
    <row r="291">
      <c r="A291" s="2" t="n">
        <v>45497</v>
      </c>
      <c r="B291" s="3" t="n">
        <v>531.9400000000001</v>
      </c>
      <c r="C291" s="3" t="n">
        <v>17.65</v>
      </c>
      <c r="D291" s="3" t="n">
        <v>17.85</v>
      </c>
      <c r="E291" s="3" t="n">
        <v>24.79</v>
      </c>
      <c r="F291" s="3" t="n">
        <v>46.49</v>
      </c>
      <c r="G291" s="3" t="n">
        <v>5427.12</v>
      </c>
    </row>
    <row r="292">
      <c r="A292" s="2" t="n">
        <v>45498</v>
      </c>
      <c r="B292" s="3" t="n">
        <v>529.14</v>
      </c>
      <c r="C292" s="3" t="n">
        <v>17.66</v>
      </c>
      <c r="D292" s="3" t="n">
        <v>17.74</v>
      </c>
      <c r="E292" s="3" t="n">
        <v>25.09</v>
      </c>
      <c r="F292" s="3" t="n">
        <v>46.49</v>
      </c>
      <c r="G292" s="3" t="n">
        <v>5399.23</v>
      </c>
    </row>
    <row r="293">
      <c r="A293" s="2" t="n">
        <v>45499</v>
      </c>
      <c r="B293" s="3" t="n">
        <v>535.05</v>
      </c>
      <c r="C293" s="3" t="n">
        <v>17.81</v>
      </c>
      <c r="D293" s="3" t="n">
        <v>17.83</v>
      </c>
      <c r="E293" s="3" t="n">
        <v>25.46</v>
      </c>
      <c r="F293" s="3" t="n">
        <v>46.53</v>
      </c>
      <c r="G293" s="3" t="n">
        <v>5459.09</v>
      </c>
    </row>
    <row r="294">
      <c r="A294" s="2" t="n">
        <v>45502</v>
      </c>
      <c r="B294" s="3" t="n">
        <v>535.42</v>
      </c>
      <c r="C294" s="3" t="n">
        <v>17.76</v>
      </c>
      <c r="D294" s="3" t="n">
        <v>17.75</v>
      </c>
      <c r="E294" s="3" t="n">
        <v>25.29</v>
      </c>
      <c r="F294" s="3" t="n">
        <v>46.54</v>
      </c>
      <c r="G294" s="3" t="n">
        <v>5463.55</v>
      </c>
    </row>
    <row r="295">
      <c r="A295" s="2" t="n">
        <v>45503</v>
      </c>
      <c r="B295" s="3" t="n">
        <v>532.54</v>
      </c>
      <c r="C295" s="3" t="n">
        <v>18.09</v>
      </c>
      <c r="D295" s="3" t="n">
        <v>17.83</v>
      </c>
      <c r="E295" s="3" t="n">
        <v>25.42</v>
      </c>
      <c r="F295" s="3" t="n">
        <v>46.56</v>
      </c>
      <c r="G295" s="3" t="n">
        <v>5436.45</v>
      </c>
    </row>
    <row r="296">
      <c r="A296" s="2" t="n">
        <v>45504</v>
      </c>
      <c r="B296" s="3" t="n">
        <v>540.85</v>
      </c>
      <c r="C296" s="3" t="n">
        <v>17.8</v>
      </c>
      <c r="D296" s="3" t="n">
        <v>17.71</v>
      </c>
      <c r="E296" s="3" t="n">
        <v>25.38</v>
      </c>
      <c r="F296" s="3" t="n">
        <v>46.57</v>
      </c>
      <c r="G296" s="3" t="n">
        <v>5522.29</v>
      </c>
    </row>
    <row r="297">
      <c r="A297" s="2" t="n">
        <v>45505</v>
      </c>
      <c r="B297" s="3" t="n">
        <v>533.74</v>
      </c>
      <c r="C297" s="3" t="n">
        <v>17.71</v>
      </c>
      <c r="D297" s="3" t="n">
        <v>17.68</v>
      </c>
      <c r="E297" s="3" t="n">
        <v>25.06</v>
      </c>
      <c r="F297" s="3" t="n">
        <v>46.59</v>
      </c>
      <c r="G297" s="3" t="n">
        <v>5446.69</v>
      </c>
    </row>
    <row r="298">
      <c r="A298" s="2" t="n">
        <v>45506</v>
      </c>
      <c r="B298" s="3" t="n">
        <v>523.6900000000001</v>
      </c>
      <c r="C298" s="3" t="n">
        <v>17.25</v>
      </c>
      <c r="D298" s="3" t="n">
        <v>17.32</v>
      </c>
      <c r="E298" s="3" t="n">
        <v>24.39</v>
      </c>
      <c r="F298" s="3" t="n">
        <v>46.66</v>
      </c>
      <c r="G298" s="3" t="n">
        <v>5346.55</v>
      </c>
    </row>
    <row r="299">
      <c r="A299" s="2" t="n">
        <v>45509</v>
      </c>
      <c r="B299" s="3" t="n">
        <v>508.46</v>
      </c>
      <c r="C299" s="3" t="n">
        <v>16.83</v>
      </c>
      <c r="D299" s="3" t="n">
        <v>16.94</v>
      </c>
      <c r="E299" s="3" t="n">
        <v>23.8</v>
      </c>
      <c r="F299" s="3" t="n">
        <v>46.65</v>
      </c>
      <c r="G299" s="3" t="n">
        <v>5186.34</v>
      </c>
    </row>
    <row r="300">
      <c r="A300" s="2" t="n">
        <v>45510</v>
      </c>
      <c r="B300" s="3" t="n">
        <v>513.28</v>
      </c>
      <c r="C300" s="3" t="n">
        <v>17.3</v>
      </c>
      <c r="D300" s="3" t="n">
        <v>17.25</v>
      </c>
      <c r="E300" s="3" t="n">
        <v>24.35</v>
      </c>
      <c r="F300" s="3" t="n">
        <v>46.66</v>
      </c>
      <c r="G300" s="3" t="n">
        <v>5240.04</v>
      </c>
    </row>
    <row r="301">
      <c r="A301" s="2" t="n">
        <v>45511</v>
      </c>
      <c r="B301" s="3" t="n">
        <v>509.74</v>
      </c>
      <c r="C301" s="3" t="n">
        <v>17.26</v>
      </c>
      <c r="D301" s="3" t="n">
        <v>17.23</v>
      </c>
      <c r="E301" s="3" t="n">
        <v>24.88</v>
      </c>
      <c r="F301" s="3" t="n">
        <v>46.66</v>
      </c>
      <c r="G301" s="3" t="n">
        <v>5199.51</v>
      </c>
    </row>
    <row r="302">
      <c r="A302" s="2" t="n">
        <v>45512</v>
      </c>
      <c r="B302" s="3" t="n">
        <v>521.54</v>
      </c>
      <c r="C302" s="3" t="n">
        <v>17.37</v>
      </c>
      <c r="D302" s="3" t="n">
        <v>17.49</v>
      </c>
      <c r="E302" s="3" t="n">
        <v>24.79</v>
      </c>
      <c r="F302" s="3" t="n">
        <v>46.65</v>
      </c>
      <c r="G302" s="3" t="n">
        <v>5319.3</v>
      </c>
    </row>
    <row r="303">
      <c r="A303" s="2" t="n">
        <v>45513</v>
      </c>
      <c r="B303" s="3" t="n">
        <v>523.77</v>
      </c>
      <c r="C303" s="3" t="n">
        <v>17.43</v>
      </c>
      <c r="D303" s="3" t="n">
        <v>17.51</v>
      </c>
      <c r="E303" s="3" t="n">
        <v>24.75</v>
      </c>
      <c r="F303" s="3" t="n">
        <v>46.67</v>
      </c>
      <c r="G303" s="3" t="n">
        <v>5344.15</v>
      </c>
    </row>
    <row r="304">
      <c r="A304" s="2" t="n">
        <v>45516</v>
      </c>
      <c r="B304" s="3" t="n">
        <v>524.03</v>
      </c>
      <c r="C304" s="3" t="n">
        <v>17.5</v>
      </c>
      <c r="D304" s="3" t="n">
        <v>17.42</v>
      </c>
      <c r="E304" s="3" t="n">
        <v>24.77</v>
      </c>
      <c r="F304" s="3" t="n">
        <v>46.69</v>
      </c>
      <c r="G304" s="3" t="n">
        <v>5344.38</v>
      </c>
    </row>
    <row r="305">
      <c r="A305" s="2" t="n">
        <v>45517</v>
      </c>
      <c r="B305" s="3" t="n">
        <v>532.75</v>
      </c>
      <c r="C305" s="3" t="n">
        <v>17.47</v>
      </c>
      <c r="D305" s="3" t="n">
        <v>17.49</v>
      </c>
      <c r="E305" s="3" t="n">
        <v>24.83</v>
      </c>
      <c r="F305" s="3" t="n">
        <v>46.72</v>
      </c>
      <c r="G305" s="3" t="n">
        <v>5434.44</v>
      </c>
    </row>
    <row r="306">
      <c r="A306" s="2" t="n">
        <v>45518</v>
      </c>
      <c r="B306" s="3" t="n">
        <v>534.48</v>
      </c>
      <c r="C306" s="3" t="n">
        <v>17.49</v>
      </c>
      <c r="D306" s="3" t="n">
        <v>17.38</v>
      </c>
      <c r="E306" s="3" t="n">
        <v>24.83</v>
      </c>
      <c r="F306" s="3" t="n">
        <v>46.72</v>
      </c>
      <c r="G306" s="3" t="n">
        <v>5455.2</v>
      </c>
    </row>
    <row r="307">
      <c r="A307" s="2" t="n">
        <v>45519</v>
      </c>
      <c r="B307" s="3" t="n">
        <v>543.63</v>
      </c>
      <c r="C307" s="3" t="n">
        <v>17.62</v>
      </c>
      <c r="D307" s="3" t="n">
        <v>17.65</v>
      </c>
      <c r="E307" s="3" t="n">
        <v>24.93</v>
      </c>
      <c r="F307" s="3" t="n">
        <v>46.7</v>
      </c>
      <c r="G307" s="3" t="n">
        <v>5543.21</v>
      </c>
    </row>
    <row r="308">
      <c r="A308" s="2" t="n">
        <v>45520</v>
      </c>
      <c r="B308" s="3" t="n">
        <v>544.87</v>
      </c>
      <c r="C308" s="3" t="n">
        <v>17.63</v>
      </c>
      <c r="D308" s="3" t="n">
        <v>17.64</v>
      </c>
      <c r="E308" s="3" t="n">
        <v>24.89</v>
      </c>
      <c r="F308" s="3" t="n">
        <v>46.73</v>
      </c>
      <c r="G308" s="3" t="n">
        <v>5554.26</v>
      </c>
    </row>
    <row r="309">
      <c r="A309" s="2" t="n">
        <v>45523</v>
      </c>
      <c r="B309" s="3" t="n">
        <v>549.9299999999999</v>
      </c>
      <c r="C309" s="3" t="n">
        <v>17.72</v>
      </c>
      <c r="D309" s="3" t="n">
        <v>17.73</v>
      </c>
      <c r="E309" s="3" t="n">
        <v>24.89</v>
      </c>
      <c r="F309" s="3" t="n">
        <v>46.76</v>
      </c>
      <c r="G309" s="3" t="n">
        <v>5608.24</v>
      </c>
    </row>
    <row r="310">
      <c r="A310" s="2" t="n">
        <v>45524</v>
      </c>
      <c r="B310" s="3" t="n">
        <v>549.11</v>
      </c>
      <c r="C310" s="3" t="n">
        <v>17.67</v>
      </c>
      <c r="D310" s="3" t="n">
        <v>17.6</v>
      </c>
      <c r="E310" s="3" t="n">
        <v>24.67</v>
      </c>
      <c r="F310" s="3" t="n">
        <v>46.76</v>
      </c>
      <c r="G310" s="3" t="n">
        <v>5597.11</v>
      </c>
    </row>
    <row r="311">
      <c r="A311" s="2" t="n">
        <v>45525</v>
      </c>
      <c r="B311" s="3" t="n">
        <v>551.25</v>
      </c>
      <c r="C311" s="3" t="n">
        <v>17.81</v>
      </c>
      <c r="D311" s="3" t="n">
        <v>17.62</v>
      </c>
      <c r="E311" s="3" t="n">
        <v>24.64</v>
      </c>
      <c r="F311" s="3" t="n">
        <v>46.79</v>
      </c>
      <c r="G311" s="3" t="n">
        <v>5620.84</v>
      </c>
    </row>
    <row r="312">
      <c r="A312" s="2" t="n">
        <v>45526</v>
      </c>
      <c r="B312" s="3" t="n">
        <v>546.59</v>
      </c>
      <c r="C312" s="3" t="n">
        <v>17.78</v>
      </c>
      <c r="D312" s="3" t="n">
        <v>17.67</v>
      </c>
      <c r="E312" s="3" t="n">
        <v>24.68</v>
      </c>
      <c r="F312" s="3" t="n">
        <v>46.77</v>
      </c>
      <c r="G312" s="3" t="n">
        <v>5570.65</v>
      </c>
    </row>
    <row r="313">
      <c r="A313" s="2" t="n">
        <v>45527</v>
      </c>
      <c r="B313" s="3" t="n">
        <v>552.49</v>
      </c>
      <c r="C313" s="3" t="n">
        <v>17.78</v>
      </c>
      <c r="D313" s="3" t="n">
        <v>17.9</v>
      </c>
      <c r="E313" s="3" t="n">
        <v>24.45</v>
      </c>
      <c r="F313" s="3" t="n">
        <v>46.79</v>
      </c>
      <c r="G313" s="3" t="n">
        <v>5634.6</v>
      </c>
    </row>
    <row r="314">
      <c r="A314" s="2" t="n">
        <v>45530</v>
      </c>
      <c r="B314" s="3" t="n">
        <v>550.9299999999999</v>
      </c>
      <c r="C314" s="3" t="n">
        <v>17.83</v>
      </c>
      <c r="D314" s="3" t="n">
        <v>17.83</v>
      </c>
      <c r="E314" s="3" t="n">
        <v>24.59</v>
      </c>
      <c r="F314" s="3" t="n">
        <v>46.81</v>
      </c>
      <c r="G314" s="3" t="n">
        <v>5616.85</v>
      </c>
    </row>
    <row r="315">
      <c r="A315" s="2" t="n">
        <v>45531</v>
      </c>
      <c r="B315" s="3" t="n">
        <v>551.9299999999999</v>
      </c>
      <c r="C315" s="3" t="n">
        <v>17.92</v>
      </c>
      <c r="D315" s="3" t="n">
        <v>17.94</v>
      </c>
      <c r="E315" s="3" t="n">
        <v>24.59</v>
      </c>
      <c r="F315" s="3" t="n">
        <v>46.83</v>
      </c>
      <c r="G315" s="3" t="n">
        <v>5625.79</v>
      </c>
    </row>
    <row r="316">
      <c r="A316" s="2" t="n">
        <v>45532</v>
      </c>
      <c r="B316" s="3" t="n">
        <v>548.71</v>
      </c>
      <c r="C316" s="3" t="n">
        <v>17.83</v>
      </c>
      <c r="D316" s="3" t="n">
        <v>17.85</v>
      </c>
      <c r="E316" s="3" t="n">
        <v>24.54</v>
      </c>
      <c r="F316" s="3" t="n">
        <v>46.83</v>
      </c>
      <c r="G316" s="3" t="n">
        <v>5592.19</v>
      </c>
    </row>
    <row r="317">
      <c r="A317" s="2" t="n">
        <v>45533</v>
      </c>
      <c r="B317" s="3" t="n">
        <v>548.79</v>
      </c>
      <c r="C317" s="3" t="n">
        <v>17.86</v>
      </c>
      <c r="D317" s="3" t="n">
        <v>17.97</v>
      </c>
      <c r="E317" s="3" t="n">
        <v>24.83</v>
      </c>
      <c r="F317" s="3" t="n">
        <v>46.84</v>
      </c>
      <c r="G317" s="3" t="n">
        <v>5591.95</v>
      </c>
    </row>
    <row r="318">
      <c r="A318" s="2" t="n">
        <v>45534</v>
      </c>
      <c r="B318" s="3" t="n">
        <v>553.98</v>
      </c>
      <c r="C318" s="3" t="n">
        <v>17.92</v>
      </c>
      <c r="D318" s="3" t="n">
        <v>18.07</v>
      </c>
      <c r="E318" s="3" t="n">
        <v>24.96</v>
      </c>
      <c r="F318" s="3" t="n">
        <v>46.85</v>
      </c>
      <c r="G318" s="3" t="n">
        <v>5648.39</v>
      </c>
    </row>
    <row r="319">
      <c r="A319" s="2" t="n">
        <v>45538</v>
      </c>
      <c r="B319" s="3" t="n">
        <v>542.74</v>
      </c>
      <c r="C319" s="3" t="n">
        <v>17.85</v>
      </c>
      <c r="D319" s="3" t="n">
        <v>18.05</v>
      </c>
      <c r="E319" s="3" t="n">
        <v>24.78</v>
      </c>
      <c r="F319" s="3" t="n">
        <v>46.85</v>
      </c>
      <c r="G319" s="3" t="n">
        <v>5528.92</v>
      </c>
    </row>
    <row r="320">
      <c r="A320" s="2" t="n">
        <v>45539</v>
      </c>
      <c r="B320" s="3" t="n">
        <v>541.61</v>
      </c>
      <c r="C320" s="3" t="n">
        <v>17.79</v>
      </c>
      <c r="D320" s="3" t="n">
        <v>18.07</v>
      </c>
      <c r="E320" s="3" t="n">
        <v>24.84</v>
      </c>
      <c r="F320" s="3" t="n">
        <v>46.88</v>
      </c>
      <c r="G320" s="3" t="n">
        <v>5520.08</v>
      </c>
    </row>
    <row r="321">
      <c r="A321" s="2" t="n">
        <v>45540</v>
      </c>
      <c r="B321" s="3" t="n">
        <v>540.11</v>
      </c>
      <c r="C321" s="3" t="n">
        <v>17.73</v>
      </c>
      <c r="D321" s="3" t="n">
        <v>18.17</v>
      </c>
      <c r="E321" s="3" t="n">
        <v>24.92</v>
      </c>
      <c r="F321" s="3" t="n">
        <v>46.89</v>
      </c>
      <c r="G321" s="3" t="n">
        <v>5503.42</v>
      </c>
    </row>
    <row r="322">
      <c r="A322" s="2" t="n">
        <v>45541</v>
      </c>
      <c r="B322" s="3" t="n">
        <v>531.12</v>
      </c>
      <c r="C322" s="3" t="n">
        <v>17.44</v>
      </c>
      <c r="D322" s="3" t="n">
        <v>18.04</v>
      </c>
      <c r="E322" s="3" t="n">
        <v>24.77</v>
      </c>
      <c r="F322" s="3" t="n">
        <v>46.93</v>
      </c>
      <c r="G322" s="3" t="n">
        <v>5408.43</v>
      </c>
    </row>
    <row r="323">
      <c r="A323" s="2" t="n">
        <v>45544</v>
      </c>
      <c r="B323" s="3" t="n">
        <v>537.08</v>
      </c>
      <c r="C323" s="3" t="n">
        <v>17.49</v>
      </c>
      <c r="D323" s="3" t="n">
        <v>17.99</v>
      </c>
      <c r="E323" s="3" t="n">
        <v>24.85</v>
      </c>
      <c r="F323" s="3" t="n">
        <v>46.95</v>
      </c>
      <c r="G323" s="3" t="n">
        <v>5471.06</v>
      </c>
    </row>
    <row r="324">
      <c r="A324" s="2" t="n">
        <v>45545</v>
      </c>
      <c r="B324" s="3" t="n">
        <v>539.0700000000001</v>
      </c>
      <c r="C324" s="3" t="n">
        <v>17.46</v>
      </c>
      <c r="D324" s="3" t="n">
        <v>17.92</v>
      </c>
      <c r="E324" s="3" t="n">
        <v>24.73</v>
      </c>
      <c r="F324" s="3" t="n">
        <v>46.98</v>
      </c>
      <c r="G324" s="3" t="n">
        <v>5495.53</v>
      </c>
    </row>
    <row r="325">
      <c r="A325" s="2" t="n">
        <v>45546</v>
      </c>
      <c r="B325" s="3" t="n">
        <v>544.89</v>
      </c>
      <c r="C325" s="3" t="n">
        <v>17.45</v>
      </c>
      <c r="D325" s="3" t="n">
        <v>18</v>
      </c>
      <c r="E325" s="3" t="n">
        <v>24.73</v>
      </c>
      <c r="F325" s="3" t="n">
        <v>46.98</v>
      </c>
      <c r="G325" s="3" t="n">
        <v>5554.14</v>
      </c>
    </row>
    <row r="326">
      <c r="A326" s="2" t="n">
        <v>45547</v>
      </c>
      <c r="B326" s="3" t="n">
        <v>549.5</v>
      </c>
      <c r="C326" s="3" t="n">
        <v>17.58</v>
      </c>
      <c r="D326" s="3" t="n">
        <v>18.08</v>
      </c>
      <c r="E326" s="3" t="n">
        <v>24.86</v>
      </c>
      <c r="F326" s="3" t="n">
        <v>46.96</v>
      </c>
      <c r="G326" s="3" t="n">
        <v>5595.75</v>
      </c>
    </row>
    <row r="327">
      <c r="A327" s="2" t="n">
        <v>45548</v>
      </c>
      <c r="B327" s="3" t="n">
        <v>552.3099999999999</v>
      </c>
      <c r="C327" s="3" t="n">
        <v>17.73</v>
      </c>
      <c r="D327" s="3" t="n">
        <v>18.21</v>
      </c>
      <c r="E327" s="3" t="n">
        <v>25.05</v>
      </c>
      <c r="F327" s="3" t="n">
        <v>47</v>
      </c>
      <c r="G327" s="3" t="n">
        <v>5626.01</v>
      </c>
    </row>
    <row r="328">
      <c r="A328" s="2" t="n">
        <v>45551</v>
      </c>
      <c r="B328" s="3" t="n">
        <v>553.23</v>
      </c>
      <c r="C328" s="3" t="n">
        <v>17.7</v>
      </c>
      <c r="D328" s="3" t="n">
        <v>18.15</v>
      </c>
      <c r="E328" s="3" t="n">
        <v>25.22</v>
      </c>
      <c r="F328" s="3" t="n">
        <v>47.03</v>
      </c>
      <c r="G328" s="3" t="n">
        <v>5633.08</v>
      </c>
    </row>
    <row r="329">
      <c r="A329" s="2" t="n">
        <v>45552</v>
      </c>
      <c r="B329" s="3" t="n">
        <v>553.4400000000001</v>
      </c>
      <c r="C329" s="3" t="n">
        <v>17.56</v>
      </c>
      <c r="D329" s="3" t="n">
        <v>18</v>
      </c>
      <c r="E329" s="3" t="n">
        <v>24.96</v>
      </c>
      <c r="F329" s="3" t="n">
        <v>47.04</v>
      </c>
      <c r="G329" s="3" t="n">
        <v>5634.57</v>
      </c>
    </row>
    <row r="330">
      <c r="A330" s="2" t="n">
        <v>45553</v>
      </c>
      <c r="B330" s="3" t="n">
        <v>551.79</v>
      </c>
      <c r="C330" s="3" t="n">
        <v>17.71</v>
      </c>
      <c r="D330" s="3" t="n">
        <v>17.79</v>
      </c>
      <c r="E330" s="3" t="n">
        <v>24.96</v>
      </c>
      <c r="F330" s="3" t="n">
        <v>47.01</v>
      </c>
      <c r="G330" s="3" t="n">
        <v>5618.25</v>
      </c>
    </row>
    <row r="331">
      <c r="A331" s="2" t="n">
        <v>45554</v>
      </c>
      <c r="B331" s="3" t="n">
        <v>561.25</v>
      </c>
      <c r="C331" s="3" t="n">
        <v>18.06</v>
      </c>
      <c r="D331" s="3" t="n">
        <v>17.93</v>
      </c>
      <c r="E331" s="3" t="n">
        <v>25.26</v>
      </c>
      <c r="F331" s="3" t="n">
        <v>47.04</v>
      </c>
      <c r="G331" s="3" t="n">
        <v>5713.65</v>
      </c>
    </row>
    <row r="332">
      <c r="A332" s="2" t="n">
        <v>45555</v>
      </c>
      <c r="B332" s="3" t="n">
        <v>560.0700000000001</v>
      </c>
      <c r="C332" s="3" t="n">
        <v>17.94</v>
      </c>
      <c r="D332" s="3" t="n">
        <v>17.84</v>
      </c>
      <c r="E332" s="3" t="n">
        <v>25.17</v>
      </c>
      <c r="F332" s="3" t="n">
        <v>47.07</v>
      </c>
      <c r="G332" s="3" t="n">
        <v>5702.54</v>
      </c>
    </row>
    <row r="333">
      <c r="A333" s="2" t="n">
        <v>45558</v>
      </c>
      <c r="B333" s="3" t="n">
        <v>561.63</v>
      </c>
      <c r="C333" s="3" t="n">
        <v>18.01</v>
      </c>
      <c r="D333" s="3" t="n">
        <v>17.93</v>
      </c>
      <c r="E333" s="3" t="n">
        <v>25.2</v>
      </c>
      <c r="F333" s="3" t="n">
        <v>47.08</v>
      </c>
      <c r="G333" s="3" t="n">
        <v>5718.58</v>
      </c>
    </row>
    <row r="334">
      <c r="A334" s="2" t="n">
        <v>45559</v>
      </c>
      <c r="B334" s="3" t="n">
        <v>563.26</v>
      </c>
      <c r="C334" s="3" t="n">
        <v>18.03</v>
      </c>
      <c r="D334" s="3" t="n">
        <v>17.83</v>
      </c>
      <c r="E334" s="3" t="n">
        <v>25.39</v>
      </c>
      <c r="F334" s="3" t="n">
        <v>47.11</v>
      </c>
      <c r="G334" s="3" t="n">
        <v>5732.94</v>
      </c>
    </row>
    <row r="335">
      <c r="A335" s="2" t="n">
        <v>45560</v>
      </c>
      <c r="B335" s="3" t="n">
        <v>561.9299999999999</v>
      </c>
      <c r="C335" s="3" t="n">
        <v>17.84</v>
      </c>
      <c r="D335" s="3" t="n">
        <v>17.67</v>
      </c>
      <c r="E335" s="3" t="n">
        <v>24.78</v>
      </c>
      <c r="F335" s="3" t="n">
        <v>47.09</v>
      </c>
      <c r="G335" s="3" t="n">
        <v>5722.27</v>
      </c>
    </row>
    <row r="336">
      <c r="A336" s="2" t="n">
        <v>45561</v>
      </c>
      <c r="B336" s="3" t="n">
        <v>564.33</v>
      </c>
      <c r="C336" s="3" t="n">
        <v>18</v>
      </c>
      <c r="D336" s="3" t="n">
        <v>17.8</v>
      </c>
      <c r="E336" s="3" t="n">
        <v>24.95</v>
      </c>
      <c r="F336" s="3" t="n">
        <v>47.08</v>
      </c>
      <c r="G336" s="3" t="n">
        <v>5745.36</v>
      </c>
    </row>
    <row r="337">
      <c r="A337" s="2" t="n">
        <v>45562</v>
      </c>
      <c r="B337" s="3" t="n">
        <v>563.3099999999999</v>
      </c>
      <c r="C337" s="3" t="n">
        <v>18.2</v>
      </c>
      <c r="D337" s="3" t="n">
        <v>17.99</v>
      </c>
      <c r="E337" s="3" t="n">
        <v>25</v>
      </c>
      <c r="F337" s="3" t="n">
        <v>47.12</v>
      </c>
      <c r="G337" s="3" t="n">
        <v>5738.16</v>
      </c>
    </row>
    <row r="338">
      <c r="A338" s="2" t="n">
        <v>45565</v>
      </c>
      <c r="B338" s="3" t="n">
        <v>566.01</v>
      </c>
      <c r="C338" s="3" t="n">
        <v>18.23</v>
      </c>
      <c r="D338" s="3" t="n">
        <v>17.86</v>
      </c>
      <c r="E338" s="3" t="n">
        <v>24.88</v>
      </c>
      <c r="F338" s="3" t="n">
        <v>47.12</v>
      </c>
      <c r="G338" s="3" t="n">
        <v>5762.49</v>
      </c>
    </row>
    <row r="339">
      <c r="A339" s="2" t="n">
        <v>45566</v>
      </c>
      <c r="B339" s="3" t="n">
        <v>560.66</v>
      </c>
      <c r="C339" s="3" t="n">
        <v>18.05</v>
      </c>
      <c r="D339" s="3" t="n">
        <v>17.64</v>
      </c>
      <c r="E339" s="3" t="n">
        <v>24.85</v>
      </c>
      <c r="F339" s="3" t="n">
        <v>47.11</v>
      </c>
      <c r="G339" s="3" t="n">
        <v>5708.74</v>
      </c>
    </row>
    <row r="340">
      <c r="A340" s="2" t="n">
        <v>45567</v>
      </c>
      <c r="B340" s="3" t="n">
        <v>560.89</v>
      </c>
      <c r="C340" s="3" t="n">
        <v>18.14</v>
      </c>
      <c r="D340" s="3" t="n">
        <v>17.69</v>
      </c>
      <c r="E340" s="3" t="n">
        <v>24.89</v>
      </c>
      <c r="F340" s="3" t="n">
        <v>47.12</v>
      </c>
      <c r="G340" s="3" t="n">
        <v>5709.55</v>
      </c>
    </row>
    <row r="341">
      <c r="A341" s="2" t="n">
        <v>45568</v>
      </c>
      <c r="B341" s="3" t="n">
        <v>559.8200000000001</v>
      </c>
      <c r="C341" s="3" t="n">
        <v>18.18</v>
      </c>
      <c r="D341" s="3" t="n">
        <v>17.8</v>
      </c>
      <c r="E341" s="3" t="n">
        <v>24.99</v>
      </c>
      <c r="F341" s="3" t="n">
        <v>47.11</v>
      </c>
      <c r="G341" s="3" t="n">
        <v>5699.95</v>
      </c>
    </row>
    <row r="342">
      <c r="A342" s="2" t="n">
        <v>45569</v>
      </c>
      <c r="B342" s="3" t="n">
        <v>564.9</v>
      </c>
      <c r="C342" s="3" t="n">
        <v>18.32</v>
      </c>
      <c r="D342" s="3" t="n">
        <v>17.85</v>
      </c>
      <c r="E342" s="3" t="n">
        <v>25.33</v>
      </c>
      <c r="F342" s="3" t="n">
        <v>47.08</v>
      </c>
      <c r="G342" s="3" t="n">
        <v>5751.06</v>
      </c>
    </row>
    <row r="343">
      <c r="A343" s="2" t="n">
        <v>45572</v>
      </c>
      <c r="B343" s="3" t="n">
        <v>559.84</v>
      </c>
      <c r="C343" s="3" t="n">
        <v>18.3</v>
      </c>
      <c r="D343" s="3" t="n">
        <v>17.8</v>
      </c>
      <c r="E343" s="3" t="n">
        <v>25.22</v>
      </c>
      <c r="F343" s="3" t="n">
        <v>47.08</v>
      </c>
      <c r="G343" s="3" t="n">
        <v>5695.93</v>
      </c>
    </row>
    <row r="344">
      <c r="A344" s="2" t="n">
        <v>45573</v>
      </c>
      <c r="B344" s="3" t="n">
        <v>565.15</v>
      </c>
      <c r="C344" s="3" t="n">
        <v>18.29</v>
      </c>
      <c r="D344" s="3" t="n">
        <v>17.8</v>
      </c>
      <c r="E344" s="3" t="n">
        <v>25.3</v>
      </c>
      <c r="F344" s="3" t="n">
        <v>47.11</v>
      </c>
      <c r="G344" s="3" t="n">
        <v>5751.14</v>
      </c>
    </row>
    <row r="345">
      <c r="A345" s="2" t="n">
        <v>45574</v>
      </c>
      <c r="B345" s="3" t="n">
        <v>568.98</v>
      </c>
      <c r="C345" s="3" t="n">
        <v>18.29</v>
      </c>
      <c r="D345" s="3" t="n">
        <v>17.66</v>
      </c>
      <c r="E345" s="3" t="n">
        <v>24.97</v>
      </c>
      <c r="F345" s="3" t="n">
        <v>47.1</v>
      </c>
      <c r="G345" s="3" t="n">
        <v>5792.05</v>
      </c>
    </row>
    <row r="346">
      <c r="A346" s="2" t="n">
        <v>45575</v>
      </c>
      <c r="B346" s="3" t="n">
        <v>567.98</v>
      </c>
      <c r="C346" s="3" t="n">
        <v>18.39</v>
      </c>
      <c r="D346" s="3" t="n">
        <v>17.75</v>
      </c>
      <c r="E346" s="3" t="n">
        <v>25.17</v>
      </c>
      <c r="F346" s="3" t="n">
        <v>47.1</v>
      </c>
      <c r="G346" s="3" t="n">
        <v>5780.04</v>
      </c>
    </row>
    <row r="347">
      <c r="A347" s="2" t="n">
        <v>45576</v>
      </c>
      <c r="B347" s="3" t="n">
        <v>571.4400000000001</v>
      </c>
      <c r="C347" s="3" t="n">
        <v>18.56</v>
      </c>
      <c r="D347" s="3" t="n">
        <v>17.83</v>
      </c>
      <c r="E347" s="3" t="n">
        <v>25.27</v>
      </c>
      <c r="F347" s="3" t="n">
        <v>47.12</v>
      </c>
      <c r="G347" s="3" t="n">
        <v>5815.04</v>
      </c>
    </row>
    <row r="348">
      <c r="A348" s="2" t="n">
        <v>45579</v>
      </c>
      <c r="B348" s="3" t="n">
        <v>576.15</v>
      </c>
      <c r="C348" s="3" t="n">
        <v>18.61</v>
      </c>
      <c r="D348" s="3" t="n">
        <v>17.95</v>
      </c>
      <c r="E348" s="3" t="n">
        <v>25.34</v>
      </c>
      <c r="F348" s="3" t="n">
        <v>47.13</v>
      </c>
      <c r="G348" s="3" t="n">
        <v>5859.86</v>
      </c>
    </row>
    <row r="349">
      <c r="A349" s="2" t="n">
        <v>45580</v>
      </c>
      <c r="B349" s="3" t="n">
        <v>571.5700000000001</v>
      </c>
      <c r="C349" s="3" t="n">
        <v>18.64</v>
      </c>
      <c r="D349" s="3" t="n">
        <v>17.93</v>
      </c>
      <c r="E349" s="3" t="n">
        <v>25.47</v>
      </c>
      <c r="F349" s="3" t="n">
        <v>47.14</v>
      </c>
      <c r="G349" s="3" t="n">
        <v>5815.25</v>
      </c>
    </row>
    <row r="350">
      <c r="A350" s="2" t="n">
        <v>45581</v>
      </c>
      <c r="B350" s="3" t="n">
        <v>574.12</v>
      </c>
      <c r="C350" s="3" t="n">
        <v>18.78</v>
      </c>
      <c r="D350" s="3" t="n">
        <v>18.17</v>
      </c>
      <c r="E350" s="3" t="n">
        <v>25.83</v>
      </c>
      <c r="F350" s="3" t="n">
        <v>47.16</v>
      </c>
      <c r="G350" s="3" t="n">
        <v>5842.48</v>
      </c>
    </row>
    <row r="351">
      <c r="A351" s="2" t="n">
        <v>45582</v>
      </c>
      <c r="B351" s="3" t="n">
        <v>574.28</v>
      </c>
      <c r="C351" s="3" t="n">
        <v>18.78</v>
      </c>
      <c r="D351" s="3" t="n">
        <v>18.04</v>
      </c>
      <c r="E351" s="3" t="n">
        <v>25.87</v>
      </c>
      <c r="F351" s="3" t="n">
        <v>47.15</v>
      </c>
      <c r="G351" s="3" t="n">
        <v>5841.48</v>
      </c>
    </row>
    <row r="352">
      <c r="A352" s="2" t="n">
        <v>45583</v>
      </c>
      <c r="B352" s="3" t="n">
        <v>576.45</v>
      </c>
      <c r="C352" s="3" t="n">
        <v>18.85</v>
      </c>
      <c r="D352" s="3" t="n">
        <v>18.12</v>
      </c>
      <c r="E352" s="3" t="n">
        <v>26.24</v>
      </c>
      <c r="F352" s="3" t="n">
        <v>47.17</v>
      </c>
      <c r="G352" s="3" t="n">
        <v>5864.68</v>
      </c>
    </row>
    <row r="353">
      <c r="A353" s="2" t="n">
        <v>45586</v>
      </c>
      <c r="B353" s="3" t="n">
        <v>575.6</v>
      </c>
      <c r="C353" s="3" t="n">
        <v>18.91</v>
      </c>
      <c r="D353" s="3" t="n">
        <v>18.03</v>
      </c>
      <c r="E353" s="3" t="n">
        <v>26.6</v>
      </c>
      <c r="F353" s="3" t="n">
        <v>47.16</v>
      </c>
      <c r="G353" s="3" t="n">
        <v>5853.97</v>
      </c>
    </row>
    <row r="354">
      <c r="A354" s="2" t="n">
        <v>45587</v>
      </c>
      <c r="B354" s="3" t="n">
        <v>575.15</v>
      </c>
      <c r="C354" s="3" t="n">
        <v>18.79</v>
      </c>
      <c r="D354" s="3" t="n">
        <v>17.93</v>
      </c>
      <c r="E354" s="3" t="n">
        <v>26.4</v>
      </c>
      <c r="F354" s="3" t="n">
        <v>47.17</v>
      </c>
      <c r="G354" s="3" t="n">
        <v>5851.19</v>
      </c>
    </row>
    <row r="355">
      <c r="A355" s="2" t="n">
        <v>45588</v>
      </c>
      <c r="B355" s="3" t="n">
        <v>569.91</v>
      </c>
      <c r="C355" s="3" t="n">
        <v>18.72</v>
      </c>
      <c r="D355" s="3" t="n">
        <v>17.9</v>
      </c>
      <c r="E355" s="3" t="n">
        <v>26.44</v>
      </c>
      <c r="F355" s="3" t="n">
        <v>47.16</v>
      </c>
      <c r="G355" s="3" t="n">
        <v>5797.43</v>
      </c>
    </row>
    <row r="356">
      <c r="A356" s="2" t="n">
        <v>45589</v>
      </c>
      <c r="B356" s="3" t="n">
        <v>571.12</v>
      </c>
      <c r="C356" s="3" t="n">
        <v>18.86</v>
      </c>
      <c r="D356" s="3" t="n">
        <v>18.06</v>
      </c>
      <c r="E356" s="3" t="n">
        <v>26.81</v>
      </c>
      <c r="F356" s="3" t="n">
        <v>47.16</v>
      </c>
      <c r="G356" s="3" t="n">
        <v>5809.87</v>
      </c>
    </row>
    <row r="357">
      <c r="A357" s="2" t="n">
        <v>45590</v>
      </c>
      <c r="B357" s="3" t="n">
        <v>571</v>
      </c>
      <c r="C357" s="3" t="n">
        <v>18.78</v>
      </c>
      <c r="D357" s="3" t="n">
        <v>17.98</v>
      </c>
      <c r="E357" s="3" t="n">
        <v>26.6</v>
      </c>
      <c r="F357" s="3" t="n">
        <v>47.17</v>
      </c>
      <c r="G357" s="3" t="n">
        <v>5808.11</v>
      </c>
    </row>
    <row r="358">
      <c r="A358" s="2" t="n">
        <v>45593</v>
      </c>
      <c r="B358" s="3" t="n">
        <v>572.71</v>
      </c>
      <c r="C358" s="3" t="n">
        <v>18.86</v>
      </c>
      <c r="D358" s="3" t="n">
        <v>17.89</v>
      </c>
      <c r="E358" s="3" t="n">
        <v>26.75</v>
      </c>
      <c r="F358" s="3" t="n">
        <v>47.18</v>
      </c>
      <c r="G358" s="3" t="n">
        <v>5823.51</v>
      </c>
    </row>
    <row r="359">
      <c r="A359" s="2" t="n">
        <v>45594</v>
      </c>
      <c r="B359" s="3" t="n">
        <v>573.6</v>
      </c>
      <c r="C359" s="3" t="n">
        <v>18.78</v>
      </c>
      <c r="D359" s="3" t="n">
        <v>17.78</v>
      </c>
      <c r="E359" s="3" t="n">
        <v>26.45</v>
      </c>
      <c r="F359" s="3" t="n">
        <v>47.19</v>
      </c>
      <c r="G359" s="3" t="n">
        <v>5832.91</v>
      </c>
    </row>
    <row r="360">
      <c r="A360" s="2" t="n">
        <v>45595</v>
      </c>
      <c r="B360" s="3" t="n">
        <v>571.75</v>
      </c>
      <c r="C360" s="3" t="n">
        <v>18.58</v>
      </c>
      <c r="D360" s="3" t="n">
        <v>17.75</v>
      </c>
      <c r="E360" s="3" t="n">
        <v>26.38</v>
      </c>
      <c r="F360" s="3" t="n">
        <v>47.16</v>
      </c>
      <c r="G360" s="3" t="n">
        <v>5813.66</v>
      </c>
    </row>
    <row r="361">
      <c r="A361" s="2" t="n">
        <v>45596</v>
      </c>
      <c r="B361" s="3" t="n">
        <v>560.53</v>
      </c>
      <c r="C361" s="3" t="n">
        <v>18.4</v>
      </c>
      <c r="D361" s="3" t="n">
        <v>17.74</v>
      </c>
      <c r="E361" s="3" t="n">
        <v>26.44</v>
      </c>
      <c r="F361" s="3" t="n">
        <v>47.18</v>
      </c>
      <c r="G361" s="3" t="n">
        <v>5705.44</v>
      </c>
    </row>
    <row r="362">
      <c r="A362" s="2" t="n">
        <v>45597</v>
      </c>
      <c r="B362" s="3" t="n">
        <v>562.97</v>
      </c>
      <c r="C362" s="3" t="n">
        <v>18.28</v>
      </c>
      <c r="D362" s="3" t="n">
        <v>17.62</v>
      </c>
      <c r="E362" s="3" t="n">
        <v>25.98</v>
      </c>
      <c r="F362" s="3" t="n">
        <v>47.17</v>
      </c>
      <c r="G362" s="3" t="n">
        <v>5728.81</v>
      </c>
    </row>
    <row r="363">
      <c r="A363" s="2" t="n">
        <v>45600</v>
      </c>
      <c r="B363" s="3" t="n">
        <v>561.84</v>
      </c>
      <c r="C363" s="3" t="n">
        <v>18.18</v>
      </c>
      <c r="D363" s="3" t="n">
        <v>17.44</v>
      </c>
      <c r="E363" s="3" t="n">
        <v>25.81</v>
      </c>
      <c r="F363" s="3" t="n">
        <v>47.18</v>
      </c>
      <c r="G363" s="3" t="n">
        <v>5712.68</v>
      </c>
    </row>
    <row r="364">
      <c r="A364" s="2" t="n">
        <v>45601</v>
      </c>
      <c r="B364" s="3" t="n">
        <v>568.63</v>
      </c>
      <c r="C364" s="3" t="n">
        <v>18.29</v>
      </c>
      <c r="D364" s="3" t="n">
        <v>17.56</v>
      </c>
      <c r="E364" s="3" t="n">
        <v>26.03</v>
      </c>
      <c r="F364" s="3" t="n">
        <v>47.2</v>
      </c>
      <c r="G364" s="3" t="n">
        <v>5782.77</v>
      </c>
    </row>
    <row r="365">
      <c r="A365" s="2" t="n">
        <v>45602</v>
      </c>
      <c r="B365" s="3" t="n">
        <v>582.75</v>
      </c>
      <c r="C365" s="3" t="n">
        <v>18.63</v>
      </c>
      <c r="D365" s="3" t="n">
        <v>17.62</v>
      </c>
      <c r="E365" s="3" t="n">
        <v>26.56</v>
      </c>
      <c r="F365" s="3" t="n">
        <v>47.18</v>
      </c>
      <c r="G365" s="3" t="n">
        <v>5929.03</v>
      </c>
    </row>
    <row r="366">
      <c r="A366" s="2" t="n">
        <v>45603</v>
      </c>
      <c r="B366" s="3" t="n">
        <v>587.29</v>
      </c>
      <c r="C366" s="3" t="n">
        <v>18.57</v>
      </c>
      <c r="D366" s="3" t="n">
        <v>17.21</v>
      </c>
      <c r="E366" s="3" t="n">
        <v>26.65</v>
      </c>
      <c r="F366" s="3" t="n">
        <v>47.22</v>
      </c>
      <c r="G366" s="3" t="n">
        <v>5973.09</v>
      </c>
    </row>
    <row r="367">
      <c r="A367" s="2" t="n">
        <v>45604</v>
      </c>
      <c r="B367" s="3" t="n">
        <v>589.86</v>
      </c>
      <c r="C367" s="3" t="n">
        <v>18.74</v>
      </c>
      <c r="D367" s="3" t="n">
        <v>17.67</v>
      </c>
      <c r="E367" s="3" t="n">
        <v>26.69</v>
      </c>
      <c r="F367" s="3" t="n">
        <v>47.24</v>
      </c>
      <c r="G367" s="3" t="n">
        <v>5995.53</v>
      </c>
    </row>
    <row r="368">
      <c r="A368" s="2" t="n">
        <v>45607</v>
      </c>
      <c r="B368" s="3" t="n">
        <v>590.3200000000001</v>
      </c>
      <c r="C368" s="3" t="n">
        <v>18.79</v>
      </c>
      <c r="D368" s="3" t="n">
        <v>17.73</v>
      </c>
      <c r="E368" s="3" t="n">
        <v>26.46</v>
      </c>
      <c r="F368" s="3" t="n">
        <v>47.24</v>
      </c>
      <c r="G368" s="3" t="n">
        <v>6001.34</v>
      </c>
    </row>
    <row r="369">
      <c r="A369" s="2" t="n">
        <v>45608</v>
      </c>
      <c r="B369" s="3" t="n">
        <v>588.51</v>
      </c>
      <c r="C369" s="3" t="n">
        <v>18.74</v>
      </c>
      <c r="D369" s="3" t="n">
        <v>17.73</v>
      </c>
      <c r="E369" s="3" t="n">
        <v>26.22</v>
      </c>
      <c r="F369" s="3" t="n">
        <v>47.22</v>
      </c>
      <c r="G369" s="3" t="n">
        <v>5984</v>
      </c>
    </row>
    <row r="370">
      <c r="A370" s="2" t="n">
        <v>45609</v>
      </c>
      <c r="B370" s="3" t="n">
        <v>588.95</v>
      </c>
      <c r="C370" s="3" t="n">
        <v>18.75</v>
      </c>
      <c r="D370" s="3" t="n">
        <v>17.74</v>
      </c>
      <c r="E370" s="3" t="n">
        <v>26.33</v>
      </c>
      <c r="F370" s="3" t="n">
        <v>47.25</v>
      </c>
      <c r="G370" s="3" t="n">
        <v>5985.39</v>
      </c>
    </row>
    <row r="371">
      <c r="A371" s="2" t="n">
        <v>45610</v>
      </c>
      <c r="B371" s="3" t="n">
        <v>585.0599999999999</v>
      </c>
      <c r="C371" s="3" t="n">
        <v>18.78</v>
      </c>
      <c r="D371" s="3" t="n">
        <v>17.62</v>
      </c>
      <c r="E371" s="3" t="n">
        <v>26.26</v>
      </c>
      <c r="F371" s="3" t="n">
        <v>47.25</v>
      </c>
      <c r="G371" s="3" t="n">
        <v>5949.16</v>
      </c>
    </row>
    <row r="372">
      <c r="A372" s="2" t="n">
        <v>45611</v>
      </c>
      <c r="B372" s="3" t="n">
        <v>577.63</v>
      </c>
      <c r="C372" s="3" t="n">
        <v>18.72</v>
      </c>
      <c r="D372" s="3" t="n">
        <v>17.71</v>
      </c>
      <c r="E372" s="3" t="n">
        <v>26.21</v>
      </c>
      <c r="F372" s="3" t="n">
        <v>47.27</v>
      </c>
      <c r="G372" s="3" t="n">
        <v>5870.63</v>
      </c>
    </row>
    <row r="373">
      <c r="A373" s="2" t="n">
        <v>45614</v>
      </c>
      <c r="B373" s="3" t="n">
        <v>580.03</v>
      </c>
      <c r="C373" s="3" t="n">
        <v>18.87</v>
      </c>
      <c r="D373" s="3" t="n">
        <v>17.83</v>
      </c>
      <c r="E373" s="3" t="n">
        <v>26.39</v>
      </c>
      <c r="F373" s="3" t="n">
        <v>47.29</v>
      </c>
      <c r="G373" s="3" t="n">
        <v>5893.61</v>
      </c>
    </row>
    <row r="374">
      <c r="A374" s="2" t="n">
        <v>45615</v>
      </c>
      <c r="B374" s="3" t="n">
        <v>582.05</v>
      </c>
      <c r="C374" s="3" t="n">
        <v>19</v>
      </c>
      <c r="D374" s="3" t="n">
        <v>17.87</v>
      </c>
      <c r="E374" s="3" t="n">
        <v>26.73</v>
      </c>
      <c r="F374" s="3" t="n">
        <v>47.3</v>
      </c>
      <c r="G374" s="3" t="n">
        <v>5916.97</v>
      </c>
    </row>
    <row r="375">
      <c r="A375" s="2" t="n">
        <v>45616</v>
      </c>
      <c r="B375" s="3" t="n">
        <v>582.3200000000001</v>
      </c>
      <c r="C375" s="3" t="n">
        <v>18.97</v>
      </c>
      <c r="D375" s="3" t="n">
        <v>17.81</v>
      </c>
      <c r="E375" s="3" t="n">
        <v>26.66</v>
      </c>
      <c r="F375" s="3" t="n">
        <v>47.3</v>
      </c>
      <c r="G375" s="3" t="n">
        <v>5917.12</v>
      </c>
    </row>
    <row r="376">
      <c r="A376" s="2" t="n">
        <v>45617</v>
      </c>
      <c r="B376" s="3" t="n">
        <v>585.3</v>
      </c>
      <c r="C376" s="3" t="n">
        <v>18.96</v>
      </c>
      <c r="D376" s="3" t="n">
        <v>17.88</v>
      </c>
      <c r="E376" s="3" t="n">
        <v>26.6</v>
      </c>
      <c r="F376" s="3" t="n">
        <v>47.29</v>
      </c>
      <c r="G376" s="3" t="n">
        <v>5948.7</v>
      </c>
    </row>
    <row r="377">
      <c r="A377" s="2" t="n">
        <v>45618</v>
      </c>
      <c r="B377" s="3" t="n">
        <v>587.24</v>
      </c>
      <c r="C377" s="3" t="n">
        <v>19.17</v>
      </c>
      <c r="D377" s="3" t="n">
        <v>18.07</v>
      </c>
      <c r="E377" s="3" t="n">
        <v>26.99</v>
      </c>
      <c r="F377" s="3" t="n">
        <v>47.3</v>
      </c>
      <c r="G377" s="3" t="n">
        <v>5969.33</v>
      </c>
    </row>
    <row r="378">
      <c r="A378" s="2" t="n">
        <v>45621</v>
      </c>
      <c r="B378" s="3" t="n">
        <v>588.97</v>
      </c>
      <c r="C378" s="3" t="n">
        <v>19.15</v>
      </c>
      <c r="D378" s="3" t="n">
        <v>18.21</v>
      </c>
      <c r="E378" s="3" t="n">
        <v>27.13</v>
      </c>
      <c r="F378" s="3" t="n">
        <v>47.31</v>
      </c>
      <c r="G378" s="3" t="n">
        <v>5987.38</v>
      </c>
    </row>
    <row r="379">
      <c r="A379" s="2" t="n">
        <v>45622</v>
      </c>
      <c r="B379" s="3" t="n">
        <v>592.45</v>
      </c>
      <c r="C379" s="3" t="n">
        <v>19.15</v>
      </c>
      <c r="D379" s="3" t="n">
        <v>18.21</v>
      </c>
      <c r="E379" s="3" t="n">
        <v>27.01</v>
      </c>
      <c r="F379" s="3" t="n">
        <v>47.31</v>
      </c>
      <c r="G379" s="3" t="n">
        <v>6021.64</v>
      </c>
    </row>
    <row r="380">
      <c r="A380" s="2" t="n">
        <v>45623</v>
      </c>
      <c r="B380" s="3" t="n">
        <v>590.54</v>
      </c>
      <c r="C380" s="3" t="n">
        <v>19.16</v>
      </c>
      <c r="D380" s="3" t="n">
        <v>18.43</v>
      </c>
      <c r="E380" s="3" t="n">
        <v>27.28</v>
      </c>
      <c r="F380" s="3" t="n">
        <v>47.34</v>
      </c>
      <c r="G380" s="3" t="n">
        <v>5998.73</v>
      </c>
    </row>
    <row r="381">
      <c r="A381" s="2" t="n">
        <v>45625</v>
      </c>
      <c r="B381" s="3" t="n">
        <v>593.73</v>
      </c>
      <c r="C381" s="3" t="n">
        <v>19.28</v>
      </c>
      <c r="D381" s="3" t="n">
        <v>18.73</v>
      </c>
      <c r="E381" s="3" t="n">
        <v>27.67</v>
      </c>
      <c r="F381" s="3" t="n">
        <v>47.37</v>
      </c>
      <c r="G381" s="3" t="n">
        <v>6032.39</v>
      </c>
    </row>
    <row r="382">
      <c r="A382" s="2" t="n">
        <v>45628</v>
      </c>
      <c r="B382" s="3" t="n">
        <v>595.34</v>
      </c>
      <c r="C382" s="3" t="n">
        <v>19.24</v>
      </c>
      <c r="D382" s="3" t="n">
        <v>18.7</v>
      </c>
      <c r="E382" s="3" t="n">
        <v>27.1</v>
      </c>
      <c r="F382" s="3" t="n">
        <v>47.39</v>
      </c>
      <c r="G382" s="3" t="n">
        <v>6047.14</v>
      </c>
    </row>
    <row r="383">
      <c r="A383" s="2" t="n">
        <v>45629</v>
      </c>
      <c r="B383" s="3" t="n">
        <v>595.59</v>
      </c>
      <c r="C383" s="3" t="n">
        <v>19.31</v>
      </c>
      <c r="D383" s="3" t="n">
        <v>18.66</v>
      </c>
      <c r="E383" s="3" t="n">
        <v>27.22</v>
      </c>
      <c r="F383" s="3" t="n">
        <v>47.4</v>
      </c>
      <c r="G383" s="3" t="n">
        <v>6049.87</v>
      </c>
    </row>
    <row r="384">
      <c r="A384" s="2" t="n">
        <v>45630</v>
      </c>
      <c r="B384" s="3" t="n">
        <v>599.26</v>
      </c>
      <c r="C384" s="3" t="n">
        <v>19.24</v>
      </c>
      <c r="D384" s="3" t="n">
        <v>18.76</v>
      </c>
      <c r="E384" s="3" t="n">
        <v>27.01</v>
      </c>
      <c r="F384" s="3" t="n">
        <v>47.41</v>
      </c>
      <c r="G384" s="3" t="n">
        <v>6086.48</v>
      </c>
    </row>
    <row r="385">
      <c r="A385" s="2" t="n">
        <v>45631</v>
      </c>
      <c r="B385" s="3" t="n">
        <v>598.3</v>
      </c>
      <c r="C385" s="3" t="n">
        <v>19.3</v>
      </c>
      <c r="D385" s="3" t="n">
        <v>18.74</v>
      </c>
      <c r="E385" s="3" t="n">
        <v>27.05</v>
      </c>
      <c r="F385" s="3" t="n">
        <v>47.42</v>
      </c>
      <c r="G385" s="3" t="n">
        <v>6075.1</v>
      </c>
    </row>
    <row r="386">
      <c r="A386" s="2" t="n">
        <v>45632</v>
      </c>
      <c r="B386" s="3" t="n">
        <v>599.38</v>
      </c>
      <c r="C386" s="3" t="n">
        <v>19.33</v>
      </c>
      <c r="D386" s="3" t="n">
        <v>18.83</v>
      </c>
      <c r="E386" s="3" t="n">
        <v>27.24</v>
      </c>
      <c r="F386" s="3" t="n">
        <v>47.46</v>
      </c>
      <c r="G386" s="3" t="n">
        <v>6090.28</v>
      </c>
    </row>
    <row r="387">
      <c r="A387" s="2" t="n">
        <v>45635</v>
      </c>
      <c r="B387" s="3" t="n">
        <v>596.29</v>
      </c>
      <c r="C387" s="3" t="n">
        <v>19.39</v>
      </c>
      <c r="D387" s="3" t="n">
        <v>18.72</v>
      </c>
      <c r="E387" s="3" t="n">
        <v>26.99</v>
      </c>
      <c r="F387" s="3" t="n">
        <v>47.47</v>
      </c>
      <c r="G387" s="3" t="n">
        <v>6052.84</v>
      </c>
    </row>
    <row r="388">
      <c r="A388" s="2" t="n">
        <v>45636</v>
      </c>
      <c r="B388" s="3" t="n">
        <v>594.5700000000001</v>
      </c>
      <c r="C388" s="3" t="n">
        <v>19.22</v>
      </c>
      <c r="D388" s="3" t="n">
        <v>18.71</v>
      </c>
      <c r="E388" s="3" t="n">
        <v>27.34</v>
      </c>
      <c r="F388" s="3" t="n">
        <v>47.47</v>
      </c>
      <c r="G388" s="3" t="n">
        <v>6034.9</v>
      </c>
    </row>
    <row r="389">
      <c r="A389" s="2" t="n">
        <v>45637</v>
      </c>
      <c r="B389" s="3" t="n">
        <v>599.15</v>
      </c>
      <c r="C389" s="3" t="n">
        <v>19.25</v>
      </c>
      <c r="D389" s="3" t="n">
        <v>18.66</v>
      </c>
      <c r="E389" s="3" t="n">
        <v>27.25</v>
      </c>
      <c r="F389" s="3" t="n">
        <v>47.47</v>
      </c>
      <c r="G389" s="3" t="n">
        <v>6084.18</v>
      </c>
    </row>
    <row r="390">
      <c r="A390" s="2" t="n">
        <v>45638</v>
      </c>
      <c r="B390" s="3" t="n">
        <v>595.97</v>
      </c>
      <c r="C390" s="3" t="n">
        <v>19.22</v>
      </c>
      <c r="D390" s="3" t="n">
        <v>18.62</v>
      </c>
      <c r="E390" s="3" t="n">
        <v>27.31</v>
      </c>
      <c r="F390" s="3" t="n">
        <v>47.47</v>
      </c>
      <c r="G390" s="3" t="n">
        <v>6051.25</v>
      </c>
    </row>
    <row r="391">
      <c r="A391" s="2" t="n">
        <v>45639</v>
      </c>
      <c r="B391" s="3" t="n">
        <v>595.86</v>
      </c>
      <c r="C391" s="3" t="n">
        <v>19.3</v>
      </c>
      <c r="D391" s="3" t="n">
        <v>18.63</v>
      </c>
      <c r="E391" s="3" t="n">
        <v>27.11</v>
      </c>
      <c r="F391" s="3" t="n">
        <v>47.47</v>
      </c>
      <c r="G391" s="3" t="n">
        <v>6051.08</v>
      </c>
    </row>
    <row r="392">
      <c r="A392" s="2" t="n">
        <v>45642</v>
      </c>
      <c r="B392" s="3" t="n">
        <v>598.4</v>
      </c>
      <c r="C392" s="3" t="n">
        <v>19.06</v>
      </c>
      <c r="D392" s="3" t="n">
        <v>18.4</v>
      </c>
      <c r="E392" s="3" t="n">
        <v>27.29</v>
      </c>
      <c r="F392" s="3" t="n">
        <v>47.48</v>
      </c>
      <c r="G392" s="3" t="n">
        <v>6074.07</v>
      </c>
    </row>
    <row r="393">
      <c r="A393" s="2" t="n">
        <v>45643</v>
      </c>
      <c r="B393" s="3" t="n">
        <v>595.8</v>
      </c>
      <c r="C393" s="3" t="n">
        <v>18.96</v>
      </c>
      <c r="D393" s="3" t="n">
        <v>18.43</v>
      </c>
      <c r="E393" s="3" t="n">
        <v>27.01</v>
      </c>
      <c r="F393" s="3" t="n">
        <v>47.47</v>
      </c>
      <c r="G393" s="3" t="n">
        <v>6050.6</v>
      </c>
    </row>
    <row r="394">
      <c r="A394" s="2" t="n">
        <v>45644</v>
      </c>
      <c r="B394" s="3" t="n">
        <v>578.28</v>
      </c>
      <c r="C394" s="3" t="n">
        <v>18.62</v>
      </c>
      <c r="D394" s="3" t="n">
        <v>18.18</v>
      </c>
      <c r="E394" s="3" t="n">
        <v>26.73</v>
      </c>
      <c r="F394" s="3" t="n">
        <v>47.44</v>
      </c>
      <c r="G394" s="3" t="n">
        <v>5872.17</v>
      </c>
    </row>
    <row r="395">
      <c r="A395" s="2" t="n">
        <v>45645</v>
      </c>
      <c r="B395" s="3" t="n">
        <v>577.86</v>
      </c>
      <c r="C395" s="3" t="n">
        <v>18.8</v>
      </c>
      <c r="D395" s="3" t="n">
        <v>18.53</v>
      </c>
      <c r="E395" s="3" t="n">
        <v>27.05</v>
      </c>
      <c r="F395" s="3" t="n">
        <v>47.45</v>
      </c>
      <c r="G395" s="3" t="n">
        <v>5867.07</v>
      </c>
    </row>
    <row r="396">
      <c r="A396" s="2" t="n">
        <v>45646</v>
      </c>
      <c r="B396" s="3" t="n">
        <v>584.26</v>
      </c>
      <c r="C396" s="3" t="n">
        <v>19.03</v>
      </c>
      <c r="D396" s="3" t="n">
        <v>18.71</v>
      </c>
      <c r="E396" s="3" t="n">
        <v>27.38</v>
      </c>
      <c r="F396" s="3" t="n">
        <v>47.47</v>
      </c>
      <c r="G396" s="3" t="n">
        <v>5930.84</v>
      </c>
    </row>
    <row r="397">
      <c r="A397" s="2" t="n">
        <v>45649</v>
      </c>
      <c r="B397" s="3" t="n">
        <v>588.5</v>
      </c>
      <c r="C397" s="3" t="n">
        <v>19.16</v>
      </c>
      <c r="D397" s="3" t="n">
        <v>18.65</v>
      </c>
      <c r="E397" s="3" t="n">
        <v>27.6</v>
      </c>
      <c r="F397" s="3" t="n">
        <v>47.47</v>
      </c>
      <c r="G397" s="3" t="n">
        <v>5974.08</v>
      </c>
    </row>
    <row r="398">
      <c r="A398" s="2" t="n">
        <v>45650</v>
      </c>
      <c r="B398" s="3" t="n">
        <v>595.12</v>
      </c>
      <c r="C398" s="3" t="n">
        <v>19.36</v>
      </c>
      <c r="D398" s="3" t="n">
        <v>18.83</v>
      </c>
      <c r="E398" s="3" t="n">
        <v>28.04</v>
      </c>
      <c r="F398" s="3" t="n">
        <v>47.48</v>
      </c>
      <c r="G398" s="3" t="n">
        <v>6040.05</v>
      </c>
    </row>
    <row r="399">
      <c r="A399" s="2" t="n">
        <v>45652</v>
      </c>
      <c r="B399" s="3" t="n">
        <v>594.83</v>
      </c>
      <c r="C399" s="3" t="n">
        <v>19.53</v>
      </c>
      <c r="D399" s="3" t="n">
        <v>18.8</v>
      </c>
      <c r="E399" s="3" t="n">
        <v>28.2</v>
      </c>
      <c r="F399" s="3" t="n">
        <v>47.5</v>
      </c>
      <c r="G399" s="3" t="n">
        <v>6037.58</v>
      </c>
    </row>
    <row r="400">
      <c r="A400" s="2" t="n">
        <v>45653</v>
      </c>
      <c r="B400" s="3" t="n">
        <v>588.39</v>
      </c>
      <c r="C400" s="3" t="n">
        <v>19.6</v>
      </c>
      <c r="D400" s="3" t="n">
        <v>18.83</v>
      </c>
      <c r="E400" s="3" t="n">
        <v>28.26</v>
      </c>
      <c r="F400" s="3" t="n">
        <v>47.53</v>
      </c>
      <c r="G400" s="3" t="n">
        <v>5970.85</v>
      </c>
    </row>
    <row r="401">
      <c r="A401" s="2" t="n">
        <v>45656</v>
      </c>
      <c r="B401" s="3" t="n">
        <v>581.9400000000001</v>
      </c>
      <c r="C401" s="3" t="n">
        <v>19.53</v>
      </c>
      <c r="D401" s="3" t="n">
        <v>18.98</v>
      </c>
      <c r="E401" s="3" t="n">
        <v>28.09</v>
      </c>
      <c r="F401" s="3" t="n">
        <v>47.55</v>
      </c>
      <c r="G401" s="3" t="n">
        <v>5906.95</v>
      </c>
    </row>
    <row r="402">
      <c r="A402" s="2" t="n">
        <v>45657</v>
      </c>
      <c r="B402" s="3" t="n">
        <v>579.6799999999999</v>
      </c>
      <c r="C402" s="3" t="n">
        <v>19.48</v>
      </c>
      <c r="D402" s="3" t="n">
        <v>18.98</v>
      </c>
      <c r="E402" s="3" t="n">
        <v>28.1</v>
      </c>
      <c r="F402" s="3" t="n">
        <v>47.54</v>
      </c>
      <c r="G402" s="3" t="n">
        <v>5881.62</v>
      </c>
    </row>
    <row r="403">
      <c r="A403" s="2" t="n">
        <v>45659</v>
      </c>
      <c r="B403" s="3" t="n">
        <v>578.47</v>
      </c>
      <c r="C403" s="3" t="n">
        <v>19.77</v>
      </c>
      <c r="D403" s="3" t="n">
        <v>18.93</v>
      </c>
      <c r="E403" s="3" t="n">
        <v>28.27</v>
      </c>
      <c r="F403" s="3" t="n">
        <v>47.56</v>
      </c>
      <c r="G403" s="3" t="n">
        <v>5868.56</v>
      </c>
    </row>
    <row r="404">
      <c r="A404" s="2" t="n">
        <v>45660</v>
      </c>
      <c r="B404" s="3" t="n">
        <v>585.52</v>
      </c>
      <c r="C404" s="3" t="n">
        <v>19.74</v>
      </c>
      <c r="D404" s="3" t="n">
        <v>18.95</v>
      </c>
      <c r="E404" s="3" t="n">
        <v>28</v>
      </c>
      <c r="F404" s="3" t="n">
        <v>47.57</v>
      </c>
      <c r="G404" s="3" t="n">
        <v>5942.46</v>
      </c>
    </row>
    <row r="405">
      <c r="A405" s="2" t="n">
        <v>45663</v>
      </c>
      <c r="B405" s="3" t="n">
        <v>589.15</v>
      </c>
      <c r="C405" s="3" t="n">
        <v>19.69</v>
      </c>
      <c r="D405" s="3" t="n">
        <v>18.86</v>
      </c>
      <c r="E405" s="3" t="n">
        <v>27.53</v>
      </c>
      <c r="F405" s="3" t="n">
        <v>47.59</v>
      </c>
      <c r="G405" s="3" t="n">
        <v>5975.37</v>
      </c>
    </row>
    <row r="406">
      <c r="A406" s="2" t="n">
        <v>45664</v>
      </c>
      <c r="B406" s="3" t="n">
        <v>582.52</v>
      </c>
      <c r="C406" s="3" t="n">
        <v>19.64</v>
      </c>
      <c r="D406" s="3" t="n">
        <v>18.78</v>
      </c>
      <c r="E406" s="3" t="n">
        <v>27.73</v>
      </c>
      <c r="F406" s="3" t="n">
        <v>47.58</v>
      </c>
      <c r="G406" s="3" t="n">
        <v>5909.02</v>
      </c>
    </row>
    <row r="407">
      <c r="A407" s="2" t="n">
        <v>45665</v>
      </c>
      <c r="B407" s="3" t="n">
        <v>583.14</v>
      </c>
      <c r="C407" s="3" t="n">
        <v>19.66</v>
      </c>
      <c r="D407" s="3" t="n">
        <v>18.78</v>
      </c>
      <c r="E407" s="3" t="n">
        <v>27.74</v>
      </c>
      <c r="F407" s="3" t="n">
        <v>47.59</v>
      </c>
      <c r="G407" s="3" t="n">
        <v>5918.26</v>
      </c>
    </row>
    <row r="408">
      <c r="A408" s="2" t="n">
        <v>45667</v>
      </c>
      <c r="B408" s="3" t="n">
        <v>574.41</v>
      </c>
      <c r="C408" s="3" t="n">
        <v>19.56</v>
      </c>
      <c r="D408" s="3" t="n">
        <v>18.67</v>
      </c>
      <c r="E408" s="3" t="n">
        <v>27.44</v>
      </c>
      <c r="F408" s="3" t="n">
        <v>47.59</v>
      </c>
      <c r="G408" s="3" t="n">
        <v>5827.03</v>
      </c>
    </row>
    <row r="409">
      <c r="A409" s="2" t="n">
        <v>45670</v>
      </c>
      <c r="B409" s="3" t="n">
        <v>575.25</v>
      </c>
      <c r="C409" s="3" t="n">
        <v>19.67</v>
      </c>
      <c r="D409" s="3" t="n">
        <v>18.79</v>
      </c>
      <c r="E409" s="3" t="n">
        <v>27.8</v>
      </c>
      <c r="F409" s="3" t="n">
        <v>47.6</v>
      </c>
      <c r="G409" s="3" t="n">
        <v>5836.21</v>
      </c>
    </row>
    <row r="410">
      <c r="A410" s="2" t="n">
        <v>45671</v>
      </c>
      <c r="B410" s="3" t="n">
        <v>576.05</v>
      </c>
      <c r="C410" s="3" t="n">
        <v>19.96</v>
      </c>
      <c r="D410" s="3" t="n">
        <v>19.04</v>
      </c>
      <c r="E410" s="3" t="n">
        <v>28.09</v>
      </c>
      <c r="F410" s="3" t="n">
        <v>47.6</v>
      </c>
      <c r="G410" s="3" t="n">
        <v>5842.9</v>
      </c>
    </row>
    <row r="411">
      <c r="A411" s="2" t="n">
        <v>45672</v>
      </c>
      <c r="B411" s="3" t="n">
        <v>586.52</v>
      </c>
      <c r="C411" s="3" t="n">
        <v>20.17</v>
      </c>
      <c r="D411" s="3" t="n">
        <v>19.06</v>
      </c>
      <c r="E411" s="3" t="n">
        <v>28</v>
      </c>
      <c r="F411" s="3" t="n">
        <v>47.64</v>
      </c>
      <c r="G411" s="3" t="n">
        <v>5949.92</v>
      </c>
    </row>
    <row r="412">
      <c r="A412" s="2" t="n">
        <v>45673</v>
      </c>
      <c r="B412" s="3" t="n">
        <v>585.53</v>
      </c>
      <c r="C412" s="3" t="n">
        <v>20.47</v>
      </c>
      <c r="D412" s="3" t="n">
        <v>19.29</v>
      </c>
      <c r="E412" s="3" t="n">
        <v>28.41</v>
      </c>
      <c r="F412" s="3" t="n">
        <v>47.65</v>
      </c>
      <c r="G412" s="3" t="n">
        <v>5937.35</v>
      </c>
    </row>
    <row r="413">
      <c r="A413" s="2" t="n">
        <v>45674</v>
      </c>
      <c r="B413" s="3" t="n">
        <v>591.08</v>
      </c>
      <c r="C413" s="3" t="n">
        <v>20.63</v>
      </c>
      <c r="D413" s="3" t="n">
        <v>19.29</v>
      </c>
      <c r="E413" s="3" t="n">
        <v>28.34</v>
      </c>
      <c r="F413" s="3" t="n">
        <v>47.66</v>
      </c>
      <c r="G413" s="3" t="n">
        <v>5996.65</v>
      </c>
    </row>
    <row r="414">
      <c r="A414" s="2" t="n">
        <v>45678</v>
      </c>
      <c r="B414" s="3" t="n">
        <v>596.4400000000001</v>
      </c>
      <c r="C414" s="3" t="n">
        <v>20.8</v>
      </c>
      <c r="D414" s="3" t="n">
        <v>19.61</v>
      </c>
      <c r="E414" s="3" t="n">
        <v>28.27</v>
      </c>
      <c r="F414" s="3" t="n">
        <v>47.67</v>
      </c>
      <c r="G414" s="3" t="n">
        <v>6049.23</v>
      </c>
    </row>
    <row r="415">
      <c r="A415" s="2" t="n">
        <v>45679</v>
      </c>
      <c r="B415" s="3" t="n">
        <v>599.98</v>
      </c>
      <c r="C415" s="3" t="n">
        <v>20.81</v>
      </c>
      <c r="D415" s="3" t="n">
        <v>19.5</v>
      </c>
      <c r="E415" s="3" t="n">
        <v>28.25</v>
      </c>
      <c r="F415" s="3" t="n">
        <v>47.67</v>
      </c>
      <c r="G415" s="3" t="n">
        <v>6086.36</v>
      </c>
    </row>
    <row r="416">
      <c r="A416" s="2" t="n">
        <v>45680</v>
      </c>
      <c r="B416" s="3" t="n">
        <v>603.33</v>
      </c>
      <c r="C416" s="3" t="n">
        <v>20.81</v>
      </c>
      <c r="D416" s="3" t="n">
        <v>19.62</v>
      </c>
      <c r="E416" s="3" t="n">
        <v>28.45</v>
      </c>
      <c r="F416" s="3" t="n">
        <v>47.67</v>
      </c>
      <c r="G416" s="3" t="n">
        <v>6118.72</v>
      </c>
    </row>
    <row r="417">
      <c r="A417" s="2" t="n">
        <v>45681</v>
      </c>
      <c r="B417" s="3" t="n">
        <v>601.55</v>
      </c>
      <c r="C417" s="3" t="n">
        <v>20.85</v>
      </c>
      <c r="D417" s="3" t="n">
        <v>19.64</v>
      </c>
      <c r="E417" s="3" t="n">
        <v>28.44</v>
      </c>
      <c r="F417" s="3" t="n">
        <v>47.69</v>
      </c>
      <c r="G417" s="3" t="n">
        <v>6101.25</v>
      </c>
    </row>
    <row r="418">
      <c r="A418" s="2" t="n">
        <v>45684</v>
      </c>
      <c r="B418" s="3" t="n">
        <v>593.16</v>
      </c>
      <c r="C418" s="3" t="n">
        <v>20.74</v>
      </c>
      <c r="D418" s="3" t="n">
        <v>19.64</v>
      </c>
      <c r="E418" s="3" t="n">
        <v>28.7</v>
      </c>
      <c r="F418" s="3" t="n">
        <v>47.71</v>
      </c>
      <c r="G418" s="3" t="n">
        <v>6012.29</v>
      </c>
    </row>
    <row r="419">
      <c r="A419" s="2" t="n">
        <v>45685</v>
      </c>
      <c r="B419" s="3" t="n">
        <v>598.2</v>
      </c>
      <c r="C419" s="3" t="n">
        <v>20.95</v>
      </c>
      <c r="D419" s="3" t="n">
        <v>19.7</v>
      </c>
      <c r="E419" s="3" t="n">
        <v>28.69</v>
      </c>
      <c r="F419" s="3" t="n">
        <v>47.73</v>
      </c>
      <c r="G419" s="3" t="n">
        <v>6067.71</v>
      </c>
    </row>
    <row r="420">
      <c r="A420" s="2" t="n">
        <v>45686</v>
      </c>
      <c r="B420" s="3" t="n">
        <v>595.66</v>
      </c>
      <c r="C420" s="3" t="n">
        <v>20.63</v>
      </c>
      <c r="D420" s="3" t="n">
        <v>19.55</v>
      </c>
      <c r="E420" s="3" t="n">
        <v>28.58</v>
      </c>
      <c r="F420" s="3" t="n">
        <v>47.73</v>
      </c>
      <c r="G420" s="3" t="n">
        <v>6039.32</v>
      </c>
    </row>
    <row r="421">
      <c r="A421" s="2" t="n">
        <v>45687</v>
      </c>
      <c r="B421" s="3" t="n">
        <v>598.64</v>
      </c>
      <c r="C421" s="3" t="n">
        <v>20.84</v>
      </c>
      <c r="D421" s="3" t="n">
        <v>19.85</v>
      </c>
      <c r="E421" s="3" t="n">
        <v>28.77</v>
      </c>
      <c r="F421" s="3" t="n">
        <v>47.75</v>
      </c>
      <c r="G421" s="3" t="n">
        <v>6071.18</v>
      </c>
    </row>
    <row r="422">
      <c r="A422" s="2" t="n">
        <v>45688</v>
      </c>
      <c r="B422" s="3" t="n">
        <v>595.41</v>
      </c>
      <c r="C422" s="3" t="n">
        <v>21.06</v>
      </c>
      <c r="D422" s="3" t="n">
        <v>19.94</v>
      </c>
      <c r="E422" s="3" t="n">
        <v>29.2</v>
      </c>
      <c r="F422" s="3" t="n">
        <v>47.76</v>
      </c>
      <c r="G422" s="3" t="n">
        <v>6040.52</v>
      </c>
    </row>
    <row r="423">
      <c r="A423" s="2" t="n">
        <v>45691</v>
      </c>
      <c r="B423" s="3" t="n">
        <v>591.5</v>
      </c>
      <c r="C423" s="3" t="n">
        <v>21.18</v>
      </c>
      <c r="D423" s="3" t="n">
        <v>19.93</v>
      </c>
      <c r="E423" s="3" t="n">
        <v>29.33</v>
      </c>
      <c r="F423" s="3" t="n">
        <v>47.77</v>
      </c>
      <c r="G423" s="3" t="n">
        <v>5994.58</v>
      </c>
    </row>
    <row r="424">
      <c r="A424" s="2" t="n">
        <v>45692</v>
      </c>
      <c r="B424" s="3" t="n">
        <v>595.4400000000001</v>
      </c>
      <c r="C424" s="3" t="n">
        <v>21.19</v>
      </c>
      <c r="D424" s="3" t="n">
        <v>19.97</v>
      </c>
      <c r="E424" s="3" t="n">
        <v>29.22</v>
      </c>
      <c r="F424" s="3" t="n">
        <v>47.78</v>
      </c>
      <c r="G424" s="3" t="n">
        <v>6037.89</v>
      </c>
    </row>
    <row r="425">
      <c r="A425" s="2" t="n">
        <v>45693</v>
      </c>
      <c r="B425" s="3" t="n">
        <v>597.89</v>
      </c>
      <c r="C425" s="3" t="n">
        <v>20.56</v>
      </c>
      <c r="D425" s="3" t="n">
        <v>19.91</v>
      </c>
      <c r="E425" s="3" t="n">
        <v>29.14</v>
      </c>
      <c r="F425" s="3" t="n">
        <v>47.79</v>
      </c>
      <c r="G425" s="3" t="n">
        <v>6061.47</v>
      </c>
    </row>
    <row r="426">
      <c r="A426" s="2" t="n">
        <v>45694</v>
      </c>
      <c r="B426" s="3" t="n">
        <v>600.08</v>
      </c>
      <c r="C426" s="3" t="n">
        <v>20.23</v>
      </c>
      <c r="D426" s="3" t="n">
        <v>19.72</v>
      </c>
      <c r="E426" s="3" t="n">
        <v>29.05</v>
      </c>
      <c r="F426" s="3" t="n">
        <v>47.79</v>
      </c>
      <c r="G426" s="3" t="n">
        <v>6083.56</v>
      </c>
    </row>
    <row r="427">
      <c r="A427" s="2" t="n">
        <v>45695</v>
      </c>
      <c r="B427" s="3" t="n">
        <v>594.5700000000001</v>
      </c>
      <c r="C427" s="3" t="n">
        <v>20.24</v>
      </c>
      <c r="D427" s="3" t="n">
        <v>19.73</v>
      </c>
      <c r="E427" s="3" t="n">
        <v>28.91</v>
      </c>
      <c r="F427" s="3" t="n">
        <v>47.78</v>
      </c>
      <c r="G427" s="3" t="n">
        <v>6025.98</v>
      </c>
    </row>
    <row r="428">
      <c r="A428" s="2" t="n">
        <v>45698</v>
      </c>
      <c r="B428" s="3" t="n">
        <v>598.46</v>
      </c>
      <c r="C428" s="3" t="n">
        <v>20.35</v>
      </c>
      <c r="D428" s="3" t="n">
        <v>19.67</v>
      </c>
      <c r="E428" s="3" t="n">
        <v>28.84</v>
      </c>
      <c r="F428" s="3" t="n">
        <v>47.8</v>
      </c>
      <c r="G428" s="3" t="n">
        <v>6066.45</v>
      </c>
    </row>
    <row r="429">
      <c r="A429" s="2" t="n">
        <v>45699</v>
      </c>
      <c r="B429" s="3" t="n">
        <v>598.9299999999999</v>
      </c>
      <c r="C429" s="3" t="n">
        <v>20.21</v>
      </c>
      <c r="D429" s="3" t="n">
        <v>19.66</v>
      </c>
      <c r="E429" s="3" t="n">
        <v>29.05</v>
      </c>
      <c r="F429" s="3" t="n">
        <v>47.8</v>
      </c>
      <c r="G429" s="3" t="n">
        <v>6068.49</v>
      </c>
    </row>
    <row r="430">
      <c r="A430" s="2" t="n">
        <v>45700</v>
      </c>
      <c r="B430" s="3" t="n">
        <v>596.9400000000001</v>
      </c>
      <c r="C430" s="3" t="n">
        <v>20.39</v>
      </c>
      <c r="D430" s="3" t="n">
        <v>19.78</v>
      </c>
      <c r="E430" s="3" t="n">
        <v>29.35</v>
      </c>
      <c r="F430" s="3" t="n">
        <v>47.78</v>
      </c>
      <c r="G430" s="3" t="n">
        <v>6051.98</v>
      </c>
    </row>
    <row r="431">
      <c r="A431" s="2" t="n">
        <v>45701</v>
      </c>
      <c r="B431" s="3" t="n">
        <v>603.3</v>
      </c>
      <c r="C431" s="3" t="n">
        <v>20.54</v>
      </c>
      <c r="D431" s="3" t="n">
        <v>20.02</v>
      </c>
      <c r="E431" s="3" t="n">
        <v>29.47</v>
      </c>
      <c r="F431" s="3" t="n">
        <v>47.82</v>
      </c>
      <c r="G431" s="3" t="n">
        <v>6115.08</v>
      </c>
    </row>
    <row r="432">
      <c r="A432" s="2" t="n">
        <v>45702</v>
      </c>
      <c r="B432" s="3" t="n">
        <v>603.3099999999999</v>
      </c>
      <c r="C432" s="3" t="n">
        <v>20.71</v>
      </c>
      <c r="D432" s="3" t="n">
        <v>20.46</v>
      </c>
      <c r="E432" s="3" t="n">
        <v>29.47</v>
      </c>
      <c r="F432" s="3" t="n">
        <v>47.85</v>
      </c>
      <c r="G432" s="3" t="n">
        <v>6114.62</v>
      </c>
    </row>
    <row r="433">
      <c r="A433" s="2" t="n">
        <v>45706</v>
      </c>
      <c r="B433" s="3" t="n">
        <v>605.08</v>
      </c>
      <c r="C433" s="3" t="n">
        <v>20.78</v>
      </c>
      <c r="D433" s="3" t="n">
        <v>20.54</v>
      </c>
      <c r="E433" s="3" t="n">
        <v>29.91</v>
      </c>
      <c r="F433" s="3" t="n">
        <v>47.84</v>
      </c>
      <c r="G433" s="3" t="n">
        <v>6129.57</v>
      </c>
    </row>
    <row r="434">
      <c r="A434" s="2" t="n">
        <v>45707</v>
      </c>
      <c r="B434" s="3" t="n">
        <v>606.4299999999999</v>
      </c>
      <c r="C434" s="3" t="n">
        <v>20.89</v>
      </c>
      <c r="D434" s="3" t="n">
        <v>20.6</v>
      </c>
      <c r="E434" s="3" t="n">
        <v>30.01</v>
      </c>
      <c r="F434" s="3" t="n">
        <v>47.87</v>
      </c>
      <c r="G434" s="3" t="n">
        <v>6144.14</v>
      </c>
    </row>
    <row r="435">
      <c r="A435" s="2" t="n">
        <v>45708</v>
      </c>
      <c r="B435" s="3" t="n">
        <v>604.08</v>
      </c>
      <c r="C435" s="3" t="n">
        <v>20.82</v>
      </c>
      <c r="D435" s="3" t="n">
        <v>20.55</v>
      </c>
      <c r="E435" s="3" t="n">
        <v>29.97</v>
      </c>
      <c r="F435" s="3" t="n">
        <v>47.87</v>
      </c>
      <c r="G435" s="3" t="n">
        <v>6117.51</v>
      </c>
    </row>
    <row r="436">
      <c r="A436" s="2" t="n">
        <v>45709</v>
      </c>
      <c r="B436" s="3" t="n">
        <v>593.65</v>
      </c>
      <c r="C436" s="3" t="n">
        <v>20.72</v>
      </c>
      <c r="D436" s="3" t="n">
        <v>20.91</v>
      </c>
      <c r="E436" s="3" t="n">
        <v>29.8</v>
      </c>
      <c r="F436" s="3" t="n">
        <v>47.91</v>
      </c>
      <c r="G436" s="3" t="n">
        <v>6013.12</v>
      </c>
    </row>
    <row r="437">
      <c r="A437" s="2" t="n">
        <v>45712</v>
      </c>
      <c r="B437" s="3" t="n">
        <v>590.83</v>
      </c>
      <c r="C437" s="3" t="n">
        <v>20.66</v>
      </c>
      <c r="D437" s="3" t="n">
        <v>20.89</v>
      </c>
      <c r="E437" s="3" t="n">
        <v>29.67</v>
      </c>
      <c r="F437" s="3" t="n">
        <v>47.92</v>
      </c>
      <c r="G437" s="3" t="n">
        <v>5983.26</v>
      </c>
    </row>
    <row r="438">
      <c r="A438" s="2" t="n">
        <v>45713</v>
      </c>
      <c r="B438" s="3" t="n">
        <v>587.95</v>
      </c>
      <c r="C438" s="3" t="n">
        <v>20.6</v>
      </c>
      <c r="D438" s="3" t="n">
        <v>20.65</v>
      </c>
      <c r="E438" s="3" t="n">
        <v>29.54</v>
      </c>
      <c r="F438" s="3" t="n">
        <v>47.92</v>
      </c>
      <c r="G438" s="3" t="n">
        <v>5955.26</v>
      </c>
    </row>
    <row r="439">
      <c r="A439" s="2" t="n">
        <v>45714</v>
      </c>
      <c r="B439" s="3" t="n">
        <v>588.15</v>
      </c>
      <c r="C439" s="3" t="n">
        <v>20.5</v>
      </c>
      <c r="D439" s="3" t="n">
        <v>20.72</v>
      </c>
      <c r="E439" s="3" t="n">
        <v>28.47</v>
      </c>
      <c r="F439" s="3" t="n">
        <v>47.94</v>
      </c>
      <c r="G439" s="3" t="n">
        <v>5956.07</v>
      </c>
    </row>
    <row r="440">
      <c r="A440" s="2" t="n">
        <v>45715</v>
      </c>
      <c r="B440" s="3" t="n">
        <v>578.79</v>
      </c>
      <c r="C440" s="3" t="n">
        <v>20.58</v>
      </c>
      <c r="D440" s="3" t="n">
        <v>20.66</v>
      </c>
      <c r="E440" s="3" t="n">
        <v>28.81</v>
      </c>
      <c r="F440" s="3" t="n">
        <v>47.94</v>
      </c>
      <c r="G440" s="3" t="n">
        <v>5861.56</v>
      </c>
    </row>
    <row r="441">
      <c r="A441" s="2" t="n">
        <v>45716</v>
      </c>
      <c r="B441" s="3" t="n">
        <v>587.91</v>
      </c>
      <c r="C441" s="3" t="n">
        <v>20.81</v>
      </c>
      <c r="D441" s="3" t="n">
        <v>21</v>
      </c>
      <c r="E441" s="3" t="n">
        <v>29.32</v>
      </c>
      <c r="F441" s="3" t="n">
        <v>48</v>
      </c>
      <c r="G441" s="3" t="n">
        <v>5954.51</v>
      </c>
    </row>
    <row r="442">
      <c r="A442" s="2" t="n">
        <v>45719</v>
      </c>
      <c r="B442" s="3" t="n">
        <v>577.8200000000001</v>
      </c>
      <c r="C442" s="3" t="n">
        <v>20.67</v>
      </c>
      <c r="D442" s="3" t="n">
        <v>20.86</v>
      </c>
      <c r="E442" s="3" t="n">
        <v>29.14</v>
      </c>
      <c r="F442" s="3" t="n">
        <v>48.01</v>
      </c>
      <c r="G442" s="3" t="n">
        <v>5849.71</v>
      </c>
    </row>
    <row r="443">
      <c r="A443" s="2" t="n">
        <v>45720</v>
      </c>
      <c r="B443" s="3" t="n">
        <v>570.85</v>
      </c>
      <c r="C443" s="3" t="n">
        <v>20.27</v>
      </c>
      <c r="D443" s="3" t="n">
        <v>20.35</v>
      </c>
      <c r="E443" s="3" t="n">
        <v>28.6</v>
      </c>
      <c r="F443" s="3" t="n">
        <v>48.01</v>
      </c>
      <c r="G443" s="3" t="n">
        <v>5778.14</v>
      </c>
    </row>
    <row r="444">
      <c r="A444" s="2" t="n">
        <v>45721</v>
      </c>
      <c r="B444" s="3" t="n">
        <v>577.1</v>
      </c>
      <c r="C444" s="3" t="n">
        <v>20.14</v>
      </c>
      <c r="D444" s="3" t="n">
        <v>20.24</v>
      </c>
      <c r="E444" s="3" t="n">
        <v>28.15</v>
      </c>
      <c r="F444" s="3" t="n">
        <v>48.02</v>
      </c>
      <c r="G444" s="3" t="n">
        <v>5842.62</v>
      </c>
    </row>
    <row r="445">
      <c r="A445" s="2" t="n">
        <v>45722</v>
      </c>
      <c r="B445" s="3" t="n">
        <v>566.74</v>
      </c>
      <c r="C445" s="3" t="n">
        <v>19.87</v>
      </c>
      <c r="D445" s="3" t="n">
        <v>19.84</v>
      </c>
      <c r="E445" s="3" t="n">
        <v>28.1</v>
      </c>
      <c r="F445" s="3" t="n">
        <v>48.03</v>
      </c>
      <c r="G445" s="3" t="n">
        <v>5738.53</v>
      </c>
    </row>
    <row r="446">
      <c r="A446" s="2" t="n">
        <v>45723</v>
      </c>
      <c r="B446" s="3" t="n">
        <v>569.66</v>
      </c>
      <c r="C446" s="3" t="n">
        <v>20.48</v>
      </c>
      <c r="D446" s="3" t="n">
        <v>20.21</v>
      </c>
      <c r="E446" s="3" t="n">
        <v>28.94</v>
      </c>
      <c r="F446" s="3" t="n">
        <v>48.04</v>
      </c>
      <c r="G446" s="3" t="n">
        <v>5770.19</v>
      </c>
    </row>
    <row r="447">
      <c r="A447" s="2" t="n">
        <v>45726</v>
      </c>
      <c r="B447" s="3" t="n">
        <v>554.83</v>
      </c>
      <c r="C447" s="3" t="n">
        <v>19.98</v>
      </c>
      <c r="D447" s="3" t="n">
        <v>20.14</v>
      </c>
      <c r="E447" s="3" t="n">
        <v>28.72</v>
      </c>
      <c r="F447" s="3" t="n">
        <v>48.07</v>
      </c>
      <c r="G447" s="3" t="n">
        <v>5614.55</v>
      </c>
    </row>
    <row r="448">
      <c r="A448" s="2" t="n">
        <v>45727</v>
      </c>
      <c r="B448" s="3" t="n">
        <v>550.1</v>
      </c>
      <c r="C448" s="3" t="n">
        <v>19.45</v>
      </c>
      <c r="D448" s="3" t="n">
        <v>19.73</v>
      </c>
      <c r="E448" s="3" t="n">
        <v>28.01</v>
      </c>
      <c r="F448" s="3" t="n">
        <v>48.05</v>
      </c>
      <c r="G448" s="3" t="n">
        <v>5572.08</v>
      </c>
    </row>
    <row r="449">
      <c r="A449" s="2" t="n">
        <v>45728</v>
      </c>
      <c r="B449" s="3" t="n">
        <v>552.89</v>
      </c>
      <c r="C449" s="3" t="n">
        <v>19.36</v>
      </c>
      <c r="D449" s="3" t="n">
        <v>19.8</v>
      </c>
      <c r="E449" s="3" t="n">
        <v>27.8</v>
      </c>
      <c r="F449" s="3" t="n">
        <v>48.04</v>
      </c>
      <c r="G449" s="3" t="n">
        <v>5599.29</v>
      </c>
    </row>
    <row r="450">
      <c r="A450" s="2" t="n">
        <v>45729</v>
      </c>
      <c r="B450" s="3" t="n">
        <v>545.59</v>
      </c>
      <c r="C450" s="3" t="n">
        <v>19.08</v>
      </c>
      <c r="D450" s="3" t="n">
        <v>19.62</v>
      </c>
      <c r="E450" s="3" t="n">
        <v>27.22</v>
      </c>
      <c r="F450" s="3" t="n">
        <v>48.06</v>
      </c>
      <c r="G450" s="3" t="n">
        <v>5521.53</v>
      </c>
    </row>
    <row r="451">
      <c r="A451" s="2" t="n">
        <v>45730</v>
      </c>
      <c r="B451" s="3" t="n">
        <v>556.91</v>
      </c>
      <c r="C451" s="3" t="n">
        <v>19.37</v>
      </c>
      <c r="D451" s="3" t="n">
        <v>19.88</v>
      </c>
      <c r="E451" s="3" t="n">
        <v>27.77</v>
      </c>
      <c r="F451" s="3" t="n">
        <v>48.05</v>
      </c>
      <c r="G451" s="3" t="n">
        <v>5638.93</v>
      </c>
    </row>
    <row r="452">
      <c r="A452" s="2" t="n">
        <v>45733</v>
      </c>
      <c r="B452" s="3" t="n">
        <v>560.9</v>
      </c>
      <c r="C452" s="3" t="n">
        <v>19.71</v>
      </c>
      <c r="D452" s="3" t="n">
        <v>20</v>
      </c>
      <c r="E452" s="3" t="n">
        <v>28.38</v>
      </c>
      <c r="F452" s="3" t="n">
        <v>48.06</v>
      </c>
      <c r="G452" s="3" t="n">
        <v>5675.11</v>
      </c>
    </row>
    <row r="453">
      <c r="A453" s="2" t="n">
        <v>45734</v>
      </c>
      <c r="B453" s="3" t="n">
        <v>555.05</v>
      </c>
      <c r="C453" s="3" t="n">
        <v>19.86</v>
      </c>
      <c r="D453" s="3" t="n">
        <v>20.29</v>
      </c>
      <c r="E453" s="3" t="n">
        <v>28.62</v>
      </c>
      <c r="F453" s="3" t="n">
        <v>48.06</v>
      </c>
      <c r="G453" s="3" t="n">
        <v>5614.65</v>
      </c>
    </row>
    <row r="454">
      <c r="A454" s="2" t="n">
        <v>45735</v>
      </c>
      <c r="B454" s="3" t="n">
        <v>561.0599999999999</v>
      </c>
      <c r="C454" s="3" t="n">
        <v>19.8</v>
      </c>
      <c r="D454" s="3" t="n">
        <v>20.26</v>
      </c>
      <c r="E454" s="3" t="n">
        <v>28.55</v>
      </c>
      <c r="F454" s="3" t="n">
        <v>48.09</v>
      </c>
      <c r="G454" s="3" t="n">
        <v>5675.3</v>
      </c>
    </row>
    <row r="455">
      <c r="A455" s="2" t="n">
        <v>45736</v>
      </c>
      <c r="B455" s="3" t="n">
        <v>559.8</v>
      </c>
      <c r="C455" s="3" t="n">
        <v>19.78</v>
      </c>
      <c r="D455" s="3" t="n">
        <v>20.4</v>
      </c>
      <c r="E455" s="3" t="n">
        <v>28.65</v>
      </c>
      <c r="F455" s="3" t="n">
        <v>48.1</v>
      </c>
      <c r="G455" s="3" t="n">
        <v>5662.88</v>
      </c>
    </row>
    <row r="456">
      <c r="A456" s="2" t="n">
        <v>45737</v>
      </c>
      <c r="B456" s="3" t="n">
        <v>559.65</v>
      </c>
      <c r="C456" s="3" t="n">
        <v>19.81</v>
      </c>
      <c r="D456" s="3" t="n">
        <v>20.51</v>
      </c>
      <c r="E456" s="3" t="n">
        <v>28.7</v>
      </c>
      <c r="F456" s="3" t="n">
        <v>48.11</v>
      </c>
      <c r="G456" s="3" t="n">
        <v>5667.57</v>
      </c>
    </row>
    <row r="457">
      <c r="A457" s="2" t="n">
        <v>45740</v>
      </c>
      <c r="B457" s="3" t="n">
        <v>569.66</v>
      </c>
      <c r="C457" s="3" t="n">
        <v>20.07</v>
      </c>
      <c r="D457" s="3" t="n">
        <v>20.45</v>
      </c>
      <c r="E457" s="3" t="n">
        <v>29.01</v>
      </c>
      <c r="F457" s="3" t="n">
        <v>48.08</v>
      </c>
      <c r="G457" s="3" t="n">
        <v>5767.56</v>
      </c>
    </row>
    <row r="458">
      <c r="A458" s="2" t="n">
        <v>45741</v>
      </c>
      <c r="B458" s="3" t="n">
        <v>570.89</v>
      </c>
      <c r="C458" s="3" t="n">
        <v>20.31</v>
      </c>
      <c r="D458" s="3" t="n">
        <v>20.64</v>
      </c>
      <c r="E458" s="3" t="n">
        <v>29.16</v>
      </c>
      <c r="F458" s="3" t="n">
        <v>48.11</v>
      </c>
      <c r="G458" s="3" t="n">
        <v>5776.66</v>
      </c>
    </row>
    <row r="459">
      <c r="A459" s="2" t="n">
        <v>45742</v>
      </c>
      <c r="B459" s="3" t="n">
        <v>564.4299999999999</v>
      </c>
      <c r="C459" s="3" t="n">
        <v>20.23</v>
      </c>
      <c r="D459" s="3" t="n">
        <v>20.53</v>
      </c>
      <c r="E459" s="3" t="n">
        <v>29.01</v>
      </c>
      <c r="F459" s="3" t="n">
        <v>48.1</v>
      </c>
      <c r="G459" s="3" t="n">
        <v>5712.21</v>
      </c>
    </row>
    <row r="460">
      <c r="A460" s="2" t="n">
        <v>45743</v>
      </c>
      <c r="B460" s="3" t="n">
        <v>562.65</v>
      </c>
      <c r="C460" s="3" t="n">
        <v>20.35</v>
      </c>
      <c r="D460" s="3" t="n">
        <v>20.57</v>
      </c>
      <c r="E460" s="3" t="n">
        <v>28.94</v>
      </c>
      <c r="F460" s="3" t="n">
        <v>48.11</v>
      </c>
      <c r="G460" s="3" t="n">
        <v>5693.32</v>
      </c>
    </row>
    <row r="461">
      <c r="A461" s="2" t="n">
        <v>45744</v>
      </c>
      <c r="B461" s="3" t="n">
        <v>551.29</v>
      </c>
      <c r="C461" s="3" t="n">
        <v>20.13</v>
      </c>
      <c r="D461" s="3" t="n">
        <v>20.38</v>
      </c>
      <c r="E461" s="3" t="n">
        <v>28.64</v>
      </c>
      <c r="F461" s="3" t="n">
        <v>48.14</v>
      </c>
      <c r="G461" s="3" t="n">
        <v>5580.95</v>
      </c>
    </row>
    <row r="462">
      <c r="A462" s="2" t="n">
        <v>45747</v>
      </c>
      <c r="B462" s="3" t="n">
        <v>555.02</v>
      </c>
      <c r="C462" s="3" t="n">
        <v>20.17</v>
      </c>
      <c r="D462" s="3" t="n">
        <v>20.42</v>
      </c>
      <c r="E462" s="3" t="n">
        <v>28.82</v>
      </c>
      <c r="F462" s="3" t="n">
        <v>48.15</v>
      </c>
      <c r="G462" s="3" t="n">
        <v>5611.84</v>
      </c>
    </row>
    <row r="463">
      <c r="A463" s="2" t="n">
        <v>45748</v>
      </c>
      <c r="B463" s="3" t="n">
        <v>556.88</v>
      </c>
      <c r="C463" s="3" t="n">
        <v>20.29</v>
      </c>
      <c r="D463" s="3" t="n">
        <v>20.46</v>
      </c>
      <c r="E463" s="3" t="n">
        <v>29.16</v>
      </c>
      <c r="F463" s="3" t="n">
        <v>48.16</v>
      </c>
      <c r="G463" s="3" t="n">
        <v>5633.06</v>
      </c>
    </row>
    <row r="464">
      <c r="A464" s="2" t="n">
        <v>45749</v>
      </c>
      <c r="B464" s="3" t="n">
        <v>560.26</v>
      </c>
      <c r="C464" s="3" t="n">
        <v>20.4</v>
      </c>
      <c r="D464" s="3" t="n">
        <v>20.34</v>
      </c>
      <c r="E464" s="3" t="n">
        <v>28.93</v>
      </c>
      <c r="F464" s="3" t="n">
        <v>48.16</v>
      </c>
      <c r="G464" s="3" t="n">
        <v>5670.98</v>
      </c>
    </row>
    <row r="465">
      <c r="A465" s="2" t="n">
        <v>45750</v>
      </c>
      <c r="B465" s="3" t="n">
        <v>533.46</v>
      </c>
      <c r="C465" s="3" t="n">
        <v>19.59</v>
      </c>
      <c r="D465" s="3" t="n">
        <v>19.94</v>
      </c>
      <c r="E465" s="3" t="n">
        <v>28.22</v>
      </c>
      <c r="F465" s="3" t="n">
        <v>48.22</v>
      </c>
      <c r="G465" s="3" t="n">
        <v>5396.51</v>
      </c>
    </row>
    <row r="466">
      <c r="A466" s="2" t="n">
        <v>45751</v>
      </c>
      <c r="B466" s="3" t="n">
        <v>501.4</v>
      </c>
      <c r="C466" s="3" t="n">
        <v>18.18</v>
      </c>
      <c r="D466" s="3" t="n">
        <v>18.56</v>
      </c>
      <c r="E466" s="3" t="n">
        <v>26</v>
      </c>
      <c r="F466" s="3" t="n">
        <v>48.19</v>
      </c>
      <c r="G466" s="3" t="n">
        <v>5074.09</v>
      </c>
    </row>
    <row r="467">
      <c r="A467" s="2" t="n">
        <v>45754</v>
      </c>
      <c r="B467" s="3" t="n">
        <v>500.18</v>
      </c>
      <c r="C467" s="3" t="n">
        <v>17.58</v>
      </c>
      <c r="D467" s="3" t="n">
        <v>17.86</v>
      </c>
      <c r="E467" s="3" t="n">
        <v>25.02</v>
      </c>
      <c r="F467" s="3" t="n">
        <v>48.13</v>
      </c>
      <c r="G467" s="3" t="n">
        <v>5062.24</v>
      </c>
    </row>
    <row r="468">
      <c r="A468" s="2" t="n">
        <v>45755</v>
      </c>
      <c r="B468" s="3" t="n">
        <v>492.69</v>
      </c>
      <c r="C468" s="3" t="n">
        <v>17.21</v>
      </c>
      <c r="D468" s="3" t="n">
        <v>17.48</v>
      </c>
      <c r="E468" s="3" t="n">
        <v>23.94</v>
      </c>
      <c r="F468" s="3" t="n">
        <v>48.13</v>
      </c>
      <c r="G468" s="3" t="n">
        <v>4982.78</v>
      </c>
    </row>
    <row r="469">
      <c r="A469" s="2" t="n">
        <v>45756</v>
      </c>
      <c r="B469" s="3" t="n">
        <v>539.5599999999999</v>
      </c>
      <c r="C469" s="3" t="n">
        <v>18.99</v>
      </c>
      <c r="D469" s="3" t="n">
        <v>18.59</v>
      </c>
      <c r="E469" s="3" t="n">
        <v>25.82</v>
      </c>
      <c r="F469" s="3" t="n">
        <v>48.07</v>
      </c>
      <c r="G469" s="3" t="n">
        <v>5456.89</v>
      </c>
    </row>
    <row r="470">
      <c r="A470" s="2" t="n">
        <v>45757</v>
      </c>
      <c r="B470" s="3" t="n">
        <v>520.61</v>
      </c>
      <c r="C470" s="3" t="n">
        <v>18.06</v>
      </c>
      <c r="D470" s="3" t="n">
        <v>18.06</v>
      </c>
      <c r="E470" s="3" t="n">
        <v>24.35</v>
      </c>
      <c r="F470" s="3" t="n">
        <v>48.07</v>
      </c>
      <c r="G470" s="3" t="n">
        <v>5268.06</v>
      </c>
    </row>
    <row r="471">
      <c r="A471" s="2" t="n">
        <v>45758</v>
      </c>
      <c r="B471" s="3" t="n">
        <v>530.41</v>
      </c>
      <c r="C471" s="3" t="n">
        <v>18.12</v>
      </c>
      <c r="D471" s="3" t="n">
        <v>18.05</v>
      </c>
      <c r="E471" s="3" t="n">
        <v>24.7</v>
      </c>
      <c r="F471" s="3" t="n">
        <v>48.1</v>
      </c>
      <c r="G471" s="3" t="n">
        <v>5363.35</v>
      </c>
    </row>
    <row r="472">
      <c r="A472" s="2" t="n">
        <v>45761</v>
      </c>
      <c r="B472" s="3" t="n">
        <v>534.89</v>
      </c>
      <c r="C472" s="3" t="n">
        <v>18.22</v>
      </c>
      <c r="D472" s="3" t="n">
        <v>18.19</v>
      </c>
      <c r="E472" s="3" t="n">
        <v>25.04</v>
      </c>
      <c r="F472" s="3" t="n">
        <v>48.16</v>
      </c>
      <c r="G472" s="3" t="n">
        <v>5405.96</v>
      </c>
    </row>
    <row r="473">
      <c r="A473" s="2" t="n">
        <v>45762</v>
      </c>
      <c r="B473" s="3" t="n">
        <v>533.58</v>
      </c>
      <c r="C473" s="3" t="n">
        <v>18.36</v>
      </c>
      <c r="D473" s="3" t="n">
        <v>18.44</v>
      </c>
      <c r="E473" s="3" t="n">
        <v>25.35</v>
      </c>
      <c r="F473" s="3" t="n">
        <v>48.17</v>
      </c>
      <c r="G473" s="3" t="n">
        <v>5396.62</v>
      </c>
    </row>
    <row r="474">
      <c r="A474" s="2" t="n">
        <v>45763</v>
      </c>
      <c r="B474" s="3" t="n">
        <v>521.6799999999999</v>
      </c>
      <c r="C474" s="3" t="n">
        <v>18.29</v>
      </c>
      <c r="D474" s="3" t="n">
        <v>18.36</v>
      </c>
      <c r="E474" s="3" t="n">
        <v>25.23</v>
      </c>
      <c r="F474" s="3" t="n">
        <v>48.2</v>
      </c>
      <c r="G474" s="3" t="n">
        <v>5275.71</v>
      </c>
    </row>
    <row r="475">
      <c r="A475" s="2" t="n">
        <v>45764</v>
      </c>
      <c r="B475" s="3" t="n">
        <v>522.2</v>
      </c>
      <c r="C475" s="3" t="n">
        <v>18.57</v>
      </c>
      <c r="D475" s="3" t="n">
        <v>18.64</v>
      </c>
      <c r="E475" s="3" t="n">
        <v>25.74</v>
      </c>
      <c r="F475" s="3" t="n">
        <v>48.2</v>
      </c>
      <c r="G475" s="3" t="n">
        <v>5282.69</v>
      </c>
    </row>
    <row r="476">
      <c r="A476" s="2" t="n">
        <v>45768</v>
      </c>
      <c r="B476" s="3" t="n">
        <v>510.06</v>
      </c>
      <c r="C476" s="3" t="n">
        <v>18.11</v>
      </c>
      <c r="D476" s="3" t="n">
        <v>18.26</v>
      </c>
      <c r="E476" s="3" t="n">
        <v>25.25</v>
      </c>
      <c r="F476" s="3" t="n">
        <v>48.23</v>
      </c>
      <c r="G476" s="3" t="n">
        <v>5158.19</v>
      </c>
    </row>
    <row r="477">
      <c r="A477" s="2" t="n">
        <v>45769</v>
      </c>
      <c r="B477" s="3" t="n">
        <v>522.9</v>
      </c>
      <c r="C477" s="3" t="n">
        <v>18.57</v>
      </c>
      <c r="D477" s="3" t="n">
        <v>18.56</v>
      </c>
      <c r="E477" s="3" t="n">
        <v>25.6</v>
      </c>
      <c r="F477" s="3" t="n">
        <v>48.23</v>
      </c>
      <c r="G477" s="3" t="n">
        <v>5287.77</v>
      </c>
    </row>
    <row r="478">
      <c r="A478" s="2" t="n">
        <v>45770</v>
      </c>
      <c r="B478" s="3" t="n">
        <v>531.27</v>
      </c>
      <c r="C478" s="3" t="n">
        <v>18.89</v>
      </c>
      <c r="D478" s="3" t="n">
        <v>18.89</v>
      </c>
      <c r="E478" s="3" t="n">
        <v>25.97</v>
      </c>
      <c r="F478" s="3" t="n">
        <v>48.22</v>
      </c>
      <c r="G478" s="3" t="n">
        <v>5375.85</v>
      </c>
    </row>
    <row r="479">
      <c r="A479" s="2" t="n">
        <v>45771</v>
      </c>
      <c r="B479" s="3" t="n">
        <v>542.5</v>
      </c>
      <c r="C479" s="3" t="n">
        <v>19.21</v>
      </c>
      <c r="D479" s="3" t="n">
        <v>19.01</v>
      </c>
      <c r="E479" s="3" t="n">
        <v>26.17</v>
      </c>
      <c r="F479" s="3" t="n">
        <v>48.26</v>
      </c>
      <c r="G479" s="3" t="n">
        <v>5484.78</v>
      </c>
    </row>
    <row r="480">
      <c r="A480" s="2" t="n">
        <v>45772</v>
      </c>
      <c r="B480" s="3" t="n">
        <v>546.42</v>
      </c>
      <c r="C480" s="3" t="n">
        <v>19.21</v>
      </c>
      <c r="D480" s="3" t="n">
        <v>19.09</v>
      </c>
      <c r="E480" s="3" t="n">
        <v>26.4</v>
      </c>
      <c r="F480" s="3" t="n">
        <v>48.3</v>
      </c>
      <c r="G480" s="3" t="n">
        <v>5525.22</v>
      </c>
    </row>
    <row r="481">
      <c r="A481" s="2" t="n">
        <v>45775</v>
      </c>
      <c r="B481" s="3" t="n">
        <v>546.66</v>
      </c>
      <c r="C481" s="3" t="n">
        <v>19.34</v>
      </c>
      <c r="D481" s="3" t="n">
        <v>19.18</v>
      </c>
      <c r="E481" s="3" t="n">
        <v>26.57</v>
      </c>
      <c r="F481" s="3" t="n">
        <v>48.34</v>
      </c>
      <c r="G481" s="3" t="n">
        <v>5528.74</v>
      </c>
    </row>
    <row r="482">
      <c r="A482" s="2" t="n">
        <v>45776</v>
      </c>
      <c r="B482" s="3" t="n">
        <v>550.13</v>
      </c>
      <c r="C482" s="3" t="n">
        <v>18.81</v>
      </c>
      <c r="D482" s="3" t="n">
        <v>19.05</v>
      </c>
      <c r="E482" s="3" t="n">
        <v>26.44</v>
      </c>
      <c r="F482" s="3" t="n">
        <v>48.32</v>
      </c>
      <c r="G482" s="3" t="n">
        <v>5560.82</v>
      </c>
    </row>
    <row r="483">
      <c r="A483" s="2" t="n">
        <v>45777</v>
      </c>
      <c r="B483" s="3" t="n">
        <v>551.13</v>
      </c>
      <c r="C483" s="3" t="n">
        <v>18.81</v>
      </c>
      <c r="D483" s="3" t="n">
        <v>18.94</v>
      </c>
      <c r="E483" s="3" t="n">
        <v>26.09</v>
      </c>
      <c r="F483" s="3" t="n">
        <v>48.35</v>
      </c>
      <c r="G483" s="3" t="n">
        <v>5569.07</v>
      </c>
    </row>
    <row r="484">
      <c r="A484" s="2" t="n">
        <v>45778</v>
      </c>
      <c r="B484" s="3" t="n">
        <v>554.24</v>
      </c>
      <c r="C484" s="3" t="n">
        <v>18.51</v>
      </c>
      <c r="D484" s="3" t="n">
        <v>18.76</v>
      </c>
      <c r="E484" s="3" t="n">
        <v>25.84</v>
      </c>
      <c r="F484" s="3" t="n">
        <v>48.32</v>
      </c>
      <c r="G484" s="3" t="n">
        <v>5604.13</v>
      </c>
    </row>
    <row r="485">
      <c r="A485" s="2" t="n">
        <v>45779</v>
      </c>
      <c r="B485" s="3" t="n">
        <v>562.37</v>
      </c>
      <c r="C485" s="3" t="n">
        <v>18.93</v>
      </c>
      <c r="D485" s="3" t="n">
        <v>19.04</v>
      </c>
      <c r="E485" s="3" t="n">
        <v>26.41</v>
      </c>
      <c r="F485" s="3" t="n">
        <v>48.35</v>
      </c>
      <c r="G485" s="3" t="n">
        <v>5686.66</v>
      </c>
    </row>
    <row r="486">
      <c r="A486" s="2" t="n">
        <v>45782</v>
      </c>
      <c r="B486" s="3" t="n">
        <v>559.24</v>
      </c>
      <c r="C486" s="3" t="n">
        <v>18.69</v>
      </c>
      <c r="D486" s="3" t="n">
        <v>18.88</v>
      </c>
      <c r="E486" s="3" t="n">
        <v>26.22</v>
      </c>
      <c r="F486" s="3" t="n">
        <v>48.32</v>
      </c>
      <c r="G486" s="3" t="n">
        <v>5650.37</v>
      </c>
    </row>
    <row r="487">
      <c r="A487" s="2" t="n">
        <v>45783</v>
      </c>
      <c r="B487" s="3" t="n">
        <v>554.67</v>
      </c>
      <c r="C487" s="3" t="n">
        <v>18.82</v>
      </c>
      <c r="D487" s="3" t="n">
        <v>19.03</v>
      </c>
      <c r="E487" s="3" t="n">
        <v>26.23</v>
      </c>
      <c r="F487" s="3" t="n">
        <v>48.35</v>
      </c>
      <c r="G487" s="3" t="n">
        <v>5606.9</v>
      </c>
    </row>
    <row r="488">
      <c r="A488" s="2" t="n">
        <v>45784</v>
      </c>
      <c r="B488" s="3" t="n">
        <v>556.87</v>
      </c>
      <c r="C488" s="3" t="n">
        <v>18.92</v>
      </c>
      <c r="D488" s="3" t="n">
        <v>19.03</v>
      </c>
      <c r="E488" s="3" t="n">
        <v>26.46</v>
      </c>
      <c r="F488" s="3" t="n">
        <v>48.36</v>
      </c>
      <c r="G488" s="3" t="n">
        <v>5631.27</v>
      </c>
    </row>
    <row r="489">
      <c r="A489" s="2" t="n">
        <v>45785</v>
      </c>
      <c r="B489" s="3" t="n">
        <v>560.39</v>
      </c>
      <c r="C489" s="3" t="n">
        <v>19.11</v>
      </c>
      <c r="D489" s="3" t="n">
        <v>19.31</v>
      </c>
      <c r="E489" s="3" t="n">
        <v>26.49</v>
      </c>
      <c r="F489" s="3" t="n">
        <v>48.34</v>
      </c>
      <c r="G489" s="3" t="n">
        <v>5663.95</v>
      </c>
    </row>
    <row r="490">
      <c r="A490" s="2" t="n">
        <v>45786</v>
      </c>
      <c r="B490" s="3" t="n">
        <v>559.95</v>
      </c>
      <c r="C490" s="3" t="n">
        <v>19.17</v>
      </c>
      <c r="D490" s="3" t="n">
        <v>19.41</v>
      </c>
      <c r="E490" s="3" t="n">
        <v>26.51</v>
      </c>
      <c r="F490" s="3" t="n">
        <v>48.35</v>
      </c>
      <c r="G490" s="3" t="n">
        <v>5659.9</v>
      </c>
    </row>
    <row r="491">
      <c r="A491" s="2" t="n">
        <v>45789</v>
      </c>
      <c r="B491" s="3" t="n">
        <v>578.54</v>
      </c>
      <c r="C491" s="3" t="n">
        <v>19.65</v>
      </c>
      <c r="D491" s="3" t="n">
        <v>19.9</v>
      </c>
      <c r="E491" s="3" t="n">
        <v>27.27</v>
      </c>
      <c r="F491" s="3" t="n">
        <v>48.36</v>
      </c>
      <c r="G491" s="3" t="n">
        <v>5844.2</v>
      </c>
    </row>
    <row r="492">
      <c r="A492" s="2" t="n">
        <v>45790</v>
      </c>
      <c r="B492" s="3" t="n">
        <v>582.72</v>
      </c>
      <c r="C492" s="3" t="n">
        <v>19.82</v>
      </c>
      <c r="D492" s="3" t="n">
        <v>20.31</v>
      </c>
      <c r="E492" s="3" t="n">
        <v>27.71</v>
      </c>
      <c r="F492" s="3" t="n">
        <v>48.34</v>
      </c>
      <c r="G492" s="3" t="n">
        <v>5886.54</v>
      </c>
    </row>
    <row r="493">
      <c r="A493" s="2" t="n">
        <v>45791</v>
      </c>
      <c r="B493" s="3" t="n">
        <v>583.05</v>
      </c>
      <c r="C493" s="3" t="n">
        <v>19.69</v>
      </c>
      <c r="D493" s="3" t="n">
        <v>20.43</v>
      </c>
      <c r="E493" s="3" t="n">
        <v>27.8</v>
      </c>
      <c r="F493" s="3" t="n">
        <v>48.35</v>
      </c>
      <c r="G493" s="3" t="n">
        <v>5892.57</v>
      </c>
    </row>
    <row r="494">
      <c r="A494" s="2" t="n">
        <v>45792</v>
      </c>
      <c r="B494" s="3" t="n">
        <v>585.92</v>
      </c>
      <c r="C494" s="3" t="n">
        <v>19.72</v>
      </c>
      <c r="D494" s="3" t="n">
        <v>20.35</v>
      </c>
      <c r="E494" s="3" t="n">
        <v>27.91</v>
      </c>
      <c r="F494" s="3" t="n">
        <v>48.37</v>
      </c>
      <c r="G494" s="3" t="n">
        <v>5916.92</v>
      </c>
    </row>
    <row r="495">
      <c r="A495" s="2" t="n">
        <v>45793</v>
      </c>
      <c r="B495" s="3" t="n">
        <v>589.73</v>
      </c>
      <c r="C495" s="3" t="n">
        <v>19.94</v>
      </c>
      <c r="D495" s="3" t="n">
        <v>20.7</v>
      </c>
      <c r="E495" s="3" t="n">
        <v>28.18</v>
      </c>
      <c r="F495" s="3" t="n">
        <v>48.39</v>
      </c>
      <c r="G495" s="3" t="n">
        <v>5958.37</v>
      </c>
    </row>
    <row r="496">
      <c r="A496" s="2" t="n">
        <v>45796</v>
      </c>
      <c r="B496" s="3" t="n">
        <v>590.47</v>
      </c>
      <c r="C496" s="3" t="n">
        <v>19.94</v>
      </c>
      <c r="D496" s="3" t="n">
        <v>20.79</v>
      </c>
      <c r="E496" s="3" t="n">
        <v>28.41</v>
      </c>
      <c r="F496" s="3" t="n">
        <v>48.4</v>
      </c>
      <c r="G496" s="3" t="n">
        <v>5963.59</v>
      </c>
    </row>
    <row r="497">
      <c r="A497" s="2" t="n">
        <v>45797</v>
      </c>
      <c r="B497" s="3" t="n">
        <v>588.28</v>
      </c>
      <c r="C497" s="3" t="n">
        <v>20.02</v>
      </c>
      <c r="D497" s="3" t="n">
        <v>21.03</v>
      </c>
      <c r="E497" s="3" t="n">
        <v>28.47</v>
      </c>
      <c r="F497" s="3" t="n">
        <v>48.42</v>
      </c>
      <c r="G497" s="3" t="n">
        <v>5940.45</v>
      </c>
    </row>
    <row r="498">
      <c r="A498" s="2" t="n">
        <v>45798</v>
      </c>
      <c r="B498" s="3" t="n">
        <v>578.5</v>
      </c>
      <c r="C498" s="3" t="n">
        <v>19.6</v>
      </c>
      <c r="D498" s="3" t="n">
        <v>20.58</v>
      </c>
      <c r="E498" s="3" t="n">
        <v>27.75</v>
      </c>
      <c r="F498" s="3" t="n">
        <v>48.41</v>
      </c>
      <c r="G498" s="3" t="n">
        <v>5844.62</v>
      </c>
    </row>
    <row r="499">
      <c r="A499" s="2" t="n">
        <v>45799</v>
      </c>
      <c r="B499" s="3" t="n">
        <v>578.59</v>
      </c>
      <c r="C499" s="3" t="n">
        <v>19.59</v>
      </c>
      <c r="D499" s="3" t="n">
        <v>20.47</v>
      </c>
      <c r="E499" s="3" t="n">
        <v>27.73</v>
      </c>
      <c r="F499" s="3" t="n">
        <v>48.41</v>
      </c>
      <c r="G499" s="3" t="n">
        <v>5842</v>
      </c>
    </row>
    <row r="500">
      <c r="A500" s="2" t="n">
        <v>45800</v>
      </c>
      <c r="B500" s="3" t="n">
        <v>574.88</v>
      </c>
      <c r="C500" s="3" t="n">
        <v>19.65</v>
      </c>
      <c r="D500" s="3" t="n">
        <v>20.61</v>
      </c>
      <c r="E500" s="3" t="n">
        <v>27.87</v>
      </c>
      <c r="F500" s="3" t="n">
        <v>48.43</v>
      </c>
      <c r="G500" s="3" t="n">
        <v>5802.83</v>
      </c>
    </row>
    <row r="501">
      <c r="A501" s="2" t="n">
        <v>45804</v>
      </c>
      <c r="B501" s="3" t="n">
        <v>586.67</v>
      </c>
      <c r="C501" s="3" t="n">
        <v>20</v>
      </c>
      <c r="D501" s="3" t="n">
        <v>20.97</v>
      </c>
      <c r="E501" s="3" t="n">
        <v>28.43</v>
      </c>
      <c r="F501" s="3" t="n">
        <v>48.48</v>
      </c>
      <c r="G501" s="3" t="n">
        <v>5921.53</v>
      </c>
    </row>
    <row r="502">
      <c r="A502" s="2" t="n">
        <v>45805</v>
      </c>
      <c r="B502" s="3" t="n">
        <v>583.21</v>
      </c>
      <c r="C502" s="3" t="n">
        <v>20.02</v>
      </c>
      <c r="D502" s="3" t="n">
        <v>21.04</v>
      </c>
      <c r="E502" s="3" t="n">
        <v>28.37</v>
      </c>
      <c r="F502" s="3" t="n">
        <v>48.47</v>
      </c>
      <c r="G502" s="3" t="n">
        <v>5888.56</v>
      </c>
    </row>
    <row r="503">
      <c r="A503" s="2" t="n">
        <v>45806</v>
      </c>
      <c r="B503" s="3" t="n">
        <v>585.52</v>
      </c>
      <c r="C503" s="3" t="n">
        <v>20.02</v>
      </c>
      <c r="D503" s="3" t="n">
        <v>21.14</v>
      </c>
      <c r="E503" s="3" t="n">
        <v>28.47</v>
      </c>
      <c r="F503" s="3" t="n">
        <v>48.48</v>
      </c>
      <c r="G503" s="3" t="n">
        <v>5912.18</v>
      </c>
    </row>
    <row r="504">
      <c r="A504" s="2" t="n">
        <v>45807</v>
      </c>
      <c r="B504" s="3" t="n">
        <v>584.9</v>
      </c>
      <c r="C504" s="3" t="n">
        <v>20.07</v>
      </c>
      <c r="D504" s="3" t="n">
        <v>21.3</v>
      </c>
      <c r="E504" s="3" t="n">
        <v>28.39</v>
      </c>
      <c r="F504" s="3" t="n">
        <v>48.5</v>
      </c>
      <c r="G504" s="3" t="n">
        <v>5911.68</v>
      </c>
    </row>
    <row r="505">
      <c r="A505" s="2" t="n">
        <v>45810</v>
      </c>
      <c r="B505" s="3" t="n">
        <v>588.3</v>
      </c>
      <c r="C505" s="3" t="n">
        <v>20</v>
      </c>
      <c r="D505" s="3" t="n">
        <v>21.2</v>
      </c>
      <c r="E505" s="3" t="n">
        <v>28.21</v>
      </c>
      <c r="F505" s="3" t="n">
        <v>48.52</v>
      </c>
      <c r="G505" s="3" t="n">
        <v>5935.95</v>
      </c>
    </row>
    <row r="506">
      <c r="A506" s="2" t="n">
        <v>45811</v>
      </c>
      <c r="B506" s="3" t="n">
        <v>591.6</v>
      </c>
      <c r="C506" s="3" t="n">
        <v>19.99</v>
      </c>
      <c r="D506" s="3" t="n">
        <v>21.36</v>
      </c>
      <c r="E506" s="3" t="n">
        <v>28.13</v>
      </c>
      <c r="F506" s="3" t="n">
        <v>48.52</v>
      </c>
      <c r="G506" s="3" t="n">
        <v>5970.36</v>
      </c>
    </row>
    <row r="507">
      <c r="A507" s="2" t="n">
        <v>45812</v>
      </c>
      <c r="B507" s="3" t="n">
        <v>591.4400000000001</v>
      </c>
      <c r="C507" s="3" t="n">
        <v>19.96</v>
      </c>
      <c r="D507" s="3" t="n">
        <v>21.23</v>
      </c>
      <c r="E507" s="3" t="n">
        <v>28.1</v>
      </c>
      <c r="F507" s="3" t="n">
        <v>48.55</v>
      </c>
      <c r="G507" s="3" t="n">
        <v>5970.82</v>
      </c>
    </row>
    <row r="508">
      <c r="A508" s="2" t="n">
        <v>45813</v>
      </c>
      <c r="B508" s="3" t="n">
        <v>588.6900000000001</v>
      </c>
      <c r="C508" s="3" t="n">
        <v>19.98</v>
      </c>
      <c r="D508" s="3" t="n">
        <v>21.3</v>
      </c>
      <c r="E508" s="3" t="n">
        <v>28.29</v>
      </c>
      <c r="F508" s="3" t="n">
        <v>48.52</v>
      </c>
      <c r="G508" s="3" t="n">
        <v>5939.29</v>
      </c>
    </row>
    <row r="509">
      <c r="A509" s="2" t="n">
        <v>45814</v>
      </c>
      <c r="B509" s="3" t="n">
        <v>594.63</v>
      </c>
      <c r="C509" s="3" t="n">
        <v>20.2</v>
      </c>
      <c r="D509" s="3" t="n">
        <v>21.38</v>
      </c>
      <c r="E509" s="3" t="n">
        <v>28.47</v>
      </c>
      <c r="F509" s="3" t="n">
        <v>48.52</v>
      </c>
      <c r="G509" s="3" t="n">
        <v>6000.37</v>
      </c>
    </row>
    <row r="510">
      <c r="A510" s="2" t="n">
        <v>45817</v>
      </c>
      <c r="B510" s="3" t="n">
        <v>595.1900000000001</v>
      </c>
      <c r="C510" s="3" t="n">
        <v>20.22</v>
      </c>
      <c r="D510" s="3" t="n">
        <v>21.48</v>
      </c>
      <c r="E510" s="3" t="n">
        <v>28.44</v>
      </c>
      <c r="F510" s="3" t="n">
        <v>48.55</v>
      </c>
      <c r="G510" s="3" t="n">
        <v>6005.89</v>
      </c>
    </row>
    <row r="511">
      <c r="A511" s="2" t="n">
        <v>45818</v>
      </c>
      <c r="B511" s="3" t="n">
        <v>598.61</v>
      </c>
      <c r="C511" s="3" t="n">
        <v>20.33</v>
      </c>
      <c r="D511" s="3" t="n">
        <v>21.48</v>
      </c>
      <c r="E511" s="3" t="n">
        <v>28.5</v>
      </c>
      <c r="F511" s="3" t="n">
        <v>48.54</v>
      </c>
      <c r="G511" s="3" t="n">
        <v>6038.8</v>
      </c>
    </row>
    <row r="512">
      <c r="A512" s="2" t="n">
        <v>45819</v>
      </c>
      <c r="B512" s="3" t="n">
        <v>596.91</v>
      </c>
      <c r="C512" s="3" t="n">
        <v>20.42</v>
      </c>
      <c r="D512" s="3" t="n">
        <v>21.48</v>
      </c>
      <c r="E512" s="3" t="n">
        <v>28.39</v>
      </c>
      <c r="F512" s="3" t="n">
        <v>48.56</v>
      </c>
      <c r="G512" s="3" t="n">
        <v>6022.25</v>
      </c>
    </row>
    <row r="513">
      <c r="A513" s="2" t="n">
        <v>45820</v>
      </c>
      <c r="B513" s="3" t="n">
        <v>599.09</v>
      </c>
      <c r="C513" s="3" t="n">
        <v>20.28</v>
      </c>
      <c r="D513" s="3" t="n">
        <v>21.49</v>
      </c>
      <c r="E513" s="3" t="n">
        <v>28.36</v>
      </c>
      <c r="F513" s="3" t="n">
        <v>48.58</v>
      </c>
      <c r="G513" s="3" t="n">
        <v>6045.25</v>
      </c>
    </row>
    <row r="514">
      <c r="A514" s="2" t="n">
        <v>45821</v>
      </c>
      <c r="B514" s="3" t="n">
        <v>592.45</v>
      </c>
      <c r="C514" s="3" t="n">
        <v>20.03</v>
      </c>
      <c r="D514" s="3" t="n">
        <v>21.33</v>
      </c>
      <c r="E514" s="3" t="n">
        <v>28.17</v>
      </c>
      <c r="F514" s="3" t="n">
        <v>48.59</v>
      </c>
      <c r="G514" s="3" t="n">
        <v>5976.96</v>
      </c>
    </row>
    <row r="515">
      <c r="A515" s="2" t="n">
        <v>45824</v>
      </c>
      <c r="B515" s="3" t="n">
        <v>598.24</v>
      </c>
      <c r="C515" s="3" t="n">
        <v>19.84</v>
      </c>
      <c r="D515" s="3" t="n">
        <v>20.97</v>
      </c>
      <c r="E515" s="3" t="n">
        <v>27.78</v>
      </c>
      <c r="F515" s="3" t="n">
        <v>48.6</v>
      </c>
      <c r="G515" s="3" t="n">
        <v>6033.12</v>
      </c>
    </row>
    <row r="516">
      <c r="A516" s="2" t="n">
        <v>45825</v>
      </c>
      <c r="B516" s="3" t="n">
        <v>593.28</v>
      </c>
      <c r="C516" s="3" t="n">
        <v>19.84</v>
      </c>
      <c r="D516" s="3" t="n">
        <v>21.18</v>
      </c>
      <c r="E516" s="3" t="n">
        <v>27.9</v>
      </c>
      <c r="F516" s="3" t="n">
        <v>48.61</v>
      </c>
      <c r="G516" s="3" t="n">
        <v>5982.73</v>
      </c>
    </row>
    <row r="517">
      <c r="A517" s="2" t="n">
        <v>45826</v>
      </c>
      <c r="B517" s="3" t="n">
        <v>593.14</v>
      </c>
      <c r="C517" s="3" t="n">
        <v>20.01</v>
      </c>
      <c r="D517" s="3" t="n">
        <v>21.51</v>
      </c>
      <c r="E517" s="3" t="n">
        <v>28.06</v>
      </c>
      <c r="F517" s="3" t="n">
        <v>48.61</v>
      </c>
      <c r="G517" s="3" t="n">
        <v>5980.86</v>
      </c>
    </row>
    <row r="518">
      <c r="A518" s="2" t="n">
        <v>45828</v>
      </c>
      <c r="B518" s="3" t="n">
        <v>591.2</v>
      </c>
      <c r="C518" s="3" t="n">
        <v>20</v>
      </c>
      <c r="D518" s="3" t="n">
        <v>21.61</v>
      </c>
      <c r="E518" s="3" t="n">
        <v>27.81</v>
      </c>
      <c r="F518" s="3" t="n">
        <v>48.63</v>
      </c>
      <c r="G518" s="3" t="n">
        <v>5967.85</v>
      </c>
    </row>
    <row r="519">
      <c r="A519" s="2" t="n">
        <v>45831</v>
      </c>
      <c r="B519" s="3" t="n">
        <v>597.41</v>
      </c>
      <c r="C519" s="3" t="n">
        <v>19.98</v>
      </c>
      <c r="D519" s="3" t="n">
        <v>21.34</v>
      </c>
      <c r="E519" s="3" t="n">
        <v>27.55</v>
      </c>
      <c r="F519" s="3" t="n">
        <v>48.66</v>
      </c>
      <c r="G519" s="3" t="n">
        <v>6025.16</v>
      </c>
    </row>
    <row r="520">
      <c r="A520" s="2" t="n">
        <v>45832</v>
      </c>
      <c r="B520" s="3" t="n">
        <v>603.9299999999999</v>
      </c>
      <c r="C520" s="3" t="n">
        <v>20.02</v>
      </c>
      <c r="D520" s="3" t="n">
        <v>21.6</v>
      </c>
      <c r="E520" s="3" t="n">
        <v>27.91</v>
      </c>
      <c r="F520" s="3" t="n">
        <v>48.67</v>
      </c>
      <c r="G520" s="3" t="n">
        <v>6092.19</v>
      </c>
    </row>
    <row r="521">
      <c r="A521" s="2" t="n">
        <v>45833</v>
      </c>
      <c r="B521" s="3" t="n">
        <v>604.38</v>
      </c>
      <c r="C521" s="3" t="n">
        <v>20.06</v>
      </c>
      <c r="D521" s="3" t="n">
        <v>21.61</v>
      </c>
      <c r="E521" s="3" t="n">
        <v>27.95</v>
      </c>
      <c r="F521" s="3" t="n">
        <v>48.67</v>
      </c>
      <c r="G521" s="3" t="n">
        <v>6092.15</v>
      </c>
    </row>
    <row r="522">
      <c r="A522" s="2" t="n">
        <v>45834</v>
      </c>
      <c r="B522" s="3" t="n">
        <v>609.13</v>
      </c>
      <c r="C522" s="3" t="n">
        <v>20.24</v>
      </c>
      <c r="D522" s="3" t="n">
        <v>21.92</v>
      </c>
      <c r="E522" s="3" t="n">
        <v>28.06</v>
      </c>
      <c r="F522" s="3" t="n">
        <v>48.7</v>
      </c>
      <c r="G522" s="3" t="n">
        <v>6141.01</v>
      </c>
    </row>
    <row r="523">
      <c r="A523" s="2" t="n">
        <v>45835</v>
      </c>
      <c r="B523" s="3" t="n">
        <v>611.8099999999999</v>
      </c>
      <c r="C523" s="3" t="n">
        <v>20.42</v>
      </c>
      <c r="D523" s="3" t="n">
        <v>22.17</v>
      </c>
      <c r="E523" s="3" t="n">
        <v>27.91</v>
      </c>
      <c r="F523" s="3" t="n">
        <v>48.72</v>
      </c>
      <c r="G523" s="3" t="n">
        <v>6173.08</v>
      </c>
    </row>
    <row r="524">
      <c r="A524" s="2" t="n">
        <v>45838</v>
      </c>
      <c r="B524" s="3" t="n">
        <v>615.22</v>
      </c>
      <c r="C524" s="3" t="n">
        <v>20.43</v>
      </c>
      <c r="D524" s="3" t="n">
        <v>22.21</v>
      </c>
      <c r="E524" s="3" t="n">
        <v>28.08</v>
      </c>
      <c r="F524" s="3" t="n">
        <v>48.74</v>
      </c>
      <c r="G524" s="3" t="n">
        <v>6204.94</v>
      </c>
    </row>
    <row r="525">
      <c r="A525" s="2" t="n">
        <v>45839</v>
      </c>
      <c r="B525" s="3" t="n">
        <v>614.99</v>
      </c>
      <c r="C525" s="3" t="n">
        <v>20.52</v>
      </c>
      <c r="D525" s="3" t="n">
        <v>22.19</v>
      </c>
      <c r="E525" s="3" t="n">
        <v>28.13</v>
      </c>
      <c r="F525" s="3" t="n">
        <v>48.72</v>
      </c>
      <c r="G525" s="3" t="n">
        <v>6198.02</v>
      </c>
    </row>
    <row r="526">
      <c r="A526" s="2" t="n">
        <v>45840</v>
      </c>
      <c r="B526" s="3" t="n">
        <v>617.72</v>
      </c>
      <c r="C526" s="3" t="n">
        <v>20.71</v>
      </c>
      <c r="D526" s="3" t="n">
        <v>22.36</v>
      </c>
      <c r="E526" s="3" t="n">
        <v>28.14</v>
      </c>
      <c r="F526" s="3" t="n">
        <v>48.73</v>
      </c>
      <c r="G526" s="3" t="n">
        <v>6227.41</v>
      </c>
    </row>
    <row r="527">
      <c r="A527" s="2" t="n">
        <v>45841</v>
      </c>
      <c r="B527" s="3" t="n">
        <v>622.42</v>
      </c>
      <c r="C527" s="3" t="n">
        <v>20.85</v>
      </c>
      <c r="D527" s="3" t="n">
        <v>22.73</v>
      </c>
      <c r="E527" s="3" t="n">
        <v>28.49</v>
      </c>
      <c r="F527" s="3" t="n">
        <v>48.74</v>
      </c>
      <c r="G527" s="3" t="n">
        <v>6279.36</v>
      </c>
    </row>
    <row r="528">
      <c r="A528" s="2" t="n">
        <v>45845</v>
      </c>
      <c r="B528" s="3" t="n">
        <v>618.12</v>
      </c>
      <c r="C528" s="3" t="n">
        <v>20.78</v>
      </c>
      <c r="D528" s="3" t="n">
        <v>22.33</v>
      </c>
      <c r="E528" s="3" t="n">
        <v>28.25</v>
      </c>
      <c r="F528" s="3" t="n">
        <v>48.73</v>
      </c>
      <c r="G528" s="3" t="n">
        <v>6229.99</v>
      </c>
    </row>
    <row r="529">
      <c r="A529" s="2" t="n">
        <v>45846</v>
      </c>
      <c r="B529" s="3" t="n">
        <v>617.63</v>
      </c>
      <c r="C529" s="3" t="n">
        <v>20.86</v>
      </c>
      <c r="D529" s="3" t="n">
        <v>22.49</v>
      </c>
      <c r="E529" s="3" t="n">
        <v>28.34</v>
      </c>
      <c r="F529" s="3" t="n">
        <v>48.73</v>
      </c>
      <c r="G529" s="3" t="n">
        <v>6225.51</v>
      </c>
    </row>
    <row r="530">
      <c r="A530" s="2" t="n">
        <v>45847</v>
      </c>
      <c r="B530" s="3" t="n">
        <v>621.29</v>
      </c>
      <c r="C530" s="3" t="n">
        <v>20.95</v>
      </c>
      <c r="D530" s="3" t="n">
        <v>22.55</v>
      </c>
      <c r="E530" s="3" t="n">
        <v>28.41</v>
      </c>
      <c r="F530" s="3" t="n">
        <v>48.76</v>
      </c>
      <c r="G530" s="3" t="n">
        <v>6263.25</v>
      </c>
    </row>
    <row r="531">
      <c r="A531" s="2" t="n">
        <v>45848</v>
      </c>
      <c r="B531" s="3" t="n">
        <v>623.1</v>
      </c>
      <c r="C531" s="3" t="n">
        <v>21.2</v>
      </c>
      <c r="D531" s="3" t="n">
        <v>22.66</v>
      </c>
      <c r="E531" s="3" t="n">
        <v>28.82</v>
      </c>
      <c r="F531" s="3" t="n">
        <v>48.76</v>
      </c>
      <c r="G531" s="3" t="n">
        <v>6280.47</v>
      </c>
    </row>
    <row r="532">
      <c r="A532" s="2" t="n">
        <v>45849</v>
      </c>
      <c r="B532" s="3" t="n">
        <v>620.71</v>
      </c>
      <c r="C532" s="3" t="n">
        <v>21.25</v>
      </c>
      <c r="D532" s="3" t="n">
        <v>22.7</v>
      </c>
      <c r="E532" s="3" t="n">
        <v>28.95</v>
      </c>
      <c r="F532" s="3" t="n">
        <v>48.78</v>
      </c>
      <c r="G532" s="3" t="n">
        <v>6259.74</v>
      </c>
    </row>
    <row r="533">
      <c r="A533" s="2" t="n">
        <v>45852</v>
      </c>
      <c r="B533" s="3" t="n">
        <v>622</v>
      </c>
      <c r="C533" s="3" t="n">
        <v>21.27</v>
      </c>
      <c r="D533" s="3" t="n">
        <v>22.74</v>
      </c>
      <c r="E533" s="3" t="n">
        <v>29.12</v>
      </c>
      <c r="F533" s="3" t="n">
        <v>48.79</v>
      </c>
      <c r="G533" s="3" t="n">
        <v>6268.55</v>
      </c>
    </row>
    <row r="534">
      <c r="A534" s="2" t="n">
        <v>45853</v>
      </c>
      <c r="B534" s="3" t="n">
        <v>619.27</v>
      </c>
      <c r="C534" s="3" t="n">
        <v>21.17</v>
      </c>
      <c r="D534" s="3" t="n">
        <v>22.82</v>
      </c>
      <c r="E534" s="3" t="n">
        <v>29.14</v>
      </c>
      <c r="F534" s="3" t="n">
        <v>48.79</v>
      </c>
      <c r="G534" s="3" t="n">
        <v>6243.77</v>
      </c>
    </row>
    <row r="535">
      <c r="A535" s="2" t="n">
        <v>45854</v>
      </c>
      <c r="B535" s="3" t="n">
        <v>621.51</v>
      </c>
      <c r="C535" s="3" t="n">
        <v>21.46</v>
      </c>
      <c r="D535" s="3" t="n">
        <v>23.06</v>
      </c>
      <c r="E535" s="3" t="n">
        <v>29.61</v>
      </c>
      <c r="F535" s="3" t="n">
        <v>48.8</v>
      </c>
      <c r="G535" s="3" t="n">
        <v>6263.71</v>
      </c>
    </row>
    <row r="536">
      <c r="A536" s="2" t="n">
        <v>45855</v>
      </c>
      <c r="B536" s="3" t="n">
        <v>625.16</v>
      </c>
      <c r="C536" s="3" t="n">
        <v>21.63</v>
      </c>
      <c r="D536" s="3" t="n">
        <v>23.42</v>
      </c>
      <c r="E536" s="3" t="n">
        <v>29.63</v>
      </c>
      <c r="F536" s="3" t="n">
        <v>48.81</v>
      </c>
      <c r="G536" s="3" t="n">
        <v>6297.35</v>
      </c>
    </row>
    <row r="537">
      <c r="A537" s="2" t="n">
        <v>45856</v>
      </c>
      <c r="B537" s="3" t="n">
        <v>624.9</v>
      </c>
      <c r="C537" s="3" t="n">
        <v>21.6</v>
      </c>
      <c r="D537" s="3" t="n">
        <v>23.14</v>
      </c>
      <c r="E537" s="3" t="n">
        <v>29.57</v>
      </c>
      <c r="F537" s="3" t="n">
        <v>48.84</v>
      </c>
      <c r="G537" s="3" t="n">
        <v>6296.78</v>
      </c>
    </row>
    <row r="538">
      <c r="A538" s="2" t="n">
        <v>45859</v>
      </c>
      <c r="B538" s="3" t="n">
        <v>625.95</v>
      </c>
      <c r="C538" s="3" t="n">
        <v>21.23</v>
      </c>
      <c r="D538" s="3" t="n">
        <v>22.63</v>
      </c>
      <c r="E538" s="3" t="n">
        <v>29.18</v>
      </c>
      <c r="F538" s="3" t="n">
        <v>48.84</v>
      </c>
      <c r="G538" s="3" t="n">
        <v>6305.59</v>
      </c>
    </row>
    <row r="539">
      <c r="A539" s="2" t="n">
        <v>45860</v>
      </c>
      <c r="B539" s="3" t="n">
        <v>625.96</v>
      </c>
      <c r="C539" s="3" t="n">
        <v>21.36</v>
      </c>
      <c r="D539" s="3" t="n">
        <v>22.77</v>
      </c>
      <c r="E539" s="3" t="n">
        <v>29.42</v>
      </c>
      <c r="F539" s="3" t="n">
        <v>48.86</v>
      </c>
      <c r="G539" s="3" t="n">
        <v>6309.63</v>
      </c>
    </row>
    <row r="540">
      <c r="A540" s="2" t="n">
        <v>45861</v>
      </c>
      <c r="B540" s="3" t="n">
        <v>631.5</v>
      </c>
      <c r="C540" s="3" t="n">
        <v>21.47</v>
      </c>
      <c r="D540" s="3" t="n">
        <v>22.86</v>
      </c>
      <c r="E540" s="3" t="n">
        <v>29.72</v>
      </c>
      <c r="F540" s="3" t="n">
        <v>48.85</v>
      </c>
      <c r="G540" s="3" t="n">
        <v>6358.9</v>
      </c>
    </row>
    <row r="541">
      <c r="A541" s="2" t="n">
        <v>45862</v>
      </c>
      <c r="B541" s="3" t="n">
        <v>631.75</v>
      </c>
      <c r="C541" s="3" t="n">
        <v>21.43</v>
      </c>
      <c r="D541" s="3" t="n">
        <v>22.76</v>
      </c>
      <c r="E541" s="3" t="n">
        <v>29.62</v>
      </c>
      <c r="F541" s="3" t="n">
        <v>48.85</v>
      </c>
      <c r="G541" s="3" t="n">
        <v>6363.36</v>
      </c>
    </row>
    <row r="542">
      <c r="A542" s="2" t="n">
        <v>45863</v>
      </c>
      <c r="B542" s="3" t="n">
        <v>634.2</v>
      </c>
      <c r="C542" s="3" t="n">
        <v>21.5</v>
      </c>
      <c r="D542" s="3" t="n">
        <v>22.81</v>
      </c>
      <c r="E542" s="3" t="n">
        <v>29.63</v>
      </c>
      <c r="F542" s="3" t="n">
        <v>48.87</v>
      </c>
      <c r="G542" s="3" t="n">
        <v>6388.65</v>
      </c>
    </row>
    <row r="543">
      <c r="A543" s="2" t="n">
        <v>45866</v>
      </c>
      <c r="B543" s="3" t="n">
        <v>634.0599999999999</v>
      </c>
      <c r="C543" s="3" t="n">
        <v>21.12</v>
      </c>
      <c r="D543" s="3" t="n">
        <v>22.38</v>
      </c>
      <c r="E543" s="3" t="n">
        <v>29.19</v>
      </c>
      <c r="F543" s="3" t="n">
        <v>48.87</v>
      </c>
      <c r="G543" s="3" t="n">
        <v>6389.76</v>
      </c>
    </row>
    <row r="544">
      <c r="A544" s="2" t="n">
        <v>45867</v>
      </c>
      <c r="B544" s="3" t="n">
        <v>632.5599999999999</v>
      </c>
      <c r="C544" s="3" t="n">
        <v>20.97</v>
      </c>
      <c r="D544" s="3" t="n">
        <v>22.27</v>
      </c>
      <c r="E544" s="3" t="n">
        <v>29.17</v>
      </c>
      <c r="F544" s="3" t="n">
        <v>48.89</v>
      </c>
      <c r="G544" s="3" t="n">
        <v>6370.87</v>
      </c>
    </row>
    <row r="545">
      <c r="A545" s="2" t="n">
        <v>45868</v>
      </c>
      <c r="B545" s="3" t="n">
        <v>631.6799999999999</v>
      </c>
      <c r="C545" s="3" t="n">
        <v>21.06</v>
      </c>
      <c r="D545" s="3" t="n">
        <v>22.07</v>
      </c>
      <c r="E545" s="3" t="n">
        <v>29.03</v>
      </c>
      <c r="F545" s="3" t="n">
        <v>48.89</v>
      </c>
      <c r="G545" s="3" t="n">
        <v>6362.89</v>
      </c>
    </row>
    <row r="546">
      <c r="A546" s="2" t="n">
        <v>45869</v>
      </c>
      <c r="B546" s="3" t="n">
        <v>629.09</v>
      </c>
      <c r="C546" s="3" t="n">
        <v>21.06</v>
      </c>
      <c r="D546" s="3" t="n">
        <v>22.65</v>
      </c>
      <c r="E546" s="3" t="n">
        <v>28.81</v>
      </c>
      <c r="F546" s="3" t="n">
        <v>48.88</v>
      </c>
      <c r="G546" s="3" t="n">
        <v>6339.38</v>
      </c>
    </row>
    <row r="547">
      <c r="A547" s="2" t="n">
        <v>45870</v>
      </c>
      <c r="B547" s="3" t="n">
        <v>618.9299999999999</v>
      </c>
      <c r="C547" s="3" t="n">
        <v>20.83</v>
      </c>
      <c r="D547" s="3" t="n">
        <v>22.31</v>
      </c>
      <c r="E547" s="3" t="n">
        <v>28.48</v>
      </c>
      <c r="F547" s="3" t="n">
        <v>48.98</v>
      </c>
      <c r="G547" s="3" t="n">
        <v>6238</v>
      </c>
    </row>
    <row r="548">
      <c r="A548" s="2" t="n">
        <v>45873</v>
      </c>
      <c r="B548" s="3" t="n">
        <v>628.37</v>
      </c>
      <c r="C548" s="3" t="n">
        <v>20.84</v>
      </c>
      <c r="D548" s="3" t="n">
        <v>22.19</v>
      </c>
      <c r="E548" s="3" t="n">
        <v>28.36</v>
      </c>
      <c r="F548" s="3" t="n">
        <v>48.99</v>
      </c>
      <c r="G548" s="3" t="n">
        <v>6329.93</v>
      </c>
    </row>
    <row r="549">
      <c r="A549" s="2" t="n">
        <v>45874</v>
      </c>
      <c r="B549" s="3" t="n">
        <v>625.35</v>
      </c>
      <c r="C549" s="3" t="n">
        <v>20.92</v>
      </c>
      <c r="D549" s="3" t="n">
        <v>22.16</v>
      </c>
      <c r="E549" s="3" t="n">
        <v>28.45</v>
      </c>
      <c r="F549" s="3" t="n">
        <v>48.99</v>
      </c>
      <c r="G549" s="3" t="n">
        <v>6299.2</v>
      </c>
    </row>
    <row r="550">
      <c r="A550" s="2" t="n">
        <v>45875</v>
      </c>
      <c r="B550" s="3" t="n">
        <v>629.97</v>
      </c>
      <c r="C550" s="3" t="n">
        <v>20.89</v>
      </c>
      <c r="D550" s="3" t="n">
        <v>22.39</v>
      </c>
      <c r="E550" s="3" t="n">
        <v>27.57</v>
      </c>
      <c r="F550" s="3" t="n">
        <v>48.99</v>
      </c>
      <c r="G550" s="3" t="n">
        <v>6345.05</v>
      </c>
    </row>
    <row r="551">
      <c r="A551" s="2" t="n">
        <v>45876</v>
      </c>
      <c r="B551" s="3" t="n">
        <v>629.63</v>
      </c>
      <c r="C551" s="3" t="n">
        <v>20.83</v>
      </c>
      <c r="D551" s="3" t="n">
        <v>22.16</v>
      </c>
      <c r="E551" s="3" t="n">
        <v>27.5</v>
      </c>
      <c r="F551" s="3" t="n">
        <v>49</v>
      </c>
      <c r="G551" s="3" t="n">
        <v>6339.99</v>
      </c>
    </row>
    <row r="552">
      <c r="A552" s="2" t="n">
        <v>45877</v>
      </c>
      <c r="B552" s="3" t="n">
        <v>634.39</v>
      </c>
      <c r="C552" s="3" t="n">
        <v>20.99</v>
      </c>
      <c r="D552" s="3" t="n">
        <v>22.43</v>
      </c>
      <c r="E552" s="3" t="n">
        <v>27.89</v>
      </c>
      <c r="F552" s="3" t="n">
        <v>49.01</v>
      </c>
      <c r="G552" s="3" t="n">
        <v>6389.44</v>
      </c>
    </row>
    <row r="553">
      <c r="A553" s="2" t="n">
        <v>45880</v>
      </c>
      <c r="B553" s="3" t="n">
        <v>633.13</v>
      </c>
      <c r="C553" s="3" t="n">
        <v>20.89</v>
      </c>
      <c r="D553" s="3" t="n">
        <v>22.28</v>
      </c>
      <c r="E553" s="3" t="n">
        <v>27.7</v>
      </c>
      <c r="F553" s="3" t="n">
        <v>49</v>
      </c>
      <c r="G553" s="3" t="n">
        <v>6373.46</v>
      </c>
    </row>
    <row r="554">
      <c r="A554" s="2" t="n">
        <v>45881</v>
      </c>
      <c r="B554" s="3" t="n">
        <v>639.83</v>
      </c>
      <c r="C554" s="3" t="n">
        <v>20.91</v>
      </c>
      <c r="D554" s="3" t="n">
        <v>22.58</v>
      </c>
      <c r="E554" s="3" t="n">
        <v>27.51</v>
      </c>
      <c r="F554" s="3" t="n">
        <v>49.03</v>
      </c>
      <c r="G554" s="3" t="n">
        <v>6445.75</v>
      </c>
    </row>
    <row r="555">
      <c r="A555" s="2" t="n">
        <v>45882</v>
      </c>
      <c r="B555" s="3" t="n">
        <v>642.1799999999999</v>
      </c>
      <c r="C555" s="3" t="n">
        <v>21.11</v>
      </c>
      <c r="D555" s="3" t="n">
        <v>22.68</v>
      </c>
      <c r="E555" s="3" t="n">
        <v>27.54</v>
      </c>
      <c r="F555" s="3" t="n">
        <v>49.04</v>
      </c>
      <c r="G555" s="3" t="n">
        <v>6466.59</v>
      </c>
    </row>
    <row r="556">
      <c r="A556" s="2" t="n">
        <v>45883</v>
      </c>
      <c r="B556" s="3" t="n">
        <v>642.2</v>
      </c>
      <c r="C556" s="3" t="n">
        <v>21.08</v>
      </c>
      <c r="D556" s="3" t="n">
        <v>22.59</v>
      </c>
      <c r="E556" s="3" t="n">
        <v>27.35</v>
      </c>
      <c r="F556" s="3" t="n">
        <v>49.03</v>
      </c>
      <c r="G556" s="3" t="n">
        <v>6468.53</v>
      </c>
    </row>
    <row r="557">
      <c r="A557" s="2" t="n">
        <v>45884</v>
      </c>
      <c r="B557" s="3" t="n">
        <v>640.75</v>
      </c>
      <c r="C557" s="3" t="n">
        <v>20.85</v>
      </c>
      <c r="D557" s="3" t="n">
        <v>22.35</v>
      </c>
      <c r="E557" s="3" t="n">
        <v>27.21</v>
      </c>
      <c r="F557" s="3" t="n">
        <v>49.05</v>
      </c>
      <c r="G557" s="3" t="n">
        <v>6449.79</v>
      </c>
    </row>
    <row r="558">
      <c r="A558" s="2" t="n">
        <v>45887</v>
      </c>
      <c r="B558" s="3" t="n">
        <v>640.46</v>
      </c>
      <c r="C558" s="3" t="n">
        <v>20.85</v>
      </c>
      <c r="D558" s="3" t="n">
        <v>22.42</v>
      </c>
      <c r="E558" s="3" t="n">
        <v>27.3</v>
      </c>
      <c r="F558" s="3" t="n">
        <v>49.05</v>
      </c>
      <c r="G558" s="3" t="n">
        <v>6449.16</v>
      </c>
    </row>
    <row r="559">
      <c r="A559" s="2" t="n">
        <v>45888</v>
      </c>
      <c r="B559" s="3" t="n">
        <v>637.0700000000001</v>
      </c>
      <c r="C559" s="3" t="n">
        <v>20.83</v>
      </c>
      <c r="D559" s="3" t="n">
        <v>22.59</v>
      </c>
      <c r="E559" s="3" t="n">
        <v>27.47</v>
      </c>
      <c r="F559" s="3" t="n">
        <v>49.08</v>
      </c>
      <c r="G559" s="3" t="n">
        <v>6411.36</v>
      </c>
    </row>
    <row r="560">
      <c r="A560" s="2" t="n">
        <v>45889</v>
      </c>
      <c r="B560" s="3" t="n">
        <v>635.36</v>
      </c>
      <c r="C560" s="3" t="n">
        <v>20.74</v>
      </c>
      <c r="D560" s="3" t="n">
        <v>22.63</v>
      </c>
      <c r="E560" s="3" t="n">
        <v>27.35</v>
      </c>
      <c r="F560" s="3" t="n">
        <v>49.09</v>
      </c>
      <c r="G560" s="3" t="n">
        <v>6395.79</v>
      </c>
    </row>
    <row r="561">
      <c r="A561" s="2" t="n">
        <v>45890</v>
      </c>
      <c r="B561" s="3" t="n">
        <v>632.86</v>
      </c>
      <c r="C561" s="3" t="n">
        <v>20.71</v>
      </c>
      <c r="D561" s="3" t="n">
        <v>22.72</v>
      </c>
      <c r="E561" s="3" t="n">
        <v>27.27</v>
      </c>
      <c r="F561" s="3" t="n">
        <v>49.06</v>
      </c>
      <c r="G561" s="3" t="n">
        <v>6370.18</v>
      </c>
    </row>
    <row r="562">
      <c r="A562" s="2" t="n">
        <v>45891</v>
      </c>
      <c r="B562" s="3" t="n">
        <v>642.5700000000001</v>
      </c>
      <c r="C562" s="3" t="n">
        <v>20.77</v>
      </c>
      <c r="D562" s="3" t="n">
        <v>22.47</v>
      </c>
      <c r="E562" s="3" t="n">
        <v>27.38</v>
      </c>
      <c r="F562" s="3" t="n">
        <v>49.12</v>
      </c>
      <c r="G562" s="3" t="n">
        <v>6466.92</v>
      </c>
    </row>
    <row r="563">
      <c r="A563" s="2" t="n">
        <v>45894</v>
      </c>
      <c r="B563" s="3" t="n">
        <v>639.73</v>
      </c>
      <c r="C563" s="3" t="n">
        <v>20.55</v>
      </c>
      <c r="D563" s="3" t="n">
        <v>22.45</v>
      </c>
      <c r="E563" s="3" t="n">
        <v>27.02</v>
      </c>
      <c r="F563" s="3" t="n">
        <v>49.11</v>
      </c>
      <c r="G563" s="3" t="n">
        <v>6439.31</v>
      </c>
    </row>
    <row r="564">
      <c r="A564" s="2" t="n">
        <v>45895</v>
      </c>
      <c r="B564" s="3" t="n">
        <v>642.33</v>
      </c>
      <c r="C564" s="3" t="n">
        <v>20.7</v>
      </c>
      <c r="D564" s="3" t="n">
        <v>22.53</v>
      </c>
      <c r="E564" s="3" t="n">
        <v>27.42</v>
      </c>
      <c r="F564" s="3" t="n">
        <v>49.13</v>
      </c>
      <c r="G564" s="3" t="n">
        <v>6465.95</v>
      </c>
    </row>
    <row r="565">
      <c r="A565" s="2" t="n">
        <v>45896</v>
      </c>
      <c r="B565" s="3" t="n">
        <v>643.85</v>
      </c>
      <c r="C565" s="3" t="n">
        <v>20.76</v>
      </c>
      <c r="D565" s="3" t="n">
        <v>22.62</v>
      </c>
      <c r="E565" s="3" t="n">
        <v>27.25</v>
      </c>
      <c r="F565" s="3" t="n">
        <v>49.14</v>
      </c>
      <c r="G565" s="3" t="n">
        <v>6481.41</v>
      </c>
    </row>
    <row r="566">
      <c r="A566" s="2" t="n">
        <v>45897</v>
      </c>
      <c r="B566" s="3" t="n">
        <v>646.17</v>
      </c>
      <c r="C566" s="3" t="n">
        <v>20.7</v>
      </c>
      <c r="D566" s="3" t="n">
        <v>22.66</v>
      </c>
      <c r="E566" s="3" t="n">
        <v>27.21</v>
      </c>
      <c r="F566" s="3" t="n">
        <v>49.14</v>
      </c>
      <c r="G566" s="3" t="n">
        <v>6501.85</v>
      </c>
    </row>
    <row r="567">
      <c r="A567" s="2" t="n">
        <v>45898</v>
      </c>
      <c r="B567" s="3" t="n">
        <v>642.39</v>
      </c>
      <c r="C567" s="3" t="n">
        <v>20.84</v>
      </c>
      <c r="D567" s="3" t="n">
        <v>22.85</v>
      </c>
      <c r="E567" s="3" t="n">
        <v>27.37</v>
      </c>
      <c r="F567" s="3" t="n">
        <v>49.16</v>
      </c>
      <c r="G567" s="3" t="n">
        <v>6460.25</v>
      </c>
    </row>
    <row r="568">
      <c r="A568" s="2" t="n">
        <v>45902</v>
      </c>
      <c r="B568" s="3" t="n">
        <v>637.53</v>
      </c>
      <c r="C568" s="3" t="n">
        <v>20.77</v>
      </c>
      <c r="D568" s="3" t="n">
        <v>22.91</v>
      </c>
      <c r="E568" s="3" t="n">
        <v>27.02</v>
      </c>
      <c r="F568" s="3" t="n">
        <v>49.16</v>
      </c>
      <c r="G568" s="3" t="n">
        <v>6415.53</v>
      </c>
    </row>
    <row r="569">
      <c r="A569" s="2" t="n">
        <v>45903</v>
      </c>
      <c r="B569" s="3" t="n">
        <v>640.96</v>
      </c>
      <c r="C569" s="3" t="n">
        <v>20.77</v>
      </c>
      <c r="D569" s="3" t="n">
        <v>22.97</v>
      </c>
      <c r="E569" s="3" t="n">
        <v>26.85</v>
      </c>
      <c r="F569" s="3" t="n">
        <v>49.18</v>
      </c>
      <c r="G569" s="3" t="n">
        <v>6448.27</v>
      </c>
    </row>
    <row r="570">
      <c r="A570" s="2" t="n">
        <v>45904</v>
      </c>
      <c r="B570" s="3" t="n">
        <v>646.24</v>
      </c>
      <c r="C570" s="3" t="n">
        <v>20.82</v>
      </c>
      <c r="D570" s="3" t="n">
        <v>23.15</v>
      </c>
      <c r="E570" s="3" t="n">
        <v>26.94</v>
      </c>
      <c r="F570" s="3" t="n">
        <v>49.2</v>
      </c>
      <c r="G570" s="3" t="n">
        <v>6502.09</v>
      </c>
    </row>
    <row r="571">
      <c r="A571" s="2" t="n">
        <v>45905</v>
      </c>
      <c r="B571" s="3" t="n">
        <v>644.52</v>
      </c>
      <c r="C571" s="3" t="n">
        <v>20.88</v>
      </c>
      <c r="D571" s="3" t="n">
        <v>22.98</v>
      </c>
      <c r="E571" s="3" t="n">
        <v>26.73</v>
      </c>
      <c r="F571" s="3" t="n">
        <v>49.24</v>
      </c>
      <c r="G571" s="3" t="n">
        <v>6481.51</v>
      </c>
    </row>
    <row r="572">
      <c r="A572" s="2" t="n">
        <v>45908</v>
      </c>
      <c r="B572" s="3" t="n">
        <v>646.15</v>
      </c>
      <c r="C572" s="3" t="n">
        <v>20.93</v>
      </c>
      <c r="D572" s="3" t="n">
        <v>23.07</v>
      </c>
      <c r="E572" s="3" t="n">
        <v>26.63</v>
      </c>
      <c r="F572" s="3" t="n">
        <v>49.25</v>
      </c>
      <c r="G572" s="3" t="n">
        <v>6495.16</v>
      </c>
    </row>
    <row r="573">
      <c r="A573" s="2" t="n">
        <v>45909</v>
      </c>
      <c r="B573" s="3" t="n">
        <v>647.64</v>
      </c>
      <c r="C573" s="3" t="n">
        <v>20.69</v>
      </c>
      <c r="D573" s="3" t="n">
        <v>22.89</v>
      </c>
      <c r="E573" s="3" t="n">
        <v>26.47</v>
      </c>
      <c r="F573" s="3" t="n">
        <v>49.23</v>
      </c>
      <c r="G573" s="3" t="n">
        <v>6512.62</v>
      </c>
    </row>
    <row r="574">
      <c r="A574" s="2" t="n">
        <v>45910</v>
      </c>
      <c r="B574" s="3" t="n">
        <v>649.49</v>
      </c>
      <c r="C574" s="3" t="n">
        <v>20.8</v>
      </c>
      <c r="D574" s="3" t="n">
        <v>22.8</v>
      </c>
      <c r="E574" s="3" t="n">
        <v>26.27</v>
      </c>
      <c r="F574" s="3" t="n">
        <v>49.26</v>
      </c>
      <c r="G574" s="3" t="n">
        <v>6532.03</v>
      </c>
    </row>
    <row r="575">
      <c r="A575" s="2" t="n">
        <v>45911</v>
      </c>
      <c r="B575" s="3" t="n">
        <v>654.9</v>
      </c>
      <c r="C575" s="3" t="n">
        <v>20.84</v>
      </c>
      <c r="D575" s="3" t="n">
        <v>23.05</v>
      </c>
      <c r="E575" s="3" t="n">
        <v>26.29</v>
      </c>
      <c r="F575" s="3" t="n">
        <v>49.26</v>
      </c>
      <c r="G575" s="3" t="n">
        <v>6587.48</v>
      </c>
    </row>
    <row r="576">
      <c r="A576" s="2" t="n">
        <v>45912</v>
      </c>
      <c r="B576" s="3" t="n">
        <v>654.67</v>
      </c>
      <c r="C576" s="3" t="n">
        <v>20.75</v>
      </c>
      <c r="D576" s="3" t="n">
        <v>23.06</v>
      </c>
      <c r="E576" s="3" t="n">
        <v>26.11</v>
      </c>
      <c r="F576" s="3" t="n">
        <v>49.28</v>
      </c>
      <c r="G576" s="3" t="n">
        <v>6584.28</v>
      </c>
    </row>
    <row r="577">
      <c r="A577" s="2" t="n">
        <v>45915</v>
      </c>
      <c r="B577" s="3" t="n">
        <v>658.09</v>
      </c>
      <c r="C577" s="3" t="n">
        <v>20.27</v>
      </c>
      <c r="D577" s="3" t="n">
        <v>22.29</v>
      </c>
      <c r="E577" s="3" t="n">
        <v>25.35</v>
      </c>
      <c r="F577" s="3" t="n">
        <v>49.29</v>
      </c>
      <c r="G577" s="3" t="n">
        <v>6615.29</v>
      </c>
    </row>
    <row r="578">
      <c r="A578" s="2" t="n">
        <v>45916</v>
      </c>
      <c r="B578" s="3" t="n">
        <v>657.22</v>
      </c>
      <c r="C578" s="3" t="n">
        <v>20.12</v>
      </c>
      <c r="D578" s="3" t="n">
        <v>22.14</v>
      </c>
      <c r="E578" s="3" t="n">
        <v>25.15</v>
      </c>
      <c r="F578" s="3" t="n">
        <v>49.31</v>
      </c>
      <c r="G578" s="3" t="n">
        <v>6606.77</v>
      </c>
    </row>
    <row r="579">
      <c r="A579" s="2" t="n">
        <v>45917</v>
      </c>
      <c r="B579" s="3" t="n">
        <v>656.49</v>
      </c>
      <c r="C579" s="3" t="n">
        <v>20.06</v>
      </c>
      <c r="D579" s="3" t="n">
        <v>22.29</v>
      </c>
      <c r="E579" s="3" t="n">
        <v>25.15</v>
      </c>
      <c r="F579" s="3" t="n">
        <v>49.3</v>
      </c>
      <c r="G579" s="3" t="n">
        <v>6600.36</v>
      </c>
    </row>
    <row r="580">
      <c r="A580" s="2" t="n">
        <v>45918</v>
      </c>
      <c r="B580" s="3" t="n">
        <v>659.6</v>
      </c>
      <c r="C580" s="3" t="n">
        <v>20.37</v>
      </c>
      <c r="D580" s="3" t="n">
        <v>22.37</v>
      </c>
      <c r="E580" s="3" t="n">
        <v>25.64</v>
      </c>
      <c r="F580" s="3" t="n">
        <v>49.3</v>
      </c>
      <c r="G580" s="3" t="n">
        <v>6631.95</v>
      </c>
    </row>
    <row r="581">
      <c r="A581" s="2" t="n">
        <v>45919</v>
      </c>
      <c r="B581" s="3" t="n">
        <v>662.76</v>
      </c>
      <c r="C581" s="3" t="n">
        <v>20.51</v>
      </c>
      <c r="D581" s="3" t="n">
        <v>22.48</v>
      </c>
      <c r="E581" s="3" t="n">
        <v>25.3</v>
      </c>
      <c r="F581" s="3" t="n">
        <v>49.33</v>
      </c>
      <c r="G581" s="3" t="n">
        <v>6664.37</v>
      </c>
    </row>
    <row r="582">
      <c r="A582" s="2" t="n">
        <v>45922</v>
      </c>
      <c r="B582" s="3" t="n">
        <v>665.95</v>
      </c>
      <c r="C582" s="3" t="n">
        <v>19.92</v>
      </c>
      <c r="D582" s="3" t="n">
        <v>22.04</v>
      </c>
      <c r="E582" s="3" t="n">
        <v>24.91</v>
      </c>
      <c r="F582" s="3" t="n">
        <v>49.32</v>
      </c>
      <c r="G582" s="3" t="n">
        <v>6693.74</v>
      </c>
    </row>
    <row r="583">
      <c r="A583" s="2" t="n">
        <v>45923</v>
      </c>
      <c r="B583" s="3" t="n">
        <v>662.39</v>
      </c>
      <c r="C583" s="3" t="n">
        <v>19.74</v>
      </c>
      <c r="D583" s="3" t="n">
        <v>22.1</v>
      </c>
      <c r="E583" s="3" t="n">
        <v>24.91</v>
      </c>
      <c r="F583" s="3" t="n">
        <v>49.33</v>
      </c>
      <c r="G583" s="3" t="n">
        <v>6656.93</v>
      </c>
    </row>
    <row r="584">
      <c r="A584" s="2" t="n">
        <v>45924</v>
      </c>
      <c r="B584" s="3" t="n">
        <v>660.16</v>
      </c>
      <c r="C584" s="3" t="n">
        <v>19.43</v>
      </c>
      <c r="D584" s="3" t="n">
        <v>21.57</v>
      </c>
      <c r="E584" s="3" t="n">
        <v>24.72</v>
      </c>
      <c r="F584" s="3" t="n">
        <v>49.33</v>
      </c>
      <c r="G584" s="3" t="n">
        <v>6637.98</v>
      </c>
    </row>
    <row r="585">
      <c r="A585" s="2" t="n">
        <v>45925</v>
      </c>
      <c r="B585" s="3" t="n">
        <v>657.14</v>
      </c>
      <c r="C585" s="3" t="n">
        <v>19.55</v>
      </c>
      <c r="D585" s="3" t="n">
        <v>21.79</v>
      </c>
      <c r="E585" s="3" t="n">
        <v>24.94</v>
      </c>
      <c r="F585" s="3" t="n">
        <v>49.3</v>
      </c>
      <c r="G585" s="3" t="n">
        <v>6604.73</v>
      </c>
    </row>
    <row r="586">
      <c r="A586" s="2" t="n">
        <v>45926</v>
      </c>
      <c r="B586" s="3" t="n">
        <v>660.79</v>
      </c>
      <c r="C586" s="3" t="n">
        <v>19.46</v>
      </c>
      <c r="D586" s="3" t="n">
        <v>21.72</v>
      </c>
      <c r="E586" s="3" t="n">
        <v>24.65</v>
      </c>
      <c r="F586" s="3" t="n">
        <v>49.34</v>
      </c>
      <c r="G586" s="3" t="n">
        <v>6643.71</v>
      </c>
    </row>
    <row r="587">
      <c r="A587" s="2" t="n">
        <v>45929</v>
      </c>
      <c r="B587" s="3" t="n">
        <v>662.65</v>
      </c>
      <c r="C587" s="3" t="n">
        <v>19.44</v>
      </c>
      <c r="D587" s="3" t="n">
        <v>21.74</v>
      </c>
      <c r="E587" s="3" t="n">
        <v>24.49</v>
      </c>
      <c r="F587" s="3" t="n">
        <v>49.34</v>
      </c>
      <c r="G587" s="3" t="n">
        <v>6661.2</v>
      </c>
    </row>
    <row r="588">
      <c r="A588" s="2" t="n">
        <v>45930</v>
      </c>
      <c r="B588" s="3" t="n">
        <v>665.17</v>
      </c>
      <c r="C588" s="3" t="n">
        <v>19.41</v>
      </c>
      <c r="D588" s="3" t="n">
        <v>21.77</v>
      </c>
      <c r="E588" s="3" t="n">
        <v>24.51</v>
      </c>
      <c r="F588" s="3" t="n">
        <v>49.33</v>
      </c>
      <c r="G588" s="3" t="n">
        <v>6688.47</v>
      </c>
    </row>
    <row r="589">
      <c r="A589" s="2" t="n">
        <v>45931</v>
      </c>
      <c r="B589" s="3" t="n">
        <v>667.6900000000001</v>
      </c>
      <c r="C589" s="3" t="n">
        <v>19.15</v>
      </c>
      <c r="D589" s="3" t="n">
        <v>21.1</v>
      </c>
      <c r="E589" s="3" t="n">
        <v>24.44</v>
      </c>
      <c r="F589" s="3" t="n">
        <v>49.35</v>
      </c>
      <c r="G589" s="3" t="n">
        <v>6711.19</v>
      </c>
    </row>
    <row r="590">
      <c r="A590" s="2" t="n">
        <v>45932</v>
      </c>
      <c r="B590" s="3" t="n">
        <v>668.35</v>
      </c>
      <c r="C590" s="3" t="n">
        <v>19.39</v>
      </c>
      <c r="D590" s="3" t="n">
        <v>21.44</v>
      </c>
      <c r="E590" s="3" t="n">
        <v>24.99</v>
      </c>
      <c r="F590" s="3" t="n">
        <v>49.36</v>
      </c>
      <c r="G590" s="3" t="n">
        <v>6715.36</v>
      </c>
    </row>
    <row r="591">
      <c r="A591" s="2" t="n">
        <v>45933</v>
      </c>
      <c r="B591" s="3" t="n">
        <v>668.27</v>
      </c>
      <c r="C591" s="3" t="n">
        <v>19.16</v>
      </c>
      <c r="D591" s="3" t="n">
        <v>21.25</v>
      </c>
      <c r="E591" s="3" t="n">
        <v>24.82</v>
      </c>
      <c r="F591" s="3" t="n">
        <v>49.39</v>
      </c>
      <c r="G591" s="3" t="n">
        <v>6715.78</v>
      </c>
    </row>
    <row r="592">
      <c r="A592" s="2" t="n">
        <v>45936</v>
      </c>
      <c r="B592" s="3" t="n">
        <v>670.73</v>
      </c>
      <c r="C592" s="3" t="n">
        <v>19.14</v>
      </c>
      <c r="D592" s="3" t="n">
        <v>21.19</v>
      </c>
      <c r="E592" s="3" t="n">
        <v>24.48</v>
      </c>
      <c r="F592" s="3" t="n">
        <v>49.39</v>
      </c>
      <c r="G592" s="3" t="n">
        <v>6740.29</v>
      </c>
    </row>
    <row r="593">
      <c r="A593" s="2" t="n">
        <v>45937</v>
      </c>
      <c r="B593" s="3" t="n">
        <v>668.27</v>
      </c>
      <c r="C593" s="3" t="n">
        <v>18.89</v>
      </c>
      <c r="D593" s="3" t="n">
        <v>20.8</v>
      </c>
      <c r="E593" s="3" t="n">
        <v>24.21</v>
      </c>
      <c r="F593" s="3" t="n">
        <v>49.4</v>
      </c>
      <c r="G593" s="3" t="n">
        <v>6714.58</v>
      </c>
    </row>
    <row r="594">
      <c r="A594" s="2" t="n">
        <v>45938</v>
      </c>
      <c r="B594" s="3" t="n">
        <v>672.25</v>
      </c>
      <c r="C594" s="3" t="n">
        <v>18.71</v>
      </c>
      <c r="D594" s="3" t="n">
        <v>20.55</v>
      </c>
      <c r="E594" s="3" t="n">
        <v>24.38</v>
      </c>
      <c r="F594" s="3" t="n">
        <v>49.41</v>
      </c>
      <c r="G594" s="3" t="n">
        <v>6753.71</v>
      </c>
    </row>
    <row r="595">
      <c r="A595" s="2" t="n">
        <v>45939</v>
      </c>
      <c r="B595" s="3" t="n">
        <v>670.36</v>
      </c>
      <c r="C595" s="3" t="n">
        <v>18.17</v>
      </c>
      <c r="D595" s="3" t="n">
        <v>20.05</v>
      </c>
      <c r="E595" s="3" t="n">
        <v>23.77</v>
      </c>
      <c r="F595" s="3" t="n">
        <v>49.39</v>
      </c>
      <c r="G595" s="3" t="n">
        <v>6735.12</v>
      </c>
    </row>
    <row r="596">
      <c r="A596" s="2" t="n">
        <v>45940</v>
      </c>
      <c r="B596" s="3" t="n">
        <v>652.15</v>
      </c>
      <c r="C596" s="3" t="n">
        <v>17.98</v>
      </c>
      <c r="D596" s="3" t="n">
        <v>19.87</v>
      </c>
      <c r="E596" s="3" t="n">
        <v>23.52</v>
      </c>
      <c r="F596" s="3" t="n">
        <v>49.42</v>
      </c>
      <c r="G596" s="3" t="n">
        <v>6552.52</v>
      </c>
    </row>
    <row r="597">
      <c r="A597" s="2" t="n">
        <v>45943</v>
      </c>
      <c r="B597" s="3" t="n">
        <v>662.12</v>
      </c>
      <c r="C597" s="3" t="n">
        <v>18.54</v>
      </c>
      <c r="D597" s="3" t="n">
        <v>20.66</v>
      </c>
      <c r="E597" s="3" t="n">
        <v>24.43</v>
      </c>
      <c r="F597" s="3" t="n">
        <v>49.43</v>
      </c>
      <c r="G597" s="3" t="n">
        <v>6654.71</v>
      </c>
    </row>
    <row r="598">
      <c r="A598" s="2" t="n">
        <v>45944</v>
      </c>
      <c r="B598" s="3" t="n">
        <v>661.37</v>
      </c>
      <c r="C598" s="3" t="n">
        <v>18.96</v>
      </c>
      <c r="D598" s="3" t="n">
        <v>20.85</v>
      </c>
      <c r="E598" s="3" t="n">
        <v>24.83</v>
      </c>
      <c r="F598" s="3" t="n">
        <v>49.45</v>
      </c>
      <c r="G598" s="3" t="n">
        <v>6644.3</v>
      </c>
    </row>
    <row r="599">
      <c r="A599" s="2" t="n">
        <v>45945</v>
      </c>
      <c r="B599" s="3" t="n">
        <v>664.16</v>
      </c>
      <c r="C599" s="3" t="n">
        <v>19.07</v>
      </c>
      <c r="D599" s="3" t="n">
        <v>20.84</v>
      </c>
      <c r="E599" s="3" t="n">
        <v>24.87</v>
      </c>
      <c r="F599" s="3" t="n">
        <v>49.47</v>
      </c>
      <c r="G599" s="3" t="n">
        <v>6671.07</v>
      </c>
    </row>
    <row r="600">
      <c r="A600" s="2" t="n">
        <v>45946</v>
      </c>
      <c r="B600" s="3" t="n">
        <v>659.88</v>
      </c>
      <c r="C600" s="3" t="n">
        <v>18.57</v>
      </c>
      <c r="D600" s="3" t="n">
        <v>20.27</v>
      </c>
      <c r="E600" s="3" t="n">
        <v>24.41</v>
      </c>
      <c r="F600" s="3" t="n">
        <v>49.49</v>
      </c>
      <c r="G600" s="3" t="n">
        <v>6629.08</v>
      </c>
    </row>
    <row r="601">
      <c r="A601" s="2" t="n">
        <v>45947</v>
      </c>
      <c r="B601" s="3" t="n">
        <v>663.5700000000001</v>
      </c>
      <c r="C601" s="3" t="n">
        <v>18.56</v>
      </c>
      <c r="D601" s="3" t="n">
        <v>20.48</v>
      </c>
      <c r="E601" s="3" t="n">
        <v>24.4</v>
      </c>
      <c r="F601" s="3" t="n">
        <v>49.5</v>
      </c>
      <c r="G601" s="3" t="n">
        <v>6664</v>
      </c>
    </row>
    <row r="602">
      <c r="A602" s="2" t="n">
        <v>45950</v>
      </c>
      <c r="B602" s="3" t="n">
        <v>670.4299999999999</v>
      </c>
      <c r="C602" s="3" t="n">
        <v>18.64</v>
      </c>
      <c r="D602" s="3" t="n">
        <v>20.65</v>
      </c>
      <c r="E602" s="3" t="n">
        <v>24.39</v>
      </c>
      <c r="F602" s="3" t="n">
        <v>49.51</v>
      </c>
      <c r="G602" s="3" t="n">
        <v>6735.14</v>
      </c>
    </row>
    <row r="603">
      <c r="A603" s="2" t="n">
        <v>45951</v>
      </c>
      <c r="B603" s="3" t="n">
        <v>670.27</v>
      </c>
      <c r="C603" s="3" t="n">
        <v>18.94</v>
      </c>
      <c r="D603" s="3" t="n">
        <v>20.88</v>
      </c>
      <c r="E603" s="3" t="n">
        <v>24.86</v>
      </c>
      <c r="F603" s="3" t="n">
        <v>49.51</v>
      </c>
      <c r="G603" s="3" t="n">
        <v>6735.34</v>
      </c>
    </row>
    <row r="604">
      <c r="A604" s="2" t="n">
        <v>45952</v>
      </c>
      <c r="B604" s="3" t="n">
        <v>667.02</v>
      </c>
      <c r="C604" s="3" t="n">
        <v>18.98</v>
      </c>
      <c r="D604" s="3" t="n">
        <v>20.83</v>
      </c>
      <c r="E604" s="3" t="n">
        <v>24.82</v>
      </c>
      <c r="F604" s="3" t="n">
        <v>49.52</v>
      </c>
      <c r="G604" s="3" t="n">
        <v>6699.41</v>
      </c>
    </row>
    <row r="605">
      <c r="A605" s="2" t="n">
        <v>45953</v>
      </c>
      <c r="B605" s="3" t="n">
        <v>670.8099999999999</v>
      </c>
      <c r="C605" s="3" t="n">
        <v>18.96</v>
      </c>
      <c r="D605" s="3" t="n">
        <v>21.07</v>
      </c>
      <c r="E605" s="3" t="n">
        <v>24.99</v>
      </c>
      <c r="F605" s="3" t="n">
        <v>49.51</v>
      </c>
      <c r="G605" s="3" t="n">
        <v>6738.43</v>
      </c>
    </row>
    <row r="606">
      <c r="A606" s="2" t="n">
        <v>45954</v>
      </c>
      <c r="B606" s="3" t="n">
        <v>676.3200000000001</v>
      </c>
      <c r="C606" s="3" t="n">
        <v>19.1</v>
      </c>
      <c r="D606" s="3" t="n">
        <v>21.41</v>
      </c>
      <c r="E606" s="3" t="n">
        <v>25.19</v>
      </c>
      <c r="F606" s="3" t="n">
        <v>49.52</v>
      </c>
      <c r="G606" s="3" t="n">
        <v>6791.68</v>
      </c>
    </row>
    <row r="607">
      <c r="A607" s="2" t="n">
        <v>45957</v>
      </c>
      <c r="B607" s="3" t="n">
        <v>684.35</v>
      </c>
      <c r="C607" s="3" t="n">
        <v>19.33</v>
      </c>
      <c r="D607" s="3" t="n">
        <v>21.8</v>
      </c>
      <c r="E607" s="3" t="n">
        <v>25.39</v>
      </c>
      <c r="F607" s="3" t="n">
        <v>49.53</v>
      </c>
      <c r="G607" s="3" t="n">
        <v>6875.15</v>
      </c>
    </row>
    <row r="608">
      <c r="A608" s="2" t="n">
        <v>45958</v>
      </c>
      <c r="B608" s="3" t="n">
        <v>686.08</v>
      </c>
      <c r="C608" s="3" t="n">
        <v>19.56</v>
      </c>
      <c r="D608" s="3" t="n">
        <v>21.77</v>
      </c>
      <c r="E608" s="3" t="n">
        <v>25.53</v>
      </c>
      <c r="F608" s="3" t="n">
        <v>49.55</v>
      </c>
      <c r="G608" s="3" t="n">
        <v>6890.88</v>
      </c>
    </row>
    <row r="609">
      <c r="A609" s="2" t="n">
        <v>45959</v>
      </c>
      <c r="B609" s="3" t="n">
        <v>686.45</v>
      </c>
      <c r="C609" s="3" t="n">
        <v>19.6</v>
      </c>
      <c r="D609" s="3" t="n">
        <v>21.7</v>
      </c>
      <c r="E609" s="3" t="n">
        <v>25.41</v>
      </c>
      <c r="F609" s="3" t="n">
        <v>49.51</v>
      </c>
      <c r="G609" s="3" t="n">
        <v>6890.6</v>
      </c>
    </row>
    <row r="610">
      <c r="A610" s="2" t="n">
        <v>45960</v>
      </c>
      <c r="B610" s="3" t="n">
        <v>679.01</v>
      </c>
      <c r="C610" s="3" t="n">
        <v>19.16</v>
      </c>
      <c r="D610" s="3" t="n">
        <v>21.5</v>
      </c>
      <c r="E610" s="3" t="n">
        <v>24.81</v>
      </c>
      <c r="F610" s="3" t="n">
        <v>49.52</v>
      </c>
      <c r="G610" s="3" t="n">
        <v>6822.35</v>
      </c>
    </row>
    <row r="611">
      <c r="A611" s="2" t="n">
        <v>45961</v>
      </c>
      <c r="B611" s="3" t="n">
        <v>681</v>
      </c>
      <c r="C611" s="3" t="n">
        <v>19.35</v>
      </c>
      <c r="D611" s="3" t="n">
        <v>21.55</v>
      </c>
      <c r="E611" s="3" t="n">
        <v>24.86</v>
      </c>
      <c r="F611" s="3" t="n">
        <v>49.55</v>
      </c>
      <c r="G611" s="3" t="n">
        <v>6840.19</v>
      </c>
    </row>
    <row r="612">
      <c r="A612" s="2" t="n">
        <v>45964</v>
      </c>
      <c r="B612" s="3" t="n">
        <v>682.45</v>
      </c>
      <c r="C612" s="3" t="n">
        <v>19.41</v>
      </c>
      <c r="D612" s="3" t="n">
        <v>21.56</v>
      </c>
      <c r="E612" s="3" t="n">
        <v>24.84</v>
      </c>
      <c r="F612" s="3" t="n">
        <v>49.53</v>
      </c>
      <c r="G612" s="3" t="n">
        <v>6851.98</v>
      </c>
    </row>
    <row r="613">
      <c r="A613" s="2" t="n">
        <v>45965</v>
      </c>
      <c r="B613" s="3" t="n">
        <v>674.62</v>
      </c>
      <c r="C613" s="3" t="n">
        <v>19.28</v>
      </c>
      <c r="D613" s="3" t="n">
        <v>21.26</v>
      </c>
      <c r="E613" s="3" t="n">
        <v>24.65</v>
      </c>
      <c r="F613" s="3" t="n">
        <v>49.55</v>
      </c>
      <c r="G613" s="3" t="n">
        <v>6771.54</v>
      </c>
    </row>
    <row r="614">
      <c r="A614" s="2" t="n">
        <v>45966</v>
      </c>
      <c r="B614" s="3" t="n">
        <v>676.71</v>
      </c>
      <c r="C614" s="3" t="n">
        <v>19.38</v>
      </c>
      <c r="D614" s="3" t="n">
        <v>20.81</v>
      </c>
      <c r="E614" s="3" t="n">
        <v>24.57</v>
      </c>
      <c r="F614" s="3" t="n">
        <v>49.55</v>
      </c>
      <c r="G614" s="3" t="n">
        <v>6796.3</v>
      </c>
    </row>
    <row r="615">
      <c r="A615" s="2" t="n">
        <v>45967</v>
      </c>
      <c r="B615" s="3" t="n">
        <v>669.36</v>
      </c>
      <c r="C615" s="3" t="n">
        <v>19.02</v>
      </c>
      <c r="D615" s="3" t="n">
        <v>20.16</v>
      </c>
      <c r="E615" s="3" t="n">
        <v>24.4</v>
      </c>
      <c r="F615" s="3" t="n">
        <v>49.58</v>
      </c>
      <c r="G615" s="3" t="n">
        <v>6720.31</v>
      </c>
    </row>
    <row r="616">
      <c r="A616" s="2" t="n">
        <v>45968</v>
      </c>
      <c r="B616" s="3" t="n">
        <v>670.1799999999999</v>
      </c>
      <c r="C616" s="3" t="n">
        <v>19.21</v>
      </c>
      <c r="D616" s="3" t="n">
        <v>20.18</v>
      </c>
      <c r="E616" s="3" t="n">
        <v>24.9</v>
      </c>
      <c r="F616" s="3" t="n">
        <v>49.58</v>
      </c>
      <c r="G616" s="3" t="n">
        <v>6728.81</v>
      </c>
    </row>
    <row r="617">
      <c r="A617" s="2" t="n">
        <v>45971</v>
      </c>
      <c r="B617" s="3" t="n">
        <v>680.59</v>
      </c>
      <c r="C617" s="3" t="n">
        <v>19.3</v>
      </c>
      <c r="D617" s="3" t="n">
        <v>19.99</v>
      </c>
      <c r="E617" s="3" t="n">
        <v>25.01</v>
      </c>
      <c r="F617" s="3" t="n">
        <v>49.58</v>
      </c>
      <c r="G617" s="3" t="n">
        <v>6832.42</v>
      </c>
    </row>
    <row r="618">
      <c r="A618" s="2" t="n">
        <v>45972</v>
      </c>
      <c r="B618" s="3" t="n">
        <v>681.9299999999999</v>
      </c>
      <c r="C618" s="3" t="n">
        <v>19.32</v>
      </c>
      <c r="D618" s="3" t="n">
        <v>20.31</v>
      </c>
      <c r="E618" s="3" t="n">
        <v>25.05</v>
      </c>
      <c r="F618" s="3" t="n">
        <v>49.59</v>
      </c>
      <c r="G618" s="3" t="n">
        <v>6846.62</v>
      </c>
    </row>
    <row r="619">
      <c r="A619" s="2" t="n">
        <v>45973</v>
      </c>
      <c r="B619" s="3" t="n">
        <v>682.4</v>
      </c>
      <c r="C619" s="3" t="n">
        <v>19.38</v>
      </c>
      <c r="D619" s="3" t="n">
        <v>20.49</v>
      </c>
      <c r="E619" s="3" t="n">
        <v>25.17</v>
      </c>
      <c r="F619" s="3" t="n">
        <v>49.59</v>
      </c>
      <c r="G619" s="3" t="n">
        <v>6850.93</v>
      </c>
    </row>
    <row r="620">
      <c r="A620" s="2" t="n">
        <v>45974</v>
      </c>
      <c r="B620" s="3" t="n">
        <v>671.28</v>
      </c>
      <c r="C620" s="3" t="n">
        <v>19.3</v>
      </c>
      <c r="D620" s="3" t="n">
        <v>20.33</v>
      </c>
      <c r="E620" s="3" t="n">
        <v>25.02</v>
      </c>
      <c r="F620" s="3" t="n">
        <v>49.58</v>
      </c>
      <c r="G620" s="3" t="n">
        <v>6737.48</v>
      </c>
    </row>
    <row r="621">
      <c r="A621" s="2" t="n">
        <v>45975</v>
      </c>
      <c r="B621" s="3" t="n">
        <v>671.14</v>
      </c>
      <c r="C621" s="3" t="n">
        <v>19.22</v>
      </c>
      <c r="D621" s="3" t="n">
        <v>20.22</v>
      </c>
      <c r="E621" s="3" t="n">
        <v>25.06</v>
      </c>
      <c r="F621" s="3" t="n">
        <v>49.59</v>
      </c>
      <c r="G621" s="3" t="n">
        <v>6734.1</v>
      </c>
    </row>
    <row r="622">
      <c r="A622" s="2" t="n">
        <v>45978</v>
      </c>
      <c r="B622" s="3" t="n">
        <v>664.86</v>
      </c>
      <c r="C622" s="3" t="n">
        <v>18.72</v>
      </c>
      <c r="D622" s="3" t="n">
        <v>19.76</v>
      </c>
      <c r="E622" s="3" t="n">
        <v>24.64</v>
      </c>
      <c r="F622" s="3" t="n">
        <v>49.62</v>
      </c>
      <c r="G622" s="3" t="n">
        <v>6672.42</v>
      </c>
    </row>
    <row r="623">
      <c r="A623" s="2" t="n">
        <v>45979</v>
      </c>
      <c r="B623" s="3" t="n">
        <v>659.36</v>
      </c>
      <c r="C623" s="3" t="n">
        <v>18.57</v>
      </c>
      <c r="D623" s="3" t="n">
        <v>19.89</v>
      </c>
      <c r="E623" s="3" t="n">
        <v>24.71</v>
      </c>
      <c r="F623" s="3" t="n">
        <v>49.63</v>
      </c>
      <c r="G623" s="3" t="n">
        <v>6617.33</v>
      </c>
    </row>
    <row r="624">
      <c r="A624" s="2" t="n">
        <v>45980</v>
      </c>
      <c r="B624" s="3" t="n">
        <v>661.84</v>
      </c>
      <c r="C624" s="3" t="n">
        <v>18.57</v>
      </c>
      <c r="D624" s="3" t="n">
        <v>19.79</v>
      </c>
      <c r="E624" s="3" t="n">
        <v>24.73</v>
      </c>
      <c r="F624" s="3" t="n">
        <v>49.64</v>
      </c>
      <c r="G624" s="3" t="n">
        <v>6642.15</v>
      </c>
    </row>
    <row r="625">
      <c r="A625" s="2" t="n">
        <v>45981</v>
      </c>
      <c r="B625" s="3" t="n">
        <v>651.72</v>
      </c>
      <c r="C625" s="3" t="n">
        <v>18.57</v>
      </c>
      <c r="D625" s="3" t="n">
        <v>19.73</v>
      </c>
      <c r="E625" s="3" t="n">
        <v>24.58</v>
      </c>
      <c r="F625" s="3" t="n">
        <v>49.64</v>
      </c>
      <c r="G625" s="3" t="n">
        <v>6538.77</v>
      </c>
    </row>
    <row r="626">
      <c r="A626" s="2" t="n">
        <v>45982</v>
      </c>
      <c r="B626" s="3" t="n">
        <v>658.1900000000001</v>
      </c>
      <c r="C626" s="3" t="n">
        <v>18.87</v>
      </c>
      <c r="D626" s="3" t="n">
        <v>20.22</v>
      </c>
      <c r="E626" s="3" t="n">
        <v>24.96</v>
      </c>
      <c r="F626" s="3" t="n">
        <v>49.68</v>
      </c>
      <c r="G626" s="3" t="n">
        <v>6602.98</v>
      </c>
    </row>
    <row r="627">
      <c r="A627" s="2" t="n">
        <v>45985</v>
      </c>
      <c r="B627" s="3" t="n">
        <v>667.91</v>
      </c>
      <c r="C627" s="3" t="n">
        <v>19.16</v>
      </c>
      <c r="D627" s="3" t="n">
        <v>20.21</v>
      </c>
      <c r="E627" s="3" t="n">
        <v>25.26</v>
      </c>
      <c r="F627" s="3" t="n">
        <v>49.68</v>
      </c>
      <c r="G627" s="3" t="n">
        <v>6705.11</v>
      </c>
    </row>
    <row r="628">
      <c r="A628" s="2" t="n">
        <v>45986</v>
      </c>
      <c r="B628" s="3" t="n">
        <v>674.1900000000001</v>
      </c>
      <c r="C628" s="3" t="n">
        <v>19.34</v>
      </c>
      <c r="D628" s="3" t="n">
        <v>20.54</v>
      </c>
      <c r="E628" s="3" t="n">
        <v>25.61</v>
      </c>
      <c r="F628" s="3" t="n">
        <v>49.7</v>
      </c>
      <c r="G628" s="3" t="n">
        <v>6765.89</v>
      </c>
    </row>
    <row r="629">
      <c r="A629" s="2" t="n">
        <v>45987</v>
      </c>
      <c r="B629" s="3" t="n">
        <v>678.85</v>
      </c>
      <c r="C629" s="3" t="n">
        <v>19.51</v>
      </c>
      <c r="D629" s="3" t="n">
        <v>20.65</v>
      </c>
      <c r="E629" s="3" t="n">
        <v>25.84</v>
      </c>
      <c r="F629" s="3" t="n">
        <v>49.7</v>
      </c>
      <c r="G629" s="3" t="n">
        <v>6812.6</v>
      </c>
    </row>
    <row r="630">
      <c r="A630" s="2" t="n">
        <v>45989</v>
      </c>
      <c r="B630" s="3" t="n">
        <v>682.64</v>
      </c>
      <c r="C630" s="3" t="n">
        <v>19.61</v>
      </c>
      <c r="D630" s="3" t="n">
        <v>20.82</v>
      </c>
      <c r="E630" s="3" t="n">
        <v>25.94</v>
      </c>
      <c r="F630" s="3" t="n">
        <v>49.71</v>
      </c>
      <c r="G630" s="3" t="n">
        <v>6849.08</v>
      </c>
    </row>
    <row r="631">
      <c r="A631" s="2" t="n">
        <v>45992</v>
      </c>
      <c r="B631" s="3" t="n">
        <v>679.4400000000001</v>
      </c>
      <c r="C631" s="3" t="n">
        <v>19.57</v>
      </c>
      <c r="D631" s="3" t="n">
        <v>20.72</v>
      </c>
      <c r="E631" s="3" t="n">
        <v>25.96</v>
      </c>
      <c r="F631" s="3" t="n">
        <v>49.72</v>
      </c>
      <c r="G631" s="3" t="n">
        <v>6812.62</v>
      </c>
    </row>
    <row r="632">
      <c r="A632" s="2" t="n">
        <v>45993</v>
      </c>
      <c r="B632" s="3" t="n">
        <v>680.6</v>
      </c>
      <c r="C632" s="3" t="n">
        <v>19.63</v>
      </c>
      <c r="D632" s="3" t="n">
        <v>20.83</v>
      </c>
      <c r="E632" s="3" t="n">
        <v>25.8</v>
      </c>
      <c r="F632" s="3" t="n">
        <v>49.73</v>
      </c>
      <c r="G632" s="3" t="n">
        <v>6829.38</v>
      </c>
    </row>
    <row r="633">
      <c r="A633" s="2" t="n">
        <v>45994</v>
      </c>
      <c r="B633" s="3" t="n">
        <v>683.02</v>
      </c>
      <c r="C633" s="3" t="n">
        <v>19.8</v>
      </c>
      <c r="D633" s="3" t="n">
        <v>21.19</v>
      </c>
      <c r="E633" s="3" t="n">
        <v>26.41</v>
      </c>
      <c r="F633" s="3" t="n">
        <v>49.74</v>
      </c>
      <c r="G633" s="3" t="n">
        <v>6849.71</v>
      </c>
    </row>
    <row r="634">
      <c r="A634" s="2" t="n">
        <v>45995</v>
      </c>
      <c r="B634" s="3" t="n">
        <v>683.61</v>
      </c>
      <c r="C634" s="3" t="n">
        <v>19.9</v>
      </c>
      <c r="D634" s="3" t="n">
        <v>21.25</v>
      </c>
      <c r="E634" s="3" t="n">
        <v>26.57</v>
      </c>
      <c r="F634" s="3" t="n">
        <v>49.75</v>
      </c>
      <c r="G634" s="3" t="n">
        <v>6857.13</v>
      </c>
    </row>
    <row r="635">
      <c r="A635" s="2" t="n">
        <v>45996</v>
      </c>
      <c r="B635" s="3" t="n">
        <v>684.86</v>
      </c>
      <c r="C635" s="3" t="n">
        <v>19.99</v>
      </c>
      <c r="D635" s="3" t="n">
        <v>21.26</v>
      </c>
      <c r="E635" s="3" t="n">
        <v>26.61</v>
      </c>
      <c r="F635" s="3" t="n">
        <v>49.75</v>
      </c>
      <c r="G635" s="3" t="n">
        <v>6870.39</v>
      </c>
    </row>
    <row r="636">
      <c r="A636" s="2" t="n">
        <v>45999</v>
      </c>
      <c r="B636" s="3" t="n">
        <v>682.8200000000001</v>
      </c>
      <c r="C636" s="3" t="n">
        <v>19.99</v>
      </c>
      <c r="D636" s="3" t="n">
        <v>21.3</v>
      </c>
      <c r="E636" s="3" t="n">
        <v>26.58</v>
      </c>
      <c r="F636" s="3" t="n">
        <v>49.74</v>
      </c>
      <c r="G636" s="3" t="n">
        <v>6846.5</v>
      </c>
    </row>
    <row r="637">
      <c r="A637" s="2" t="n">
        <v>46000</v>
      </c>
      <c r="B637" s="3" t="n">
        <v>682.27</v>
      </c>
      <c r="C637" s="3" t="n">
        <v>19.97</v>
      </c>
      <c r="D637" s="3" t="n">
        <v>21.51</v>
      </c>
      <c r="E637" s="3" t="n">
        <v>26.69</v>
      </c>
      <c r="F637" s="3" t="n">
        <v>49.74</v>
      </c>
      <c r="G637" s="3" t="n">
        <v>6840.5</v>
      </c>
    </row>
    <row r="638">
      <c r="A638" s="2" t="n">
        <v>46001</v>
      </c>
      <c r="B638" s="3" t="n">
        <v>686.66</v>
      </c>
      <c r="C638" s="3" t="n">
        <v>20</v>
      </c>
      <c r="D638" s="3" t="n">
        <v>21.72</v>
      </c>
      <c r="E638" s="3" t="n">
        <v>26.64</v>
      </c>
      <c r="F638" s="3" t="n">
        <v>49.76</v>
      </c>
      <c r="G638" s="3" t="n">
        <v>6886.69</v>
      </c>
    </row>
    <row r="639">
      <c r="A639" s="2" t="n">
        <v>46002</v>
      </c>
      <c r="B639" s="3" t="n">
        <v>688.3200000000001</v>
      </c>
      <c r="C639" s="3" t="n">
        <v>19.85</v>
      </c>
      <c r="D639" s="3" t="n">
        <v>21.55</v>
      </c>
      <c r="E639" s="3" t="n">
        <v>26.4</v>
      </c>
      <c r="F639" s="3" t="n">
        <v>49.78</v>
      </c>
      <c r="G639" s="3" t="n">
        <v>6901.01</v>
      </c>
    </row>
    <row r="640">
      <c r="A640" s="2" t="n">
        <v>46003</v>
      </c>
      <c r="B640" s="3" t="n">
        <v>680.9400000000001</v>
      </c>
      <c r="C640" s="3" t="n">
        <v>19.83</v>
      </c>
      <c r="D640" s="3" t="n">
        <v>21.56</v>
      </c>
      <c r="E640" s="3" t="n">
        <v>26.48</v>
      </c>
      <c r="F640" s="3" t="n">
        <v>49.78</v>
      </c>
      <c r="G640" s="3" t="n">
        <v>6827.42</v>
      </c>
    </row>
    <row r="641">
      <c r="A641" s="2" t="n">
        <v>46006</v>
      </c>
      <c r="B641" s="3" t="n">
        <v>679.9299999999999</v>
      </c>
      <c r="C641" s="3" t="n">
        <v>19.77</v>
      </c>
      <c r="D641" s="3" t="n">
        <v>21.29</v>
      </c>
      <c r="E641" s="3" t="n">
        <v>26.43</v>
      </c>
      <c r="F641" s="3" t="n">
        <v>49.81</v>
      </c>
      <c r="G641" s="3" t="n">
        <v>6816.52</v>
      </c>
    </row>
    <row r="642">
      <c r="A642" s="2" t="n">
        <v>46007</v>
      </c>
      <c r="B642" s="3" t="n">
        <v>678.04</v>
      </c>
      <c r="C642" s="3" t="n">
        <v>19.61</v>
      </c>
      <c r="D642" s="3" t="n">
        <v>21.29</v>
      </c>
      <c r="E642" s="3" t="n">
        <v>26.17</v>
      </c>
      <c r="F642" s="3" t="n">
        <v>49.81</v>
      </c>
      <c r="G642" s="3" t="n">
        <v>6800.25</v>
      </c>
    </row>
    <row r="643">
      <c r="A643" s="2" t="n">
        <v>46008</v>
      </c>
      <c r="B643" s="3" t="n">
        <v>670.63</v>
      </c>
      <c r="C643" s="3" t="n">
        <v>19.65</v>
      </c>
      <c r="D643" s="3" t="n">
        <v>21.19</v>
      </c>
      <c r="E643" s="3" t="n">
        <v>26.08</v>
      </c>
      <c r="F643" s="3" t="n">
        <v>49.81</v>
      </c>
      <c r="G643" s="3" t="n">
        <v>6721.42</v>
      </c>
    </row>
    <row r="644">
      <c r="A644" s="2" t="n">
        <v>46009</v>
      </c>
      <c r="B644" s="3" t="n">
        <v>675.7</v>
      </c>
      <c r="C644" s="3" t="n">
        <v>19.61</v>
      </c>
      <c r="D644" s="3" t="n">
        <v>21.19</v>
      </c>
      <c r="E644" s="3" t="n">
        <v>25.86</v>
      </c>
      <c r="F644" s="3" t="n">
        <v>49.83</v>
      </c>
      <c r="G644" s="3" t="n">
        <v>6774.75</v>
      </c>
    </row>
    <row r="645">
      <c r="A645" s="2" t="n">
        <v>46010</v>
      </c>
      <c r="B645" s="3" t="n">
        <v>681.6799999999999</v>
      </c>
      <c r="C645" s="3" t="n">
        <v>19.41</v>
      </c>
      <c r="D645" s="3" t="n">
        <v>21.02</v>
      </c>
      <c r="E645" s="3" t="n">
        <v>25.73</v>
      </c>
      <c r="F645" s="3" t="n">
        <v>49.84</v>
      </c>
      <c r="G645" s="3" t="n">
        <v>6834.49</v>
      </c>
    </row>
    <row r="646">
      <c r="A646" s="2" t="n">
        <v>46013</v>
      </c>
      <c r="B646" s="3" t="n">
        <v>686.01</v>
      </c>
      <c r="C646" s="3" t="n">
        <v>19.38</v>
      </c>
      <c r="D646" s="3" t="n">
        <v>20.88</v>
      </c>
      <c r="E646" s="3" t="n">
        <v>25.49</v>
      </c>
      <c r="F646" s="3" t="n">
        <v>49.84</v>
      </c>
      <c r="G646" s="3" t="n">
        <v>6878.48</v>
      </c>
    </row>
    <row r="647">
      <c r="A647" s="2" t="n">
        <v>46014</v>
      </c>
      <c r="B647" s="3" t="n">
        <v>689.14</v>
      </c>
      <c r="C647" s="3" t="n">
        <v>19.39</v>
      </c>
      <c r="D647" s="3" t="n">
        <v>20.71</v>
      </c>
      <c r="E647" s="3" t="n">
        <v>25.31</v>
      </c>
      <c r="F647" s="3" t="n">
        <v>49.84</v>
      </c>
      <c r="G647" s="3" t="n">
        <v>6909.78</v>
      </c>
    </row>
    <row r="648">
      <c r="A648" s="2" t="n">
        <v>46015</v>
      </c>
      <c r="B648" s="3" t="n">
        <v>691.55</v>
      </c>
      <c r="C648" s="3" t="n">
        <v>19.47</v>
      </c>
      <c r="D648" s="3" t="n">
        <v>20.91</v>
      </c>
      <c r="E648" s="3" t="n">
        <v>25.46</v>
      </c>
      <c r="F648" s="3" t="n">
        <v>49.87</v>
      </c>
      <c r="G648" s="3" t="n">
        <v>6932.04</v>
      </c>
    </row>
    <row r="649">
      <c r="A649" s="2" t="n">
        <v>46017</v>
      </c>
      <c r="B649" s="3" t="n">
        <v>691.4299999999999</v>
      </c>
      <c r="C649" s="3" t="n">
        <v>19.66</v>
      </c>
      <c r="D649" s="3" t="n">
        <v>21.14</v>
      </c>
      <c r="E649" s="3" t="n">
        <v>25.61</v>
      </c>
      <c r="F649" s="3" t="n">
        <v>49.89</v>
      </c>
      <c r="G649" s="3" t="n">
        <v>6929.95</v>
      </c>
    </row>
    <row r="650">
      <c r="A650" s="2" t="n">
        <v>46020</v>
      </c>
      <c r="B650" s="3" t="n">
        <v>689.08</v>
      </c>
      <c r="C650" s="3" t="n">
        <v>19.63</v>
      </c>
      <c r="D650" s="3" t="n">
        <v>21.09</v>
      </c>
      <c r="E650" s="3" t="n">
        <v>25.49</v>
      </c>
      <c r="F650" s="3" t="n">
        <v>49.9</v>
      </c>
      <c r="G650" s="3" t="n">
        <v>6905.73</v>
      </c>
    </row>
    <row r="651">
      <c r="A651" s="2" t="n">
        <v>46021</v>
      </c>
      <c r="B651" s="3" t="n">
        <v>688.09</v>
      </c>
      <c r="C651" s="3" t="n">
        <v>19.75</v>
      </c>
      <c r="D651" s="3" t="n">
        <v>21.26</v>
      </c>
      <c r="E651" s="3" t="n">
        <v>25.57</v>
      </c>
      <c r="F651" s="3" t="n">
        <v>49.92</v>
      </c>
      <c r="G651" s="3" t="n">
        <v>6896.25</v>
      </c>
    </row>
    <row r="652">
      <c r="A652" s="2" t="n">
        <v>46022</v>
      </c>
      <c r="B652" s="3" t="n">
        <v>683.12</v>
      </c>
      <c r="C652" s="3" t="n">
        <v>19.69</v>
      </c>
      <c r="D652" s="3" t="n">
        <v>21.15</v>
      </c>
      <c r="E652" s="3" t="n">
        <v>25.48</v>
      </c>
      <c r="F652" s="3" t="n">
        <v>49.91</v>
      </c>
      <c r="G652" s="3" t="n">
        <v>6845.49</v>
      </c>
    </row>
    <row r="653">
      <c r="A653" s="2" t="n">
        <v>46024</v>
      </c>
      <c r="B653" s="3" t="n">
        <v>684.37</v>
      </c>
      <c r="C653" s="3" t="n">
        <v>19.9</v>
      </c>
      <c r="D653" s="3" t="n">
        <v>21.09</v>
      </c>
      <c r="E653" s="3" t="n">
        <v>25.72</v>
      </c>
      <c r="F653" s="3" t="n">
        <v>49.94</v>
      </c>
      <c r="G653" s="3" t="n">
        <v>6858.48</v>
      </c>
    </row>
    <row r="654">
      <c r="A654" s="2" t="n">
        <v>46027</v>
      </c>
      <c r="B654" s="3" t="n">
        <v>688.96</v>
      </c>
      <c r="C654" s="3" t="n">
        <v>20.18</v>
      </c>
      <c r="D654" s="3" t="n">
        <v>21.5</v>
      </c>
      <c r="E654" s="3" t="n">
        <v>26.11</v>
      </c>
      <c r="F654" s="3" t="n">
        <v>49.93</v>
      </c>
      <c r="G654" s="3" t="n">
        <v>6902.04</v>
      </c>
    </row>
    <row r="655">
      <c r="A655" s="2" t="n">
        <v>46028</v>
      </c>
      <c r="B655" s="3" t="n">
        <v>693.05</v>
      </c>
      <c r="C655" s="3" t="n">
        <v>20.04</v>
      </c>
      <c r="D655" s="3" t="n">
        <v>21.33</v>
      </c>
      <c r="E655" s="3" t="n">
        <v>25.71</v>
      </c>
      <c r="F655" s="3" t="n">
        <v>49.94</v>
      </c>
      <c r="G655" s="3" t="n">
        <v>6944.83</v>
      </c>
    </row>
    <row r="656">
      <c r="A656" s="2" t="n">
        <v>46029</v>
      </c>
      <c r="B656" s="3" t="n">
        <v>690.79</v>
      </c>
      <c r="C656" s="3" t="n">
        <v>19.64</v>
      </c>
      <c r="D656" s="3" t="n">
        <v>20.64</v>
      </c>
      <c r="E656" s="3" t="n">
        <v>24.73</v>
      </c>
      <c r="F656" s="3" t="n">
        <v>49.96</v>
      </c>
      <c r="G656" s="3" t="n">
        <v>6920.92</v>
      </c>
    </row>
    <row r="657">
      <c r="A657" s="2" t="n">
        <v>46030</v>
      </c>
      <c r="B657" s="3" t="n">
        <v>690.71</v>
      </c>
      <c r="C657" s="3" t="n">
        <v>20.23</v>
      </c>
      <c r="D657" s="3" t="n">
        <v>21.32</v>
      </c>
      <c r="E657" s="3" t="n">
        <v>25.5</v>
      </c>
      <c r="F657" s="3" t="n">
        <v>49.96</v>
      </c>
      <c r="G657" s="3" t="n">
        <v>6921.45</v>
      </c>
    </row>
    <row r="658">
      <c r="A658" s="2" t="n">
        <v>46031</v>
      </c>
      <c r="B658" s="3" t="n">
        <v>695.23</v>
      </c>
      <c r="C658" s="3" t="n">
        <v>20.09</v>
      </c>
      <c r="D658" s="3" t="n">
        <v>21.28</v>
      </c>
      <c r="E658" s="3" t="n">
        <v>25.43</v>
      </c>
      <c r="F658" s="3" t="n">
        <v>49.95</v>
      </c>
      <c r="G658" s="3" t="n">
        <v>6966.29</v>
      </c>
    </row>
    <row r="659">
      <c r="A659" s="2" t="n">
        <v>46034</v>
      </c>
      <c r="B659" s="3" t="n">
        <v>696.38</v>
      </c>
      <c r="C659" s="3" t="n">
        <v>19.97</v>
      </c>
      <c r="D659" s="3" t="n">
        <v>21.17</v>
      </c>
      <c r="E659" s="3" t="n">
        <v>25.23</v>
      </c>
      <c r="F659" s="3" t="n">
        <v>49.97</v>
      </c>
      <c r="G659" s="3" t="n">
        <v>6977.26</v>
      </c>
    </row>
    <row r="660">
      <c r="A660" s="2" t="n">
        <v>46035</v>
      </c>
      <c r="B660" s="3" t="n">
        <v>695.02</v>
      </c>
      <c r="C660" s="3" t="n">
        <v>19.94</v>
      </c>
      <c r="D660" s="3" t="n">
        <v>20.98</v>
      </c>
      <c r="E660" s="3" t="n">
        <v>24.96</v>
      </c>
      <c r="F660" s="3" t="n">
        <v>49.98</v>
      </c>
      <c r="G660" s="3" t="n">
        <v>6963.75</v>
      </c>
    </row>
    <row r="661">
      <c r="A661" s="2" t="n">
        <v>46036</v>
      </c>
      <c r="B661" s="3" t="n">
        <v>691.65</v>
      </c>
      <c r="C661" s="3" t="n">
        <v>20.33</v>
      </c>
      <c r="D661" s="3" t="n">
        <v>21.45</v>
      </c>
      <c r="E661" s="3" t="n">
        <v>25.35</v>
      </c>
      <c r="F661" s="3" t="n">
        <v>49.98</v>
      </c>
      <c r="G661" s="3" t="n">
        <v>6926.59</v>
      </c>
    </row>
    <row r="662">
      <c r="A662" s="2" t="n">
        <v>46037</v>
      </c>
      <c r="B662" s="3" t="n">
        <v>693.48</v>
      </c>
      <c r="C662" s="3" t="n">
        <v>20.43</v>
      </c>
      <c r="D662" s="3" t="n">
        <v>21.81</v>
      </c>
      <c r="E662" s="3" t="n">
        <v>25.52</v>
      </c>
      <c r="F662" s="3" t="n">
        <v>49.98</v>
      </c>
      <c r="G662" s="3" t="n">
        <v>6944.46</v>
      </c>
    </row>
    <row r="663">
      <c r="A663" s="2" t="n">
        <v>46038</v>
      </c>
      <c r="B663" s="3" t="n">
        <v>692.8200000000001</v>
      </c>
      <c r="C663" s="3" t="n">
        <v>20.34</v>
      </c>
      <c r="D663" s="3" t="n">
        <v>21.71</v>
      </c>
      <c r="E663" s="3" t="n">
        <v>25.65</v>
      </c>
      <c r="F663" s="3" t="n">
        <v>49.99</v>
      </c>
      <c r="G663" s="3" t="n">
        <v>6940</v>
      </c>
    </row>
    <row r="664">
      <c r="A664" s="2" t="n">
        <v>46042</v>
      </c>
      <c r="B664" s="3" t="n">
        <v>678.8</v>
      </c>
      <c r="C664" s="3" t="n">
        <v>20.09</v>
      </c>
      <c r="D664" s="3" t="n">
        <v>21.5</v>
      </c>
      <c r="E664" s="3" t="n">
        <v>25.24</v>
      </c>
      <c r="F664" s="3" t="n">
        <v>50</v>
      </c>
      <c r="G664" s="3" t="n">
        <v>6796.87</v>
      </c>
    </row>
    <row r="665">
      <c r="A665" s="2" t="n">
        <v>46043</v>
      </c>
      <c r="B665" s="3" t="n">
        <v>686.5</v>
      </c>
      <c r="C665" s="3" t="n">
        <v>20.42</v>
      </c>
      <c r="D665" s="3" t="n">
        <v>21.96</v>
      </c>
      <c r="E665" s="3" t="n">
        <v>25.6</v>
      </c>
      <c r="F665" s="3" t="n">
        <v>50.03</v>
      </c>
      <c r="G665" s="3" t="n">
        <v>6875.61</v>
      </c>
    </row>
    <row r="666">
      <c r="A666" s="2" t="n">
        <v>46044</v>
      </c>
      <c r="B666" s="3" t="n">
        <v>690.13</v>
      </c>
      <c r="C666" s="3" t="n">
        <v>20.34</v>
      </c>
      <c r="D666" s="3" t="n">
        <v>21.67</v>
      </c>
      <c r="E666" s="3" t="n">
        <v>25.83</v>
      </c>
      <c r="F666" s="3" t="n">
        <v>50.02</v>
      </c>
      <c r="G666" s="3" t="n">
        <v>6913.36</v>
      </c>
    </row>
    <row r="667">
      <c r="A667" s="2" t="n">
        <v>46045</v>
      </c>
      <c r="B667" s="3" t="n">
        <v>690.41</v>
      </c>
      <c r="C667" s="3" t="n">
        <v>20.23</v>
      </c>
      <c r="D667" s="3" t="n">
        <v>21.62</v>
      </c>
      <c r="E667" s="3" t="n">
        <v>25.26</v>
      </c>
      <c r="F667" s="3" t="n">
        <v>50.04</v>
      </c>
      <c r="G667" s="3" t="n">
        <v>6915.62</v>
      </c>
    </row>
    <row r="668">
      <c r="A668" s="2" t="n">
        <v>46048</v>
      </c>
      <c r="B668" s="3" t="n">
        <v>694.05</v>
      </c>
      <c r="C668" s="3" t="n">
        <v>19.81</v>
      </c>
      <c r="D668" s="3" t="n">
        <v>21.44</v>
      </c>
      <c r="E668" s="3" t="n">
        <v>25.19</v>
      </c>
      <c r="F668" s="3" t="n">
        <v>50.05</v>
      </c>
      <c r="G668" s="3" t="n">
        <v>6950.22</v>
      </c>
    </row>
    <row r="669">
      <c r="A669" s="2" t="n">
        <v>46049</v>
      </c>
      <c r="B669" s="3" t="n">
        <v>696.8</v>
      </c>
      <c r="C669" s="3" t="n">
        <v>19.75</v>
      </c>
      <c r="D669" s="3" t="n">
        <v>21.68</v>
      </c>
      <c r="E669" s="3" t="n">
        <v>25.41</v>
      </c>
      <c r="F669" s="3" t="n">
        <v>50.06</v>
      </c>
      <c r="G669" s="3" t="n">
        <v>6978.59</v>
      </c>
    </row>
    <row r="670">
      <c r="A670" s="2" t="n">
        <v>46050</v>
      </c>
      <c r="B670" s="3" t="n">
        <v>696.85</v>
      </c>
      <c r="C670" s="3" t="n">
        <v>19.65</v>
      </c>
      <c r="D670" s="3" t="n">
        <v>21.54</v>
      </c>
      <c r="E670" s="3" t="n">
        <v>25.2</v>
      </c>
      <c r="F670" s="3" t="n">
        <v>50.07</v>
      </c>
      <c r="G670" s="3" t="n">
        <v>6978.02</v>
      </c>
    </row>
    <row r="671">
      <c r="A671" s="2" t="n">
        <v>46051</v>
      </c>
      <c r="B671" s="3" t="n">
        <v>695.24</v>
      </c>
      <c r="C671" s="3" t="n">
        <v>19.62</v>
      </c>
      <c r="D671" s="3" t="n">
        <v>21.56</v>
      </c>
      <c r="E671" s="3" t="n">
        <v>25.1</v>
      </c>
      <c r="F671" s="3" t="n">
        <v>50.07</v>
      </c>
      <c r="G671" s="3" t="n">
        <v>6969.02</v>
      </c>
    </row>
    <row r="672">
      <c r="A672" s="2" t="n">
        <v>46052</v>
      </c>
      <c r="B672" s="3" t="n">
        <v>693.1900000000001</v>
      </c>
      <c r="C672" s="3" t="n">
        <v>19.36</v>
      </c>
      <c r="D672" s="3" t="n">
        <v>21.37</v>
      </c>
      <c r="E672" s="3" t="n">
        <v>24.83</v>
      </c>
      <c r="F672" s="3" t="n">
        <v>50.1</v>
      </c>
      <c r="G672" s="3" t="n">
        <v>6939.02</v>
      </c>
    </row>
    <row r="673">
      <c r="A673" s="2" t="n">
        <v>46055</v>
      </c>
      <c r="B673" s="3" t="n">
        <v>696.6900000000001</v>
      </c>
      <c r="C673" s="3" t="n">
        <v>19</v>
      </c>
      <c r="D673" s="3" t="n">
        <v>20.8</v>
      </c>
      <c r="E673" s="3" t="n">
        <v>24.29</v>
      </c>
      <c r="F673" s="3" t="n">
        <v>50.1</v>
      </c>
      <c r="G673" s="3" t="n">
        <v>6976.45</v>
      </c>
    </row>
    <row r="674">
      <c r="A674" s="2" t="n">
        <v>46056</v>
      </c>
      <c r="B674" s="3" t="n">
        <v>690.73</v>
      </c>
      <c r="C674" s="3" t="n">
        <v>18.62</v>
      </c>
      <c r="D674" s="3" t="n">
        <v>20.26</v>
      </c>
      <c r="E674" s="3" t="n">
        <v>23.7</v>
      </c>
      <c r="F674" s="3" t="n">
        <v>50.1</v>
      </c>
      <c r="G674" s="3" t="n">
        <v>6917.82</v>
      </c>
    </row>
    <row r="675">
      <c r="A675" s="2" t="n">
        <v>46057</v>
      </c>
      <c r="B675" s="3" t="n">
        <v>687.46</v>
      </c>
      <c r="C675" s="3" t="n">
        <v>19.04</v>
      </c>
      <c r="D675" s="3" t="n">
        <v>20.35</v>
      </c>
      <c r="E675" s="3" t="n">
        <v>24.11</v>
      </c>
      <c r="F675" s="3" t="n">
        <v>50.11</v>
      </c>
      <c r="G675" s="3" t="n">
        <v>6882.71</v>
      </c>
    </row>
    <row r="676">
      <c r="A676" s="2" t="n">
        <v>46058</v>
      </c>
      <c r="B676" s="3" t="n">
        <v>678.72</v>
      </c>
      <c r="C676" s="3" t="n">
        <v>18.29</v>
      </c>
      <c r="D676" s="3" t="n">
        <v>19.86</v>
      </c>
      <c r="E676" s="3" t="n">
        <v>23.75</v>
      </c>
      <c r="F676" s="3" t="n">
        <v>50.12</v>
      </c>
      <c r="G676" s="3" t="n">
        <v>6798.39</v>
      </c>
    </row>
    <row r="677">
      <c r="A677" s="2" t="n">
        <v>46059</v>
      </c>
      <c r="B677" s="3" t="n">
        <v>691.9400000000001</v>
      </c>
      <c r="C677" s="3" t="n">
        <v>18.8</v>
      </c>
      <c r="D677" s="3" t="n">
        <v>19.64</v>
      </c>
      <c r="E677" s="3" t="n">
        <v>24.08</v>
      </c>
      <c r="F677" s="3" t="n">
        <v>50.14</v>
      </c>
      <c r="G677" s="3" t="n">
        <v>6932.31</v>
      </c>
    </row>
    <row r="678">
      <c r="A678" s="2" t="n">
        <v>46062</v>
      </c>
      <c r="B678" s="3" t="n">
        <v>695.24</v>
      </c>
      <c r="C678" s="3" t="n">
        <v>18.96</v>
      </c>
      <c r="D678" s="3" t="n">
        <v>19.42</v>
      </c>
      <c r="E678" s="3" t="n">
        <v>24.38</v>
      </c>
      <c r="F678" s="3" t="n">
        <v>50.16</v>
      </c>
      <c r="G678" s="3" t="n">
        <v>6964.81</v>
      </c>
    </row>
    <row r="679">
      <c r="A679" s="2" t="n">
        <v>46063</v>
      </c>
      <c r="B679" s="3" t="n">
        <v>693.3099999999999</v>
      </c>
      <c r="C679" s="3" t="n">
        <v>19.43</v>
      </c>
      <c r="D679" s="3" t="n">
        <v>19.75</v>
      </c>
      <c r="E679" s="3" t="n">
        <v>24.84</v>
      </c>
      <c r="F679" s="3" t="n">
        <v>50.17</v>
      </c>
      <c r="G679" s="3" t="n">
        <v>6941.82</v>
      </c>
    </row>
    <row r="680">
      <c r="A680" s="2" t="n">
        <v>46064</v>
      </c>
      <c r="B680" s="3" t="n">
        <v>693.21</v>
      </c>
      <c r="C680" s="3" t="n">
        <v>19.38</v>
      </c>
      <c r="D680" s="3" t="n">
        <v>19.58</v>
      </c>
      <c r="E680" s="3" t="n">
        <v>24.46</v>
      </c>
      <c r="F680" s="3" t="n">
        <v>50.16</v>
      </c>
      <c r="G680" s="3" t="n">
        <v>6941.46</v>
      </c>
    </row>
    <row r="681">
      <c r="A681" s="2" t="n">
        <v>46065</v>
      </c>
      <c r="B681" s="3" t="n">
        <v>682.52</v>
      </c>
      <c r="C681" s="3" t="n">
        <v>18.95</v>
      </c>
      <c r="D681" s="3" t="n">
        <v>19.59</v>
      </c>
      <c r="E681" s="3" t="n">
        <v>24.31</v>
      </c>
      <c r="F681" s="3" t="n">
        <v>50.17</v>
      </c>
      <c r="G681" s="3" t="n">
        <v>6832.77</v>
      </c>
    </row>
    <row r="682">
      <c r="A682" s="2" t="n">
        <v>46066</v>
      </c>
      <c r="B682" s="3" t="n">
        <v>682.95</v>
      </c>
      <c r="C682" s="3" t="n">
        <v>18.86</v>
      </c>
      <c r="D682" s="3" t="n">
        <v>18.72</v>
      </c>
      <c r="E682" s="3" t="n">
        <v>23.82</v>
      </c>
      <c r="F682" s="3" t="n">
        <v>50.2</v>
      </c>
      <c r="G682" s="3" t="n">
        <v>6836.18</v>
      </c>
    </row>
    <row r="683">
      <c r="A683" s="2" t="n">
        <v>46070</v>
      </c>
      <c r="B683" s="3" t="n">
        <v>684.02</v>
      </c>
      <c r="C683" s="3" t="n">
        <v>18.79</v>
      </c>
      <c r="D683" s="3" t="n">
        <v>18.38</v>
      </c>
      <c r="E683" s="3" t="n">
        <v>23.45</v>
      </c>
      <c r="F683" s="3" t="n">
        <v>50.2</v>
      </c>
      <c r="G683" s="3" t="n">
        <v>6843.21</v>
      </c>
    </row>
    <row r="684">
      <c r="A684" s="2" t="n">
        <v>46071</v>
      </c>
      <c r="B684" s="3" t="n">
        <v>687.52</v>
      </c>
      <c r="C684" s="3" t="n">
        <v>18.89</v>
      </c>
      <c r="D684" s="3" t="n">
        <v>18.74</v>
      </c>
      <c r="E684" s="3" t="n">
        <v>23.74</v>
      </c>
      <c r="F684" s="3" t="n">
        <v>50.2</v>
      </c>
      <c r="G684" s="3" t="n">
        <v>6881.32</v>
      </c>
    </row>
    <row r="685">
      <c r="A685" s="2" t="n">
        <v>46072</v>
      </c>
      <c r="B685" s="3" t="n">
        <v>685.85</v>
      </c>
      <c r="C685" s="3" t="n">
        <v>18.45</v>
      </c>
      <c r="D685" s="3" t="n">
        <v>18.19</v>
      </c>
      <c r="E685" s="3" t="n">
        <v>23.14</v>
      </c>
      <c r="F685" s="3" t="n">
        <v>50.21</v>
      </c>
      <c r="G685" s="3" t="n">
        <v>6861.88</v>
      </c>
    </row>
    <row r="686">
      <c r="A686" s="2" t="n">
        <v>46073</v>
      </c>
      <c r="B686" s="3" t="n">
        <v>690.66</v>
      </c>
      <c r="C686" s="3" t="n">
        <v>18.64</v>
      </c>
      <c r="D686" s="3" t="n">
        <v>17.71</v>
      </c>
      <c r="E686" s="3" t="n">
        <v>22.94</v>
      </c>
      <c r="F686" s="3" t="n">
        <v>50.22</v>
      </c>
      <c r="G686" s="3" t="n">
        <v>6909.52</v>
      </c>
    </row>
    <row r="687">
      <c r="A687" s="2" t="n">
        <v>46076</v>
      </c>
      <c r="B687" s="3" t="n">
        <v>683.67</v>
      </c>
      <c r="C687" s="3" t="n">
        <v>18.54</v>
      </c>
      <c r="D687" s="3" t="n">
        <v>17.5</v>
      </c>
      <c r="E687" s="3" t="n">
        <v>22.81</v>
      </c>
      <c r="F687" s="3" t="n">
        <v>50.24</v>
      </c>
      <c r="G687" s="3" t="n">
        <v>6837.74</v>
      </c>
    </row>
    <row r="688">
      <c r="A688" s="2" t="n">
        <v>46077</v>
      </c>
      <c r="B688" s="3" t="n">
        <v>688.6799999999999</v>
      </c>
      <c r="C688" s="3" t="n">
        <v>18.67</v>
      </c>
      <c r="D688" s="3" t="n">
        <v>17.62</v>
      </c>
      <c r="E688" s="3" t="n">
        <v>23.07</v>
      </c>
      <c r="F688" s="3" t="n">
        <v>50.23</v>
      </c>
      <c r="G688" s="3" t="n">
        <v>6890.06</v>
      </c>
    </row>
    <row r="689">
      <c r="A689" s="2" t="n">
        <v>46078</v>
      </c>
      <c r="B689" s="3" t="n">
        <v>694.4</v>
      </c>
      <c r="C689" s="3" t="n">
        <v>18.99</v>
      </c>
      <c r="D689" s="3" t="n">
        <v>17.91</v>
      </c>
      <c r="E689" s="3" t="n">
        <v>23.85</v>
      </c>
      <c r="F689" s="3" t="n">
        <v>50.24</v>
      </c>
      <c r="G689" s="3" t="n">
        <v>6946.12</v>
      </c>
    </row>
    <row r="690">
      <c r="A690" s="2" t="n">
        <v>46079</v>
      </c>
      <c r="B690" s="3" t="n">
        <v>690.5700000000001</v>
      </c>
      <c r="C690" s="3" t="n">
        <v>18.77</v>
      </c>
      <c r="D690" s="3" t="n">
        <v>17.74</v>
      </c>
      <c r="E690" s="3" t="n">
        <v>23.64</v>
      </c>
      <c r="F690" s="3" t="n">
        <v>50.25</v>
      </c>
      <c r="G690" s="3" t="n">
        <v>6908.87</v>
      </c>
    </row>
    <row r="691">
      <c r="A691" s="2" t="n">
        <v>46080</v>
      </c>
      <c r="B691" s="3" t="n">
        <v>687.55</v>
      </c>
      <c r="C691" s="3" t="n">
        <v>18.13</v>
      </c>
      <c r="D691" s="3" t="n">
        <v>16.87</v>
      </c>
      <c r="E691" s="3" t="n">
        <v>23.11</v>
      </c>
      <c r="F691" s="3" t="n">
        <v>50.25</v>
      </c>
      <c r="G691" s="3" t="n">
        <v>6878.89</v>
      </c>
    </row>
    <row r="692">
      <c r="A692" s="2" t="n">
        <v>46083</v>
      </c>
      <c r="B692" s="3" t="n">
        <v>687.62</v>
      </c>
      <c r="C692" s="3" t="n">
        <v>18.48</v>
      </c>
      <c r="D692" s="3" t="n">
        <v>17.18</v>
      </c>
      <c r="E692" s="3" t="n">
        <v>24.19</v>
      </c>
      <c r="F692" s="3" t="n">
        <v>50.23</v>
      </c>
      <c r="G692" s="3" t="n">
        <v>6881.63</v>
      </c>
    </row>
    <row r="693">
      <c r="A693" s="2" t="n">
        <v>46084</v>
      </c>
      <c r="B693" s="3" t="n">
        <v>681.5599999999999</v>
      </c>
      <c r="C693" s="3" t="n">
        <v>18.45</v>
      </c>
      <c r="D693" s="3" t="n">
        <v>17.33</v>
      </c>
      <c r="E693" s="3" t="n">
        <v>23.54</v>
      </c>
      <c r="F693" s="3" t="n">
        <v>50.23</v>
      </c>
      <c r="G693" s="3" t="n">
        <v>6816.62</v>
      </c>
    </row>
    <row r="694">
      <c r="A694" s="2" t="n">
        <v>46085</v>
      </c>
      <c r="B694" s="3" t="n">
        <v>686.45</v>
      </c>
      <c r="C694" s="3" t="n">
        <v>18.62</v>
      </c>
      <c r="D694" s="3" t="n">
        <v>18</v>
      </c>
      <c r="E694" s="3" t="n">
        <v>23.61</v>
      </c>
      <c r="F694" s="3" t="n">
        <v>50.23</v>
      </c>
      <c r="G694" s="3" t="n">
        <v>6869.49</v>
      </c>
    </row>
    <row r="695">
      <c r="A695" s="2" t="n">
        <v>46086</v>
      </c>
      <c r="B695" s="3" t="n">
        <v>682.64</v>
      </c>
      <c r="C695" s="3" t="n">
        <v>18.5</v>
      </c>
      <c r="D695" s="3" t="n">
        <v>17.97</v>
      </c>
      <c r="E695" s="3" t="n">
        <v>23.22</v>
      </c>
      <c r="F695" s="3" t="n">
        <v>50.23</v>
      </c>
      <c r="G695" s="3" t="n">
        <v>6830.72</v>
      </c>
    </row>
    <row r="696">
      <c r="A696" s="2" t="n">
        <v>46087</v>
      </c>
      <c r="B696" s="3" t="n">
        <v>673.61</v>
      </c>
      <c r="C696" s="3" t="n">
        <v>18.24</v>
      </c>
      <c r="D696" s="3" t="n">
        <v>17.86</v>
      </c>
      <c r="E696" s="3" t="n">
        <v>23.05</v>
      </c>
      <c r="F696" s="3" t="n">
        <v>50.21</v>
      </c>
      <c r="G696" s="3" t="n">
        <v>6740.01</v>
      </c>
    </row>
    <row r="697">
      <c r="A697" s="2" t="n">
        <v>46090</v>
      </c>
      <c r="B697" s="3" t="n">
        <v>679.54</v>
      </c>
      <c r="C697" s="3" t="n">
        <v>18.19</v>
      </c>
      <c r="D697" s="3" t="n">
        <v>17.92</v>
      </c>
      <c r="E697" s="3" t="n">
        <v>23.3</v>
      </c>
      <c r="F697" s="3" t="n">
        <v>50.23</v>
      </c>
      <c r="G697" s="3" t="n">
        <v>6795.98</v>
      </c>
    </row>
    <row r="698">
      <c r="A698" s="2" t="n">
        <v>46091</v>
      </c>
      <c r="B698" s="3" t="n">
        <v>678.3099999999999</v>
      </c>
      <c r="C698" s="3" t="n">
        <v>18</v>
      </c>
      <c r="D698" s="3" t="n">
        <v>17.95</v>
      </c>
      <c r="E698" s="3" t="n">
        <v>23.18</v>
      </c>
      <c r="F698" s="3" t="n">
        <v>50.22</v>
      </c>
      <c r="G698" s="3" t="n">
        <v>6781.49</v>
      </c>
    </row>
    <row r="699">
      <c r="A699" s="2" t="n">
        <v>46092</v>
      </c>
      <c r="B699" s="3" t="n">
        <v>677.59</v>
      </c>
      <c r="C699" s="3" t="n">
        <v>18</v>
      </c>
      <c r="D699" s="3" t="n">
        <v>17.92</v>
      </c>
      <c r="E699" s="3" t="n">
        <v>23.21</v>
      </c>
      <c r="F699" s="3" t="n">
        <v>50.21</v>
      </c>
      <c r="G699" s="3" t="n">
        <v>6775.79</v>
      </c>
    </row>
    <row r="700">
      <c r="A700" s="2" t="n">
        <v>46093</v>
      </c>
      <c r="B700" s="3" t="n">
        <v>667.17</v>
      </c>
      <c r="C700" s="3" t="n">
        <v>17.59</v>
      </c>
      <c r="D700" s="3" t="n">
        <v>17.57</v>
      </c>
      <c r="E700" s="3" t="n">
        <v>22.94</v>
      </c>
      <c r="F700" s="3" t="n">
        <v>50.17</v>
      </c>
      <c r="G700" s="3" t="n">
        <v>6672.61</v>
      </c>
    </row>
    <row r="701">
      <c r="A701" s="2" t="n">
        <v>46094</v>
      </c>
      <c r="B701" s="3" t="n">
        <v>663.4299999999999</v>
      </c>
      <c r="C701" s="3" t="n">
        <v>17.86</v>
      </c>
      <c r="D701" s="3" t="n">
        <v>17.35</v>
      </c>
      <c r="E701" s="3" t="n">
        <v>22.88</v>
      </c>
      <c r="F701" s="3" t="n">
        <v>50.17</v>
      </c>
      <c r="G701" s="3" t="n">
        <v>6632.2</v>
      </c>
    </row>
    <row r="702">
      <c r="A702" s="2" t="n">
        <v>46097</v>
      </c>
      <c r="B702" s="3" t="n">
        <v>670.13</v>
      </c>
      <c r="C702" s="3" t="n">
        <v>17.94</v>
      </c>
      <c r="D702" s="3" t="n">
        <v>17.67</v>
      </c>
      <c r="E702" s="3" t="n">
        <v>22.77</v>
      </c>
      <c r="F702" s="3" t="n">
        <v>50.18</v>
      </c>
      <c r="G702" s="3" t="n">
        <v>6699.37</v>
      </c>
    </row>
    <row r="703">
      <c r="A703" s="2" t="n">
        <v>46098</v>
      </c>
      <c r="B703" s="3" t="n">
        <v>671.99</v>
      </c>
      <c r="C703" s="3" t="n">
        <v>18.44</v>
      </c>
      <c r="D703" s="3" t="n">
        <v>18.24</v>
      </c>
      <c r="E703" s="3" t="n">
        <v>23.68</v>
      </c>
      <c r="F703" s="3" t="n">
        <v>50.22</v>
      </c>
      <c r="G703" s="3" t="n">
        <v>6716.08</v>
      </c>
    </row>
    <row r="704">
      <c r="A704" s="2" t="n">
        <v>46099</v>
      </c>
      <c r="B704" s="3" t="n">
        <v>662.85</v>
      </c>
      <c r="C704" s="3" t="n">
        <v>18.28</v>
      </c>
      <c r="D704" s="3" t="n">
        <v>18.2</v>
      </c>
      <c r="E704" s="3" t="n">
        <v>23.54</v>
      </c>
      <c r="F704" s="3" t="n">
        <v>50.21</v>
      </c>
      <c r="G704" s="3" t="n">
        <v>6624.71</v>
      </c>
    </row>
    <row r="705">
      <c r="A705" s="2" t="n">
        <v>46100</v>
      </c>
      <c r="B705" s="3" t="n">
        <v>660.9299999999999</v>
      </c>
      <c r="C705" s="3" t="n">
        <v>18.19</v>
      </c>
      <c r="D705" s="3" t="n">
        <v>18.17</v>
      </c>
      <c r="E705" s="3" t="n">
        <v>23.52</v>
      </c>
      <c r="F705" s="3" t="n">
        <v>50.2</v>
      </c>
      <c r="G705" s="3" t="n">
        <v>6606.48</v>
      </c>
    </row>
    <row r="706">
      <c r="A706" s="2" t="n">
        <v>46101</v>
      </c>
      <c r="B706" s="3" t="n">
        <v>651.3</v>
      </c>
      <c r="C706" s="3" t="n">
        <v>17.96</v>
      </c>
      <c r="D706" s="3" t="n">
        <v>17.75</v>
      </c>
      <c r="E706" s="3" t="n">
        <v>22.99</v>
      </c>
      <c r="F706" s="3" t="n">
        <v>50.17</v>
      </c>
      <c r="G706" s="3" t="n">
        <v>6506.49</v>
      </c>
    </row>
    <row r="707">
      <c r="A707" s="2" t="n">
        <v>46104</v>
      </c>
      <c r="B707" s="3" t="n">
        <v>658.34</v>
      </c>
      <c r="C707" s="3" t="n">
        <v>18.28</v>
      </c>
      <c r="D707" s="3" t="n">
        <v>18.21</v>
      </c>
      <c r="E707" s="3" t="n">
        <v>23.66</v>
      </c>
      <c r="F707" s="3" t="n">
        <v>50.21</v>
      </c>
      <c r="G707" s="3" t="n">
        <v>6580.99</v>
      </c>
    </row>
    <row r="708">
      <c r="A708" s="2" t="n">
        <v>46105</v>
      </c>
      <c r="B708" s="3" t="n">
        <v>656.23</v>
      </c>
      <c r="C708" s="3" t="n">
        <v>17.96</v>
      </c>
      <c r="D708" s="3" t="n">
        <v>17.75</v>
      </c>
      <c r="E708" s="3" t="n">
        <v>23.31</v>
      </c>
      <c r="F708" s="3" t="n">
        <v>50.2</v>
      </c>
      <c r="G708" s="3" t="n">
        <v>6556.36</v>
      </c>
    </row>
    <row r="709">
      <c r="A709" s="2" t="n">
        <v>46106</v>
      </c>
      <c r="B709" s="3" t="n">
        <v>659.74</v>
      </c>
      <c r="C709" s="3" t="n">
        <v>18.06</v>
      </c>
      <c r="D709" s="3" t="n">
        <v>17.75</v>
      </c>
      <c r="E709" s="3" t="n">
        <v>23.36</v>
      </c>
      <c r="F709" s="3" t="n">
        <v>50.21</v>
      </c>
      <c r="G709" s="3" t="n">
        <v>6591.89</v>
      </c>
    </row>
    <row r="710">
      <c r="A710" s="2" t="n">
        <v>46107</v>
      </c>
      <c r="B710" s="3" t="n">
        <v>648.01</v>
      </c>
      <c r="C710" s="3" t="n">
        <v>17.92</v>
      </c>
      <c r="D710" s="3" t="n">
        <v>17.69</v>
      </c>
      <c r="E710" s="3" t="n">
        <v>23.23</v>
      </c>
      <c r="F710" s="3" t="n">
        <v>50.17</v>
      </c>
      <c r="G710" s="3" t="n">
        <v>6477.17</v>
      </c>
    </row>
    <row r="711">
      <c r="A711" s="2" t="n">
        <v>46108</v>
      </c>
      <c r="B711" s="3" t="n">
        <v>636.99</v>
      </c>
      <c r="C711" s="3" t="n">
        <v>17.45</v>
      </c>
      <c r="D711" s="3" t="n">
        <v>17.5</v>
      </c>
      <c r="E711" s="3" t="n">
        <v>22.75</v>
      </c>
      <c r="F711" s="3" t="n">
        <v>50.18</v>
      </c>
      <c r="G711" s="3" t="n">
        <v>6368.86</v>
      </c>
    </row>
    <row r="712">
      <c r="A712" s="2" t="n">
        <v>46111</v>
      </c>
      <c r="B712" s="3" t="n">
        <v>634.9299999999999</v>
      </c>
      <c r="C712" s="3" t="n">
        <v>17.74</v>
      </c>
      <c r="D712" s="3" t="n">
        <v>17.91</v>
      </c>
      <c r="E712" s="3" t="n">
        <v>23.02</v>
      </c>
      <c r="F712" s="3" t="n">
        <v>50.22</v>
      </c>
      <c r="G712" s="3" t="n">
        <v>6343.73</v>
      </c>
    </row>
    <row r="713">
      <c r="A713" s="2" t="n">
        <v>46112</v>
      </c>
      <c r="B713" s="3" t="n">
        <v>653.21</v>
      </c>
      <c r="C713" s="3" t="n">
        <v>18.02</v>
      </c>
      <c r="D713" s="3" t="n">
        <v>18.38</v>
      </c>
      <c r="E713" s="3" t="n">
        <v>23.69</v>
      </c>
      <c r="F713" s="3" t="n">
        <v>50.26</v>
      </c>
      <c r="G713" s="3" t="n">
        <v>6528.53</v>
      </c>
    </row>
    <row r="714">
      <c r="A714" s="2" t="n">
        <v>46113</v>
      </c>
      <c r="B714" s="3" t="n">
        <v>658.0599999999999</v>
      </c>
      <c r="C714" s="3" t="n">
        <v>17.73</v>
      </c>
      <c r="D714" s="3" t="n">
        <v>18.11</v>
      </c>
      <c r="E714" s="3" t="n">
        <v>23.33</v>
      </c>
      <c r="F714" s="3" t="n">
        <v>50.26</v>
      </c>
      <c r="G714" s="3" t="n">
        <v>6575.33</v>
      </c>
    </row>
    <row r="715">
      <c r="A715" s="2" t="n">
        <v>46114</v>
      </c>
      <c r="B715" s="3" t="n">
        <v>658.96</v>
      </c>
      <c r="C715" s="3" t="n">
        <v>18.09</v>
      </c>
      <c r="D715" s="3" t="n">
        <v>18.39</v>
      </c>
      <c r="E715" s="3" t="n">
        <v>23.77</v>
      </c>
      <c r="F715" s="3" t="n">
        <v>50.46</v>
      </c>
      <c r="G715" s="3" t="n">
        <v>6582.68</v>
      </c>
    </row>
    <row r="716">
      <c r="A716" s="2" t="n">
        <v>46118</v>
      </c>
      <c r="B716" s="3" t="n">
        <v>661.86</v>
      </c>
      <c r="C716" s="3" t="n">
        <v>18.3</v>
      </c>
      <c r="D716" s="3" t="n">
        <v>18.55</v>
      </c>
      <c r="E716" s="3" t="n">
        <v>24.12</v>
      </c>
      <c r="F716" s="3" t="n">
        <v>50.27</v>
      </c>
      <c r="G716" s="3" t="n">
        <v>6611.82</v>
      </c>
    </row>
    <row r="717">
      <c r="A717" s="2" t="n">
        <v>46119</v>
      </c>
      <c r="B717" s="3" t="n">
        <v>662.38</v>
      </c>
      <c r="C717" s="3" t="n">
        <v>18.05</v>
      </c>
      <c r="D717" s="3" t="n">
        <v>18.08</v>
      </c>
      <c r="E717" s="3" t="n">
        <v>23.7</v>
      </c>
      <c r="F717" s="3" t="n">
        <v>50.3</v>
      </c>
      <c r="G717" s="3" t="n">
        <v>6616.84</v>
      </c>
    </row>
    <row r="718">
      <c r="A718" s="2" t="n">
        <v>46120</v>
      </c>
      <c r="B718" s="3" t="n">
        <v>678.99</v>
      </c>
      <c r="C718" s="3" t="n">
        <v>18.17</v>
      </c>
      <c r="D718" s="3" t="n">
        <v>17.87</v>
      </c>
      <c r="E718" s="3" t="n">
        <v>23.11</v>
      </c>
      <c r="F718" s="3" t="n">
        <v>50.31</v>
      </c>
      <c r="G718" s="3" t="n">
        <v>6782.82</v>
      </c>
    </row>
    <row r="719">
      <c r="A719" s="2" t="n">
        <v>46121</v>
      </c>
      <c r="B719" s="3" t="n">
        <v>683.01</v>
      </c>
      <c r="C719" s="3" t="n">
        <v>18.01</v>
      </c>
      <c r="D719" s="3" t="n">
        <v>17.91</v>
      </c>
      <c r="E719" s="3" t="n">
        <v>22.98</v>
      </c>
      <c r="F719" s="3" t="n">
        <v>50.32</v>
      </c>
      <c r="G719" s="3" t="n">
        <v>6824.67</v>
      </c>
    </row>
    <row r="720">
      <c r="A720" s="2" t="n">
        <v>46122</v>
      </c>
      <c r="B720" s="3" t="n">
        <v>682.62</v>
      </c>
      <c r="C720" s="3" t="n">
        <v>18.09</v>
      </c>
      <c r="D720" s="3" t="n">
        <v>18.06</v>
      </c>
      <c r="E720" s="3" t="n">
        <v>23.13</v>
      </c>
      <c r="F720" s="3" t="n">
        <v>50.32</v>
      </c>
      <c r="G720" s="3" t="n">
        <v>6816.9</v>
      </c>
    </row>
    <row r="721">
      <c r="A721" s="2" t="n">
        <v>46125</v>
      </c>
      <c r="B721" s="3" t="n">
        <v>689.54</v>
      </c>
      <c r="C721" s="3" t="n">
        <v>18.19</v>
      </c>
      <c r="D721" s="3" t="n">
        <v>18.26</v>
      </c>
      <c r="E721" s="3" t="n">
        <v>23.64</v>
      </c>
      <c r="F721" s="3" t="n">
        <v>50.33</v>
      </c>
      <c r="G721" s="3" t="n">
        <v>6886.23</v>
      </c>
    </row>
    <row r="722">
      <c r="A722" s="2" t="n">
        <v>46126</v>
      </c>
      <c r="B722" s="3" t="n">
        <v>697.6900000000001</v>
      </c>
      <c r="C722" s="3" t="n">
        <v>18.63</v>
      </c>
      <c r="D722" s="3" t="n">
        <v>18.69</v>
      </c>
      <c r="E722" s="3" t="n">
        <v>24.14</v>
      </c>
      <c r="F722" s="3" t="n">
        <v>50.33</v>
      </c>
      <c r="G722" s="3" t="n">
        <v>6967.39</v>
      </c>
    </row>
    <row r="723">
      <c r="A723" s="2" t="n">
        <v>46127</v>
      </c>
      <c r="B723" s="3" t="n">
        <v>703.1900000000001</v>
      </c>
      <c r="C723" s="3" t="n">
        <v>18.97</v>
      </c>
      <c r="D723" s="3" t="n">
        <v>19.2</v>
      </c>
      <c r="E723" s="3" t="n">
        <v>24.77</v>
      </c>
      <c r="F723" s="3" t="n">
        <v>50.35</v>
      </c>
      <c r="G723" s="3" t="n">
        <v>7022.96</v>
      </c>
    </row>
    <row r="724">
      <c r="A724" s="2" t="n">
        <v>46128</v>
      </c>
      <c r="B724" s="3" t="n">
        <v>704.74</v>
      </c>
      <c r="C724" s="3" t="n">
        <v>18.78</v>
      </c>
      <c r="D724" s="3" t="n">
        <v>19.22</v>
      </c>
      <c r="E724" s="3" t="n">
        <v>24.54</v>
      </c>
      <c r="F724" s="3" t="n">
        <v>50.34</v>
      </c>
      <c r="G724" s="3" t="n">
        <v>7041.29</v>
      </c>
    </row>
    <row r="725">
      <c r="A725" s="2" t="n">
        <v>46129</v>
      </c>
      <c r="B725" s="3" t="n">
        <v>713.36</v>
      </c>
      <c r="C725" s="3" t="n">
        <v>19.09</v>
      </c>
      <c r="D725" s="3" t="n">
        <v>19.42</v>
      </c>
      <c r="E725" s="3" t="n">
        <v>24.67</v>
      </c>
      <c r="F725" s="3" t="n">
        <v>50.38</v>
      </c>
      <c r="G725" s="3" t="n">
        <v>7126.05</v>
      </c>
    </row>
    <row r="726">
      <c r="A726" s="2" t="n">
        <v>46132</v>
      </c>
      <c r="B726" s="3" t="n">
        <v>712.09</v>
      </c>
      <c r="C726" s="3" t="n">
        <v>19.12</v>
      </c>
      <c r="D726" s="3" t="n">
        <v>19.24</v>
      </c>
      <c r="E726" s="3" t="n">
        <v>24.74</v>
      </c>
      <c r="F726" s="3" t="n">
        <v>50.39</v>
      </c>
      <c r="G726" s="3" t="n">
        <v>7109.13</v>
      </c>
    </row>
    <row r="727">
      <c r="A727" s="2" t="n">
        <v>46133</v>
      </c>
      <c r="B727" s="3" t="n">
        <v>707.23</v>
      </c>
      <c r="C727" s="3" t="n">
        <v>18.96</v>
      </c>
      <c r="D727" s="3" t="n">
        <v>18.97</v>
      </c>
      <c r="E727" s="3" t="n">
        <v>24.17</v>
      </c>
      <c r="F727" s="3" t="n">
        <v>50.38</v>
      </c>
      <c r="G727" s="3" t="n">
        <v>7064.02</v>
      </c>
    </row>
    <row r="728">
      <c r="A728" s="2" t="n">
        <v>46134</v>
      </c>
      <c r="B728" s="3" t="n">
        <v>714.5599999999999</v>
      </c>
      <c r="C728" s="3" t="n">
        <v>19.1</v>
      </c>
      <c r="D728" s="3" t="n">
        <v>18.93</v>
      </c>
      <c r="E728" s="3" t="n">
        <v>24.15</v>
      </c>
      <c r="F728" s="3" t="n">
        <v>50.38</v>
      </c>
      <c r="G728" s="3" t="n">
        <v>7137.89</v>
      </c>
    </row>
    <row r="729">
      <c r="A729" s="2" t="n">
        <v>46135</v>
      </c>
      <c r="B729" s="3" t="n">
        <v>711.74</v>
      </c>
      <c r="C729" s="3" t="n">
        <v>18.62</v>
      </c>
      <c r="D729" s="3" t="n">
        <v>18.55</v>
      </c>
      <c r="E729" s="3" t="n">
        <v>23.72</v>
      </c>
      <c r="F729" s="3" t="n">
        <v>50.39</v>
      </c>
      <c r="G729" s="3" t="n">
        <v>7108.41</v>
      </c>
    </row>
    <row r="730">
      <c r="A730" s="2" t="n">
        <v>46136</v>
      </c>
      <c r="B730" s="3" t="n">
        <v>717.28</v>
      </c>
      <c r="C730" s="3" t="n">
        <v>18.67</v>
      </c>
      <c r="D730" s="3" t="n">
        <v>18.69</v>
      </c>
      <c r="E730" s="3" t="n">
        <v>23.4</v>
      </c>
      <c r="F730" s="3" t="n">
        <v>50.42</v>
      </c>
      <c r="G730" s="3" t="n">
        <v>7165.07</v>
      </c>
    </row>
    <row r="731">
      <c r="A731" s="2" t="n">
        <v>46139</v>
      </c>
      <c r="B731" s="3" t="n">
        <v>718.5</v>
      </c>
      <c r="C731" s="3" t="n">
        <v>18.61</v>
      </c>
      <c r="D731" s="3" t="n">
        <v>18.81</v>
      </c>
      <c r="E731" s="3" t="n">
        <v>23.78</v>
      </c>
      <c r="F731" s="3" t="n">
        <v>50.41</v>
      </c>
      <c r="G731" s="3" t="n">
        <v>7173.92</v>
      </c>
    </row>
    <row r="732">
      <c r="A732" s="2" t="n">
        <v>46140</v>
      </c>
      <c r="B732" s="3" t="n">
        <v>714.96</v>
      </c>
      <c r="C732" s="3" t="n">
        <v>18.92</v>
      </c>
      <c r="D732" s="3" t="n">
        <v>19.01</v>
      </c>
      <c r="E732" s="3" t="n">
        <v>23.95</v>
      </c>
      <c r="F732" s="3" t="n">
        <v>50.42</v>
      </c>
      <c r="G732" s="3" t="n">
        <v>7138.81</v>
      </c>
    </row>
    <row r="733">
      <c r="A733" s="2" t="n">
        <v>46141</v>
      </c>
      <c r="B733" s="3" t="n">
        <v>714.89</v>
      </c>
      <c r="C733" s="3" t="n">
        <v>18.67</v>
      </c>
      <c r="D733" s="3" t="n">
        <v>18.94</v>
      </c>
      <c r="E733" s="3" t="n">
        <v>23.94</v>
      </c>
      <c r="F733" s="3" t="n">
        <v>50.41</v>
      </c>
      <c r="G733" s="3" t="n">
        <v>7135.96</v>
      </c>
    </row>
    <row r="734">
      <c r="A734" s="2" t="n">
        <v>46142</v>
      </c>
      <c r="B734" s="3" t="n">
        <v>722.0700000000001</v>
      </c>
      <c r="C734" s="3" t="n">
        <v>19.16</v>
      </c>
      <c r="D734" s="3" t="n">
        <v>19.6</v>
      </c>
      <c r="E734" s="3" t="n">
        <v>24.8</v>
      </c>
      <c r="F734" s="3" t="n">
        <v>50.42</v>
      </c>
      <c r="G734" s="3" t="n">
        <v>7209.02</v>
      </c>
    </row>
    <row r="735">
      <c r="A735" s="2" t="n">
        <v>46143</v>
      </c>
      <c r="B735" s="3" t="n">
        <v>724.01</v>
      </c>
      <c r="C735" s="3" t="n">
        <v>19.25</v>
      </c>
      <c r="D735" s="3" t="n">
        <v>19.65</v>
      </c>
      <c r="E735" s="3" t="n">
        <v>24.94</v>
      </c>
      <c r="F735" s="3" t="n">
        <v>50.45</v>
      </c>
      <c r="G735" s="3" t="n">
        <v>7230.11</v>
      </c>
    </row>
    <row r="736">
      <c r="A736" s="2" t="n">
        <v>46146</v>
      </c>
      <c r="B736" s="3" t="n">
        <v>721.39</v>
      </c>
      <c r="C736" s="3" t="n">
        <v>19.18</v>
      </c>
      <c r="D736" s="3" t="n">
        <v>19.76</v>
      </c>
      <c r="E736" s="3" t="n">
        <v>24.72</v>
      </c>
      <c r="F736" s="3" t="n">
        <v>50.43</v>
      </c>
      <c r="G736" s="3" t="n">
        <v>7200.76</v>
      </c>
    </row>
    <row r="737">
      <c r="A737" s="2" t="n">
        <v>46147</v>
      </c>
      <c r="B737" s="3" t="n">
        <v>726.98</v>
      </c>
      <c r="C737" s="3" t="n">
        <v>19.35</v>
      </c>
      <c r="D737" s="3" t="n">
        <v>19.6</v>
      </c>
      <c r="E737" s="3" t="n">
        <v>24.94</v>
      </c>
      <c r="F737" s="3" t="n">
        <v>50.46</v>
      </c>
      <c r="G737" s="3" t="n">
        <v>7259.21</v>
      </c>
    </row>
    <row r="738">
      <c r="A738" s="2" t="n">
        <v>46148</v>
      </c>
      <c r="B738" s="3" t="n">
        <v>737.41</v>
      </c>
      <c r="C738" s="3" t="n">
        <v>19.16</v>
      </c>
      <c r="D738" s="3" t="n">
        <v>17.91</v>
      </c>
      <c r="E738" s="3" t="n">
        <v>24.55</v>
      </c>
      <c r="F738" s="3" t="n">
        <v>50.48</v>
      </c>
      <c r="G738" s="3" t="n">
        <v>7365.11</v>
      </c>
    </row>
    <row r="739">
      <c r="A739" s="2" t="n">
        <v>46149</v>
      </c>
      <c r="B739" s="3" t="n">
        <v>734.96</v>
      </c>
      <c r="C739" s="3" t="n">
        <v>18.96</v>
      </c>
      <c r="D739" s="3" t="n">
        <v>17.89</v>
      </c>
      <c r="E739" s="3" t="n">
        <v>24.36</v>
      </c>
      <c r="F739" s="3" t="n">
        <v>50.49</v>
      </c>
      <c r="G739" s="3" t="n">
        <v>7337.1</v>
      </c>
    </row>
    <row r="740">
      <c r="A740" s="2" t="n">
        <v>46150</v>
      </c>
      <c r="B740" s="3" t="n">
        <v>740.97</v>
      </c>
      <c r="C740" s="3" t="n">
        <v>19.01</v>
      </c>
      <c r="D740" s="3" t="n">
        <v>17.94</v>
      </c>
      <c r="E740" s="3" t="n">
        <v>24.18</v>
      </c>
      <c r="F740" s="3" t="n">
        <v>50.5</v>
      </c>
      <c r="G740" s="3" t="n">
        <v>7398.92</v>
      </c>
    </row>
    <row r="741">
      <c r="A741" s="2" t="n">
        <v>46153</v>
      </c>
      <c r="B741" s="3" t="n">
        <v>742.75</v>
      </c>
      <c r="C741" s="3" t="n">
        <v>18.68</v>
      </c>
      <c r="D741" s="3" t="n">
        <v>17.4</v>
      </c>
      <c r="E741" s="3" t="n">
        <v>23.62</v>
      </c>
      <c r="F741" s="3" t="n">
        <v>50.5</v>
      </c>
      <c r="G741" s="3" t="n">
        <v>7412.85</v>
      </c>
    </row>
    <row r="742">
      <c r="A742" s="2" t="n">
        <v>46154</v>
      </c>
      <c r="B742" s="3" t="n">
        <v>741.61</v>
      </c>
      <c r="C742" s="3" t="n">
        <v>18.77</v>
      </c>
      <c r="D742" s="3" t="n">
        <v>17.63</v>
      </c>
      <c r="E742" s="3" t="n">
        <v>23.77</v>
      </c>
      <c r="F742" s="3" t="n">
        <v>50.5</v>
      </c>
      <c r="G742" s="3" t="n">
        <v>7400.97</v>
      </c>
    </row>
    <row r="743">
      <c r="A743" s="2" t="n">
        <v>46155</v>
      </c>
      <c r="B743" s="3" t="n">
        <v>745.74</v>
      </c>
      <c r="C743" s="3" t="n">
        <v>18.78</v>
      </c>
      <c r="D743" s="3" t="n">
        <v>17.35</v>
      </c>
      <c r="E743" s="3" t="n">
        <v>23.73</v>
      </c>
      <c r="F743" s="3" t="n">
        <v>50.52</v>
      </c>
      <c r="G743" s="3" t="n">
        <v>7444.26</v>
      </c>
    </row>
    <row r="744">
      <c r="A744" s="2" t="n">
        <v>46156</v>
      </c>
      <c r="B744" s="3" t="n">
        <v>751.5599999999999</v>
      </c>
      <c r="C744" s="3" t="n">
        <v>18.94</v>
      </c>
      <c r="D744" s="3" t="n">
        <v>17.91</v>
      </c>
      <c r="E744" s="3" t="n">
        <v>24.11</v>
      </c>
      <c r="F744" s="3" t="n">
        <v>50.51</v>
      </c>
      <c r="G744" s="3" t="n">
        <v>7501.25</v>
      </c>
    </row>
    <row r="745">
      <c r="A745" s="2" t="n">
        <v>46157</v>
      </c>
      <c r="B745" s="3" t="n">
        <v>742.45</v>
      </c>
      <c r="C745" s="3" t="n">
        <v>18.9</v>
      </c>
      <c r="D745" s="3" t="n">
        <v>17.73</v>
      </c>
      <c r="E745" s="3" t="n">
        <v>24.02</v>
      </c>
      <c r="F745" s="3" t="n">
        <v>50.5</v>
      </c>
      <c r="G745" s="3" t="n">
        <v>7408.49</v>
      </c>
    </row>
    <row r="746">
      <c r="A746" s="2" t="n">
        <v>46160</v>
      </c>
      <c r="B746" s="3" t="n">
        <v>741.91</v>
      </c>
      <c r="C746" s="3" t="n">
        <v>18.72</v>
      </c>
      <c r="D746" s="3" t="n">
        <v>17.8</v>
      </c>
      <c r="E746" s="3" t="n">
        <v>23.67</v>
      </c>
      <c r="F746" s="3" t="n">
        <v>50.5</v>
      </c>
      <c r="G746" s="3" t="n">
        <v>7403.04</v>
      </c>
    </row>
    <row r="747">
      <c r="A747" s="2" t="n">
        <v>46161</v>
      </c>
      <c r="B747" s="3" t="n">
        <v>737.1900000000001</v>
      </c>
      <c r="C747" s="3" t="n">
        <v>18.57</v>
      </c>
      <c r="D747" s="3" t="n">
        <v>17.58</v>
      </c>
      <c r="E747" s="3" t="n">
        <v>23.53</v>
      </c>
      <c r="F747" s="3" t="n">
        <v>50.49</v>
      </c>
      <c r="G747" s="3" t="n">
        <v>7353.62</v>
      </c>
    </row>
    <row r="748">
      <c r="A748" s="2" t="n">
        <v>46162</v>
      </c>
      <c r="B748" s="3" t="n">
        <v>744.79</v>
      </c>
      <c r="C748" s="3" t="n">
        <v>18.7</v>
      </c>
      <c r="D748" s="3" t="n">
        <v>17.44</v>
      </c>
      <c r="E748" s="3" t="n">
        <v>23.72</v>
      </c>
      <c r="F748" s="3" t="n">
        <v>50.53</v>
      </c>
      <c r="G748" s="3" t="n">
        <v>7432.96</v>
      </c>
    </row>
    <row r="749">
      <c r="A749" s="2" t="n">
        <v>46163</v>
      </c>
      <c r="B749" s="3" t="n">
        <v>746.1799999999999</v>
      </c>
      <c r="C749" s="3" t="n">
        <v>18.74</v>
      </c>
      <c r="D749" s="3" t="n">
        <v>17.36</v>
      </c>
      <c r="E749" s="3" t="n">
        <v>23.55</v>
      </c>
      <c r="F749" s="3" t="n">
        <v>50.54</v>
      </c>
      <c r="G749" s="3" t="n">
        <v>7445.73</v>
      </c>
    </row>
    <row r="750">
      <c r="A750" s="2" t="n">
        <v>46164</v>
      </c>
      <c r="B750" s="3" t="n">
        <v>749.14</v>
      </c>
      <c r="C750" s="3" t="n">
        <v>18.59</v>
      </c>
      <c r="D750" s="3" t="n">
        <v>17.16</v>
      </c>
      <c r="E750" s="3" t="n">
        <v>23.33</v>
      </c>
      <c r="F750" s="3" t="n">
        <v>50.53</v>
      </c>
      <c r="G750" s="3" t="n">
        <v>7473.48</v>
      </c>
    </row>
    <row r="751">
      <c r="A751" s="2" t="n">
        <v>46168</v>
      </c>
      <c r="B751" s="3" t="n">
        <v>754.03</v>
      </c>
      <c r="C751" s="3" t="n">
        <v>18.82</v>
      </c>
      <c r="D751" s="3" t="n">
        <v>17.21</v>
      </c>
      <c r="E751" s="3" t="n">
        <v>23.68</v>
      </c>
      <c r="F751" s="3" t="n">
        <v>50.56</v>
      </c>
      <c r="G751" s="3" t="n">
        <v>7519.11</v>
      </c>
    </row>
    <row r="752">
      <c r="A752" s="2" t="n">
        <v>46169</v>
      </c>
      <c r="B752" s="3" t="n">
        <v>754.17</v>
      </c>
      <c r="C752" s="3" t="n">
        <v>18.86</v>
      </c>
      <c r="D752" s="3" t="n">
        <v>17.26</v>
      </c>
      <c r="E752" s="3" t="n">
        <v>23.63</v>
      </c>
      <c r="F752" s="3" t="n">
        <v>50.58</v>
      </c>
      <c r="G752" s="3" t="n">
        <v>7520.37</v>
      </c>
    </row>
    <row r="753">
      <c r="A753" s="2" t="n">
        <v>46170</v>
      </c>
      <c r="B753" s="3" t="n">
        <v>758.17</v>
      </c>
      <c r="C753" s="3" t="n">
        <v>18.81</v>
      </c>
      <c r="D753" s="3" t="n">
        <v>17.35</v>
      </c>
      <c r="E753" s="3" t="n">
        <v>23.53</v>
      </c>
      <c r="F753" s="3" t="n">
        <v>50.58</v>
      </c>
      <c r="G753" s="3" t="n">
        <v>7563.62</v>
      </c>
    </row>
    <row r="754">
      <c r="A754" s="2" t="n">
        <v>46171</v>
      </c>
      <c r="B754" s="3" t="n">
        <v>760.05</v>
      </c>
      <c r="C754" s="3" t="n">
        <v>18.99</v>
      </c>
      <c r="D754" s="3" t="n">
        <v>17.23</v>
      </c>
      <c r="E754" s="3" t="n">
        <v>23.73</v>
      </c>
      <c r="F754" s="3" t="n">
        <v>50.62</v>
      </c>
      <c r="G754" s="3" t="n">
        <v>7580.05</v>
      </c>
    </row>
    <row r="756">
      <c r="A756" s="4" t="inlineStr">
        <is>
          <t>DAILY RETURNS</t>
        </is>
      </c>
      <c r="B756" s="4" t="n"/>
      <c r="C756" s="4" t="n"/>
      <c r="D756" s="4" t="n"/>
      <c r="E756" s="4" t="n"/>
      <c r="F756" s="4" t="n"/>
      <c r="G756" s="4" t="n"/>
    </row>
    <row r="757">
      <c r="A757" s="1" t="inlineStr">
        <is>
          <t>Date</t>
        </is>
      </c>
      <c r="B757" s="1" t="inlineStr">
        <is>
          <t>IVV</t>
        </is>
      </c>
      <c r="C757" s="1" t="inlineStr">
        <is>
          <t>ARCC</t>
        </is>
      </c>
      <c r="D757" s="1" t="inlineStr">
        <is>
          <t>TSLX</t>
        </is>
      </c>
      <c r="E757" s="1" t="inlineStr">
        <is>
          <t>BXSL</t>
        </is>
      </c>
      <c r="F757" s="1" t="inlineStr">
        <is>
          <t>JPST</t>
        </is>
      </c>
      <c r="G757" s="1" t="inlineStr">
        <is>
          <t>S&amp;P 500</t>
        </is>
      </c>
    </row>
    <row r="758">
      <c r="A758" s="2">
        <f>A3</f>
        <v/>
      </c>
      <c r="B758" s="5">
        <f>B3/B2-1</f>
        <v/>
      </c>
      <c r="C758" s="5">
        <f>C3/C2-1</f>
        <v/>
      </c>
      <c r="D758" s="5">
        <f>D3/D2-1</f>
        <v/>
      </c>
      <c r="E758" s="5">
        <f>E3/E2-1</f>
        <v/>
      </c>
      <c r="F758" s="5">
        <f>F3/F2-1</f>
        <v/>
      </c>
      <c r="G758" s="5">
        <f>G3/G2-1</f>
        <v/>
      </c>
    </row>
    <row r="759">
      <c r="A759" s="2">
        <f>A4</f>
        <v/>
      </c>
      <c r="B759" s="5">
        <f>B4/B3-1</f>
        <v/>
      </c>
      <c r="C759" s="5">
        <f>C4/C3-1</f>
        <v/>
      </c>
      <c r="D759" s="5">
        <f>D4/D3-1</f>
        <v/>
      </c>
      <c r="E759" s="5">
        <f>E4/E3-1</f>
        <v/>
      </c>
      <c r="F759" s="5">
        <f>F4/F3-1</f>
        <v/>
      </c>
      <c r="G759" s="5">
        <f>G4/G3-1</f>
        <v/>
      </c>
    </row>
    <row r="760">
      <c r="A760" s="2">
        <f>A5</f>
        <v/>
      </c>
      <c r="B760" s="5">
        <f>B5/B4-1</f>
        <v/>
      </c>
      <c r="C760" s="5">
        <f>C5/C4-1</f>
        <v/>
      </c>
      <c r="D760" s="5">
        <f>D5/D4-1</f>
        <v/>
      </c>
      <c r="E760" s="5">
        <f>E5/E4-1</f>
        <v/>
      </c>
      <c r="F760" s="5">
        <f>F5/F4-1</f>
        <v/>
      </c>
      <c r="G760" s="5">
        <f>G5/G4-1</f>
        <v/>
      </c>
    </row>
    <row r="761">
      <c r="A761" s="2">
        <f>A6</f>
        <v/>
      </c>
      <c r="B761" s="5">
        <f>B6/B5-1</f>
        <v/>
      </c>
      <c r="C761" s="5">
        <f>C6/C5-1</f>
        <v/>
      </c>
      <c r="D761" s="5">
        <f>D6/D5-1</f>
        <v/>
      </c>
      <c r="E761" s="5">
        <f>E6/E5-1</f>
        <v/>
      </c>
      <c r="F761" s="5">
        <f>F6/F5-1</f>
        <v/>
      </c>
      <c r="G761" s="5">
        <f>G6/G5-1</f>
        <v/>
      </c>
    </row>
    <row r="762">
      <c r="A762" s="2">
        <f>A7</f>
        <v/>
      </c>
      <c r="B762" s="5">
        <f>B7/B6-1</f>
        <v/>
      </c>
      <c r="C762" s="5">
        <f>C7/C6-1</f>
        <v/>
      </c>
      <c r="D762" s="5">
        <f>D7/D6-1</f>
        <v/>
      </c>
      <c r="E762" s="5">
        <f>E7/E6-1</f>
        <v/>
      </c>
      <c r="F762" s="5">
        <f>F7/F6-1</f>
        <v/>
      </c>
      <c r="G762" s="5">
        <f>G7/G6-1</f>
        <v/>
      </c>
    </row>
    <row r="763">
      <c r="A763" s="2">
        <f>A8</f>
        <v/>
      </c>
      <c r="B763" s="5">
        <f>B8/B7-1</f>
        <v/>
      </c>
      <c r="C763" s="5">
        <f>C8/C7-1</f>
        <v/>
      </c>
      <c r="D763" s="5">
        <f>D8/D7-1</f>
        <v/>
      </c>
      <c r="E763" s="5">
        <f>E8/E7-1</f>
        <v/>
      </c>
      <c r="F763" s="5">
        <f>F8/F7-1</f>
        <v/>
      </c>
      <c r="G763" s="5">
        <f>G8/G7-1</f>
        <v/>
      </c>
    </row>
    <row r="764">
      <c r="A764" s="2">
        <f>A9</f>
        <v/>
      </c>
      <c r="B764" s="5">
        <f>B9/B8-1</f>
        <v/>
      </c>
      <c r="C764" s="5">
        <f>C9/C8-1</f>
        <v/>
      </c>
      <c r="D764" s="5">
        <f>D9/D8-1</f>
        <v/>
      </c>
      <c r="E764" s="5">
        <f>E9/E8-1</f>
        <v/>
      </c>
      <c r="F764" s="5">
        <f>F9/F8-1</f>
        <v/>
      </c>
      <c r="G764" s="5">
        <f>G9/G8-1</f>
        <v/>
      </c>
    </row>
    <row r="765">
      <c r="A765" s="2">
        <f>A10</f>
        <v/>
      </c>
      <c r="B765" s="5">
        <f>B10/B9-1</f>
        <v/>
      </c>
      <c r="C765" s="5">
        <f>C10/C9-1</f>
        <v/>
      </c>
      <c r="D765" s="5">
        <f>D10/D9-1</f>
        <v/>
      </c>
      <c r="E765" s="5">
        <f>E10/E9-1</f>
        <v/>
      </c>
      <c r="F765" s="5">
        <f>F10/F9-1</f>
        <v/>
      </c>
      <c r="G765" s="5">
        <f>G10/G9-1</f>
        <v/>
      </c>
    </row>
    <row r="766">
      <c r="A766" s="2">
        <f>A11</f>
        <v/>
      </c>
      <c r="B766" s="5">
        <f>B11/B10-1</f>
        <v/>
      </c>
      <c r="C766" s="5">
        <f>C11/C10-1</f>
        <v/>
      </c>
      <c r="D766" s="5">
        <f>D11/D10-1</f>
        <v/>
      </c>
      <c r="E766" s="5">
        <f>E11/E10-1</f>
        <v/>
      </c>
      <c r="F766" s="5">
        <f>F11/F10-1</f>
        <v/>
      </c>
      <c r="G766" s="5">
        <f>G11/G10-1</f>
        <v/>
      </c>
    </row>
    <row r="767">
      <c r="A767" s="2">
        <f>A12</f>
        <v/>
      </c>
      <c r="B767" s="5">
        <f>B12/B11-1</f>
        <v/>
      </c>
      <c r="C767" s="5">
        <f>C12/C11-1</f>
        <v/>
      </c>
      <c r="D767" s="5">
        <f>D12/D11-1</f>
        <v/>
      </c>
      <c r="E767" s="5">
        <f>E12/E11-1</f>
        <v/>
      </c>
      <c r="F767" s="5">
        <f>F12/F11-1</f>
        <v/>
      </c>
      <c r="G767" s="5">
        <f>G12/G11-1</f>
        <v/>
      </c>
    </row>
    <row r="768">
      <c r="A768" s="2">
        <f>A13</f>
        <v/>
      </c>
      <c r="B768" s="5">
        <f>B13/B12-1</f>
        <v/>
      </c>
      <c r="C768" s="5">
        <f>C13/C12-1</f>
        <v/>
      </c>
      <c r="D768" s="5">
        <f>D13/D12-1</f>
        <v/>
      </c>
      <c r="E768" s="5">
        <f>E13/E12-1</f>
        <v/>
      </c>
      <c r="F768" s="5">
        <f>F13/F12-1</f>
        <v/>
      </c>
      <c r="G768" s="5">
        <f>G13/G12-1</f>
        <v/>
      </c>
    </row>
    <row r="769">
      <c r="A769" s="2">
        <f>A14</f>
        <v/>
      </c>
      <c r="B769" s="5">
        <f>B14/B13-1</f>
        <v/>
      </c>
      <c r="C769" s="5">
        <f>C14/C13-1</f>
        <v/>
      </c>
      <c r="D769" s="5">
        <f>D14/D13-1</f>
        <v/>
      </c>
      <c r="E769" s="5">
        <f>E14/E13-1</f>
        <v/>
      </c>
      <c r="F769" s="5">
        <f>F14/F13-1</f>
        <v/>
      </c>
      <c r="G769" s="5">
        <f>G14/G13-1</f>
        <v/>
      </c>
    </row>
    <row r="770">
      <c r="A770" s="2">
        <f>A15</f>
        <v/>
      </c>
      <c r="B770" s="5">
        <f>B15/B14-1</f>
        <v/>
      </c>
      <c r="C770" s="5">
        <f>C15/C14-1</f>
        <v/>
      </c>
      <c r="D770" s="5">
        <f>D15/D14-1</f>
        <v/>
      </c>
      <c r="E770" s="5">
        <f>E15/E14-1</f>
        <v/>
      </c>
      <c r="F770" s="5">
        <f>F15/F14-1</f>
        <v/>
      </c>
      <c r="G770" s="5">
        <f>G15/G14-1</f>
        <v/>
      </c>
    </row>
    <row r="771">
      <c r="A771" s="2">
        <f>A16</f>
        <v/>
      </c>
      <c r="B771" s="5">
        <f>B16/B15-1</f>
        <v/>
      </c>
      <c r="C771" s="5">
        <f>C16/C15-1</f>
        <v/>
      </c>
      <c r="D771" s="5">
        <f>D16/D15-1</f>
        <v/>
      </c>
      <c r="E771" s="5">
        <f>E16/E15-1</f>
        <v/>
      </c>
      <c r="F771" s="5">
        <f>F16/F15-1</f>
        <v/>
      </c>
      <c r="G771" s="5">
        <f>G16/G15-1</f>
        <v/>
      </c>
    </row>
    <row r="772">
      <c r="A772" s="2">
        <f>A17</f>
        <v/>
      </c>
      <c r="B772" s="5">
        <f>B17/B16-1</f>
        <v/>
      </c>
      <c r="C772" s="5">
        <f>C17/C16-1</f>
        <v/>
      </c>
      <c r="D772" s="5">
        <f>D17/D16-1</f>
        <v/>
      </c>
      <c r="E772" s="5">
        <f>E17/E16-1</f>
        <v/>
      </c>
      <c r="F772" s="5">
        <f>F17/F16-1</f>
        <v/>
      </c>
      <c r="G772" s="5">
        <f>G17/G16-1</f>
        <v/>
      </c>
    </row>
    <row r="773">
      <c r="A773" s="2">
        <f>A18</f>
        <v/>
      </c>
      <c r="B773" s="5">
        <f>B18/B17-1</f>
        <v/>
      </c>
      <c r="C773" s="5">
        <f>C18/C17-1</f>
        <v/>
      </c>
      <c r="D773" s="5">
        <f>D18/D17-1</f>
        <v/>
      </c>
      <c r="E773" s="5">
        <f>E18/E17-1</f>
        <v/>
      </c>
      <c r="F773" s="5">
        <f>F18/F17-1</f>
        <v/>
      </c>
      <c r="G773" s="5">
        <f>G18/G17-1</f>
        <v/>
      </c>
    </row>
    <row r="774">
      <c r="A774" s="2">
        <f>A19</f>
        <v/>
      </c>
      <c r="B774" s="5">
        <f>B19/B18-1</f>
        <v/>
      </c>
      <c r="C774" s="5">
        <f>C19/C18-1</f>
        <v/>
      </c>
      <c r="D774" s="5">
        <f>D19/D18-1</f>
        <v/>
      </c>
      <c r="E774" s="5">
        <f>E19/E18-1</f>
        <v/>
      </c>
      <c r="F774" s="5">
        <f>F19/F18-1</f>
        <v/>
      </c>
      <c r="G774" s="5">
        <f>G19/G18-1</f>
        <v/>
      </c>
    </row>
    <row r="775">
      <c r="A775" s="2">
        <f>A20</f>
        <v/>
      </c>
      <c r="B775" s="5">
        <f>B20/B19-1</f>
        <v/>
      </c>
      <c r="C775" s="5">
        <f>C20/C19-1</f>
        <v/>
      </c>
      <c r="D775" s="5">
        <f>D20/D19-1</f>
        <v/>
      </c>
      <c r="E775" s="5">
        <f>E20/E19-1</f>
        <v/>
      </c>
      <c r="F775" s="5">
        <f>F20/F19-1</f>
        <v/>
      </c>
      <c r="G775" s="5">
        <f>G20/G19-1</f>
        <v/>
      </c>
    </row>
    <row r="776">
      <c r="A776" s="2">
        <f>A21</f>
        <v/>
      </c>
      <c r="B776" s="5">
        <f>B21/B20-1</f>
        <v/>
      </c>
      <c r="C776" s="5">
        <f>C21/C20-1</f>
        <v/>
      </c>
      <c r="D776" s="5">
        <f>D21/D20-1</f>
        <v/>
      </c>
      <c r="E776" s="5">
        <f>E21/E20-1</f>
        <v/>
      </c>
      <c r="F776" s="5">
        <f>F21/F20-1</f>
        <v/>
      </c>
      <c r="G776" s="5">
        <f>G21/G20-1</f>
        <v/>
      </c>
    </row>
    <row r="777">
      <c r="A777" s="2">
        <f>A22</f>
        <v/>
      </c>
      <c r="B777" s="5">
        <f>B22/B21-1</f>
        <v/>
      </c>
      <c r="C777" s="5">
        <f>C22/C21-1</f>
        <v/>
      </c>
      <c r="D777" s="5">
        <f>D22/D21-1</f>
        <v/>
      </c>
      <c r="E777" s="5">
        <f>E22/E21-1</f>
        <v/>
      </c>
      <c r="F777" s="5">
        <f>F22/F21-1</f>
        <v/>
      </c>
      <c r="G777" s="5">
        <f>G22/G21-1</f>
        <v/>
      </c>
    </row>
    <row r="778">
      <c r="A778" s="2">
        <f>A23</f>
        <v/>
      </c>
      <c r="B778" s="5">
        <f>B23/B22-1</f>
        <v/>
      </c>
      <c r="C778" s="5">
        <f>C23/C22-1</f>
        <v/>
      </c>
      <c r="D778" s="5">
        <f>D23/D22-1</f>
        <v/>
      </c>
      <c r="E778" s="5">
        <f>E23/E22-1</f>
        <v/>
      </c>
      <c r="F778" s="5">
        <f>F23/F22-1</f>
        <v/>
      </c>
      <c r="G778" s="5">
        <f>G23/G22-1</f>
        <v/>
      </c>
    </row>
    <row r="779">
      <c r="A779" s="2">
        <f>A24</f>
        <v/>
      </c>
      <c r="B779" s="5">
        <f>B24/B23-1</f>
        <v/>
      </c>
      <c r="C779" s="5">
        <f>C24/C23-1</f>
        <v/>
      </c>
      <c r="D779" s="5">
        <f>D24/D23-1</f>
        <v/>
      </c>
      <c r="E779" s="5">
        <f>E24/E23-1</f>
        <v/>
      </c>
      <c r="F779" s="5">
        <f>F24/F23-1</f>
        <v/>
      </c>
      <c r="G779" s="5">
        <f>G24/G23-1</f>
        <v/>
      </c>
    </row>
    <row r="780">
      <c r="A780" s="2">
        <f>A25</f>
        <v/>
      </c>
      <c r="B780" s="5">
        <f>B25/B24-1</f>
        <v/>
      </c>
      <c r="C780" s="5">
        <f>C25/C24-1</f>
        <v/>
      </c>
      <c r="D780" s="5">
        <f>D25/D24-1</f>
        <v/>
      </c>
      <c r="E780" s="5">
        <f>E25/E24-1</f>
        <v/>
      </c>
      <c r="F780" s="5">
        <f>F25/F24-1</f>
        <v/>
      </c>
      <c r="G780" s="5">
        <f>G25/G24-1</f>
        <v/>
      </c>
    </row>
    <row r="781">
      <c r="A781" s="2">
        <f>A26</f>
        <v/>
      </c>
      <c r="B781" s="5">
        <f>B26/B25-1</f>
        <v/>
      </c>
      <c r="C781" s="5">
        <f>C26/C25-1</f>
        <v/>
      </c>
      <c r="D781" s="5">
        <f>D26/D25-1</f>
        <v/>
      </c>
      <c r="E781" s="5">
        <f>E26/E25-1</f>
        <v/>
      </c>
      <c r="F781" s="5">
        <f>F26/F25-1</f>
        <v/>
      </c>
      <c r="G781" s="5">
        <f>G26/G25-1</f>
        <v/>
      </c>
    </row>
    <row r="782">
      <c r="A782" s="2">
        <f>A27</f>
        <v/>
      </c>
      <c r="B782" s="5">
        <f>B27/B26-1</f>
        <v/>
      </c>
      <c r="C782" s="5">
        <f>C27/C26-1</f>
        <v/>
      </c>
      <c r="D782" s="5">
        <f>D27/D26-1</f>
        <v/>
      </c>
      <c r="E782" s="5">
        <f>E27/E26-1</f>
        <v/>
      </c>
      <c r="F782" s="5">
        <f>F27/F26-1</f>
        <v/>
      </c>
      <c r="G782" s="5">
        <f>G27/G26-1</f>
        <v/>
      </c>
    </row>
    <row r="783">
      <c r="A783" s="2">
        <f>A28</f>
        <v/>
      </c>
      <c r="B783" s="5">
        <f>B28/B27-1</f>
        <v/>
      </c>
      <c r="C783" s="5">
        <f>C28/C27-1</f>
        <v/>
      </c>
      <c r="D783" s="5">
        <f>D28/D27-1</f>
        <v/>
      </c>
      <c r="E783" s="5">
        <f>E28/E27-1</f>
        <v/>
      </c>
      <c r="F783" s="5">
        <f>F28/F27-1</f>
        <v/>
      </c>
      <c r="G783" s="5">
        <f>G28/G27-1</f>
        <v/>
      </c>
    </row>
    <row r="784">
      <c r="A784" s="2">
        <f>A29</f>
        <v/>
      </c>
      <c r="B784" s="5">
        <f>B29/B28-1</f>
        <v/>
      </c>
      <c r="C784" s="5">
        <f>C29/C28-1</f>
        <v/>
      </c>
      <c r="D784" s="5">
        <f>D29/D28-1</f>
        <v/>
      </c>
      <c r="E784" s="5">
        <f>E29/E28-1</f>
        <v/>
      </c>
      <c r="F784" s="5">
        <f>F29/F28-1</f>
        <v/>
      </c>
      <c r="G784" s="5">
        <f>G29/G28-1</f>
        <v/>
      </c>
    </row>
    <row r="785">
      <c r="A785" s="2">
        <f>A30</f>
        <v/>
      </c>
      <c r="B785" s="5">
        <f>B30/B29-1</f>
        <v/>
      </c>
      <c r="C785" s="5">
        <f>C30/C29-1</f>
        <v/>
      </c>
      <c r="D785" s="5">
        <f>D30/D29-1</f>
        <v/>
      </c>
      <c r="E785" s="5">
        <f>E30/E29-1</f>
        <v/>
      </c>
      <c r="F785" s="5">
        <f>F30/F29-1</f>
        <v/>
      </c>
      <c r="G785" s="5">
        <f>G30/G29-1</f>
        <v/>
      </c>
    </row>
    <row r="786">
      <c r="A786" s="2">
        <f>A31</f>
        <v/>
      </c>
      <c r="B786" s="5">
        <f>B31/B30-1</f>
        <v/>
      </c>
      <c r="C786" s="5">
        <f>C31/C30-1</f>
        <v/>
      </c>
      <c r="D786" s="5">
        <f>D31/D30-1</f>
        <v/>
      </c>
      <c r="E786" s="5">
        <f>E31/E30-1</f>
        <v/>
      </c>
      <c r="F786" s="5">
        <f>F31/F30-1</f>
        <v/>
      </c>
      <c r="G786" s="5">
        <f>G31/G30-1</f>
        <v/>
      </c>
    </row>
    <row r="787">
      <c r="A787" s="2">
        <f>A32</f>
        <v/>
      </c>
      <c r="B787" s="5">
        <f>B32/B31-1</f>
        <v/>
      </c>
      <c r="C787" s="5">
        <f>C32/C31-1</f>
        <v/>
      </c>
      <c r="D787" s="5">
        <f>D32/D31-1</f>
        <v/>
      </c>
      <c r="E787" s="5">
        <f>E32/E31-1</f>
        <v/>
      </c>
      <c r="F787" s="5">
        <f>F32/F31-1</f>
        <v/>
      </c>
      <c r="G787" s="5">
        <f>G32/G31-1</f>
        <v/>
      </c>
    </row>
    <row r="788">
      <c r="A788" s="2">
        <f>A33</f>
        <v/>
      </c>
      <c r="B788" s="5">
        <f>B33/B32-1</f>
        <v/>
      </c>
      <c r="C788" s="5">
        <f>C33/C32-1</f>
        <v/>
      </c>
      <c r="D788" s="5">
        <f>D33/D32-1</f>
        <v/>
      </c>
      <c r="E788" s="5">
        <f>E33/E32-1</f>
        <v/>
      </c>
      <c r="F788" s="5">
        <f>F33/F32-1</f>
        <v/>
      </c>
      <c r="G788" s="5">
        <f>G33/G32-1</f>
        <v/>
      </c>
    </row>
    <row r="789">
      <c r="A789" s="2">
        <f>A34</f>
        <v/>
      </c>
      <c r="B789" s="5">
        <f>B34/B33-1</f>
        <v/>
      </c>
      <c r="C789" s="5">
        <f>C34/C33-1</f>
        <v/>
      </c>
      <c r="D789" s="5">
        <f>D34/D33-1</f>
        <v/>
      </c>
      <c r="E789" s="5">
        <f>E34/E33-1</f>
        <v/>
      </c>
      <c r="F789" s="5">
        <f>F34/F33-1</f>
        <v/>
      </c>
      <c r="G789" s="5">
        <f>G34/G33-1</f>
        <v/>
      </c>
    </row>
    <row r="790">
      <c r="A790" s="2">
        <f>A35</f>
        <v/>
      </c>
      <c r="B790" s="5">
        <f>B35/B34-1</f>
        <v/>
      </c>
      <c r="C790" s="5">
        <f>C35/C34-1</f>
        <v/>
      </c>
      <c r="D790" s="5">
        <f>D35/D34-1</f>
        <v/>
      </c>
      <c r="E790" s="5">
        <f>E35/E34-1</f>
        <v/>
      </c>
      <c r="F790" s="5">
        <f>F35/F34-1</f>
        <v/>
      </c>
      <c r="G790" s="5">
        <f>G35/G34-1</f>
        <v/>
      </c>
    </row>
    <row r="791">
      <c r="A791" s="2">
        <f>A36</f>
        <v/>
      </c>
      <c r="B791" s="5">
        <f>B36/B35-1</f>
        <v/>
      </c>
      <c r="C791" s="5">
        <f>C36/C35-1</f>
        <v/>
      </c>
      <c r="D791" s="5">
        <f>D36/D35-1</f>
        <v/>
      </c>
      <c r="E791" s="5">
        <f>E36/E35-1</f>
        <v/>
      </c>
      <c r="F791" s="5">
        <f>F36/F35-1</f>
        <v/>
      </c>
      <c r="G791" s="5">
        <f>G36/G35-1</f>
        <v/>
      </c>
    </row>
    <row r="792">
      <c r="A792" s="2">
        <f>A37</f>
        <v/>
      </c>
      <c r="B792" s="5">
        <f>B37/B36-1</f>
        <v/>
      </c>
      <c r="C792" s="5">
        <f>C37/C36-1</f>
        <v/>
      </c>
      <c r="D792" s="5">
        <f>D37/D36-1</f>
        <v/>
      </c>
      <c r="E792" s="5">
        <f>E37/E36-1</f>
        <v/>
      </c>
      <c r="F792" s="5">
        <f>F37/F36-1</f>
        <v/>
      </c>
      <c r="G792" s="5">
        <f>G37/G36-1</f>
        <v/>
      </c>
    </row>
    <row r="793">
      <c r="A793" s="2">
        <f>A38</f>
        <v/>
      </c>
      <c r="B793" s="5">
        <f>B38/B37-1</f>
        <v/>
      </c>
      <c r="C793" s="5">
        <f>C38/C37-1</f>
        <v/>
      </c>
      <c r="D793" s="5">
        <f>D38/D37-1</f>
        <v/>
      </c>
      <c r="E793" s="5">
        <f>E38/E37-1</f>
        <v/>
      </c>
      <c r="F793" s="5">
        <f>F38/F37-1</f>
        <v/>
      </c>
      <c r="G793" s="5">
        <f>G38/G37-1</f>
        <v/>
      </c>
    </row>
    <row r="794">
      <c r="A794" s="2">
        <f>A39</f>
        <v/>
      </c>
      <c r="B794" s="5">
        <f>B39/B38-1</f>
        <v/>
      </c>
      <c r="C794" s="5">
        <f>C39/C38-1</f>
        <v/>
      </c>
      <c r="D794" s="5">
        <f>D39/D38-1</f>
        <v/>
      </c>
      <c r="E794" s="5">
        <f>E39/E38-1</f>
        <v/>
      </c>
      <c r="F794" s="5">
        <f>F39/F38-1</f>
        <v/>
      </c>
      <c r="G794" s="5">
        <f>G39/G38-1</f>
        <v/>
      </c>
    </row>
    <row r="795">
      <c r="A795" s="2">
        <f>A40</f>
        <v/>
      </c>
      <c r="B795" s="5">
        <f>B40/B39-1</f>
        <v/>
      </c>
      <c r="C795" s="5">
        <f>C40/C39-1</f>
        <v/>
      </c>
      <c r="D795" s="5">
        <f>D40/D39-1</f>
        <v/>
      </c>
      <c r="E795" s="5">
        <f>E40/E39-1</f>
        <v/>
      </c>
      <c r="F795" s="5">
        <f>F40/F39-1</f>
        <v/>
      </c>
      <c r="G795" s="5">
        <f>G40/G39-1</f>
        <v/>
      </c>
    </row>
    <row r="796">
      <c r="A796" s="2">
        <f>A41</f>
        <v/>
      </c>
      <c r="B796" s="5">
        <f>B41/B40-1</f>
        <v/>
      </c>
      <c r="C796" s="5">
        <f>C41/C40-1</f>
        <v/>
      </c>
      <c r="D796" s="5">
        <f>D41/D40-1</f>
        <v/>
      </c>
      <c r="E796" s="5">
        <f>E41/E40-1</f>
        <v/>
      </c>
      <c r="F796" s="5">
        <f>F41/F40-1</f>
        <v/>
      </c>
      <c r="G796" s="5">
        <f>G41/G40-1</f>
        <v/>
      </c>
    </row>
    <row r="797">
      <c r="A797" s="2">
        <f>A42</f>
        <v/>
      </c>
      <c r="B797" s="5">
        <f>B42/B41-1</f>
        <v/>
      </c>
      <c r="C797" s="5">
        <f>C42/C41-1</f>
        <v/>
      </c>
      <c r="D797" s="5">
        <f>D42/D41-1</f>
        <v/>
      </c>
      <c r="E797" s="5">
        <f>E42/E41-1</f>
        <v/>
      </c>
      <c r="F797" s="5">
        <f>F42/F41-1</f>
        <v/>
      </c>
      <c r="G797" s="5">
        <f>G42/G41-1</f>
        <v/>
      </c>
    </row>
    <row r="798">
      <c r="A798" s="2">
        <f>A43</f>
        <v/>
      </c>
      <c r="B798" s="5">
        <f>B43/B42-1</f>
        <v/>
      </c>
      <c r="C798" s="5">
        <f>C43/C42-1</f>
        <v/>
      </c>
      <c r="D798" s="5">
        <f>D43/D42-1</f>
        <v/>
      </c>
      <c r="E798" s="5">
        <f>E43/E42-1</f>
        <v/>
      </c>
      <c r="F798" s="5">
        <f>F43/F42-1</f>
        <v/>
      </c>
      <c r="G798" s="5">
        <f>G43/G42-1</f>
        <v/>
      </c>
    </row>
    <row r="799">
      <c r="A799" s="2">
        <f>A44</f>
        <v/>
      </c>
      <c r="B799" s="5">
        <f>B44/B43-1</f>
        <v/>
      </c>
      <c r="C799" s="5">
        <f>C44/C43-1</f>
        <v/>
      </c>
      <c r="D799" s="5">
        <f>D44/D43-1</f>
        <v/>
      </c>
      <c r="E799" s="5">
        <f>E44/E43-1</f>
        <v/>
      </c>
      <c r="F799" s="5">
        <f>F44/F43-1</f>
        <v/>
      </c>
      <c r="G799" s="5">
        <f>G44/G43-1</f>
        <v/>
      </c>
    </row>
    <row r="800">
      <c r="A800" s="2">
        <f>A45</f>
        <v/>
      </c>
      <c r="B800" s="5">
        <f>B45/B44-1</f>
        <v/>
      </c>
      <c r="C800" s="5">
        <f>C45/C44-1</f>
        <v/>
      </c>
      <c r="D800" s="5">
        <f>D45/D44-1</f>
        <v/>
      </c>
      <c r="E800" s="5">
        <f>E45/E44-1</f>
        <v/>
      </c>
      <c r="F800" s="5">
        <f>F45/F44-1</f>
        <v/>
      </c>
      <c r="G800" s="5">
        <f>G45/G44-1</f>
        <v/>
      </c>
    </row>
    <row r="801">
      <c r="A801" s="2">
        <f>A46</f>
        <v/>
      </c>
      <c r="B801" s="5">
        <f>B46/B45-1</f>
        <v/>
      </c>
      <c r="C801" s="5">
        <f>C46/C45-1</f>
        <v/>
      </c>
      <c r="D801" s="5">
        <f>D46/D45-1</f>
        <v/>
      </c>
      <c r="E801" s="5">
        <f>E46/E45-1</f>
        <v/>
      </c>
      <c r="F801" s="5">
        <f>F46/F45-1</f>
        <v/>
      </c>
      <c r="G801" s="5">
        <f>G46/G45-1</f>
        <v/>
      </c>
    </row>
    <row r="802">
      <c r="A802" s="2">
        <f>A47</f>
        <v/>
      </c>
      <c r="B802" s="5">
        <f>B47/B46-1</f>
        <v/>
      </c>
      <c r="C802" s="5">
        <f>C47/C46-1</f>
        <v/>
      </c>
      <c r="D802" s="5">
        <f>D47/D46-1</f>
        <v/>
      </c>
      <c r="E802" s="5">
        <f>E47/E46-1</f>
        <v/>
      </c>
      <c r="F802" s="5">
        <f>F47/F46-1</f>
        <v/>
      </c>
      <c r="G802" s="5">
        <f>G47/G46-1</f>
        <v/>
      </c>
    </row>
    <row r="803">
      <c r="A803" s="2">
        <f>A48</f>
        <v/>
      </c>
      <c r="B803" s="5">
        <f>B48/B47-1</f>
        <v/>
      </c>
      <c r="C803" s="5">
        <f>C48/C47-1</f>
        <v/>
      </c>
      <c r="D803" s="5">
        <f>D48/D47-1</f>
        <v/>
      </c>
      <c r="E803" s="5">
        <f>E48/E47-1</f>
        <v/>
      </c>
      <c r="F803" s="5">
        <f>F48/F47-1</f>
        <v/>
      </c>
      <c r="G803" s="5">
        <f>G48/G47-1</f>
        <v/>
      </c>
    </row>
    <row r="804">
      <c r="A804" s="2">
        <f>A49</f>
        <v/>
      </c>
      <c r="B804" s="5">
        <f>B49/B48-1</f>
        <v/>
      </c>
      <c r="C804" s="5">
        <f>C49/C48-1</f>
        <v/>
      </c>
      <c r="D804" s="5">
        <f>D49/D48-1</f>
        <v/>
      </c>
      <c r="E804" s="5">
        <f>E49/E48-1</f>
        <v/>
      </c>
      <c r="F804" s="5">
        <f>F49/F48-1</f>
        <v/>
      </c>
      <c r="G804" s="5">
        <f>G49/G48-1</f>
        <v/>
      </c>
    </row>
    <row r="805">
      <c r="A805" s="2">
        <f>A50</f>
        <v/>
      </c>
      <c r="B805" s="5">
        <f>B50/B49-1</f>
        <v/>
      </c>
      <c r="C805" s="5">
        <f>C50/C49-1</f>
        <v/>
      </c>
      <c r="D805" s="5">
        <f>D50/D49-1</f>
        <v/>
      </c>
      <c r="E805" s="5">
        <f>E50/E49-1</f>
        <v/>
      </c>
      <c r="F805" s="5">
        <f>F50/F49-1</f>
        <v/>
      </c>
      <c r="G805" s="5">
        <f>G50/G49-1</f>
        <v/>
      </c>
    </row>
    <row r="806">
      <c r="A806" s="2">
        <f>A51</f>
        <v/>
      </c>
      <c r="B806" s="5">
        <f>B51/B50-1</f>
        <v/>
      </c>
      <c r="C806" s="5">
        <f>C51/C50-1</f>
        <v/>
      </c>
      <c r="D806" s="5">
        <f>D51/D50-1</f>
        <v/>
      </c>
      <c r="E806" s="5">
        <f>E51/E50-1</f>
        <v/>
      </c>
      <c r="F806" s="5">
        <f>F51/F50-1</f>
        <v/>
      </c>
      <c r="G806" s="5">
        <f>G51/G50-1</f>
        <v/>
      </c>
    </row>
    <row r="807">
      <c r="A807" s="2">
        <f>A52</f>
        <v/>
      </c>
      <c r="B807" s="5">
        <f>B52/B51-1</f>
        <v/>
      </c>
      <c r="C807" s="5">
        <f>C52/C51-1</f>
        <v/>
      </c>
      <c r="D807" s="5">
        <f>D52/D51-1</f>
        <v/>
      </c>
      <c r="E807" s="5">
        <f>E52/E51-1</f>
        <v/>
      </c>
      <c r="F807" s="5">
        <f>F52/F51-1</f>
        <v/>
      </c>
      <c r="G807" s="5">
        <f>G52/G51-1</f>
        <v/>
      </c>
    </row>
    <row r="808">
      <c r="A808" s="2">
        <f>A53</f>
        <v/>
      </c>
      <c r="B808" s="5">
        <f>B53/B52-1</f>
        <v/>
      </c>
      <c r="C808" s="5">
        <f>C53/C52-1</f>
        <v/>
      </c>
      <c r="D808" s="5">
        <f>D53/D52-1</f>
        <v/>
      </c>
      <c r="E808" s="5">
        <f>E53/E52-1</f>
        <v/>
      </c>
      <c r="F808" s="5">
        <f>F53/F52-1</f>
        <v/>
      </c>
      <c r="G808" s="5">
        <f>G53/G52-1</f>
        <v/>
      </c>
    </row>
    <row r="809">
      <c r="A809" s="2">
        <f>A54</f>
        <v/>
      </c>
      <c r="B809" s="5">
        <f>B54/B53-1</f>
        <v/>
      </c>
      <c r="C809" s="5">
        <f>C54/C53-1</f>
        <v/>
      </c>
      <c r="D809" s="5">
        <f>D54/D53-1</f>
        <v/>
      </c>
      <c r="E809" s="5">
        <f>E54/E53-1</f>
        <v/>
      </c>
      <c r="F809" s="5">
        <f>F54/F53-1</f>
        <v/>
      </c>
      <c r="G809" s="5">
        <f>G54/G53-1</f>
        <v/>
      </c>
    </row>
    <row r="810">
      <c r="A810" s="2">
        <f>A55</f>
        <v/>
      </c>
      <c r="B810" s="5">
        <f>B55/B54-1</f>
        <v/>
      </c>
      <c r="C810" s="5">
        <f>C55/C54-1</f>
        <v/>
      </c>
      <c r="D810" s="5">
        <f>D55/D54-1</f>
        <v/>
      </c>
      <c r="E810" s="5">
        <f>E55/E54-1</f>
        <v/>
      </c>
      <c r="F810" s="5">
        <f>F55/F54-1</f>
        <v/>
      </c>
      <c r="G810" s="5">
        <f>G55/G54-1</f>
        <v/>
      </c>
    </row>
    <row r="811">
      <c r="A811" s="2">
        <f>A56</f>
        <v/>
      </c>
      <c r="B811" s="5">
        <f>B56/B55-1</f>
        <v/>
      </c>
      <c r="C811" s="5">
        <f>C56/C55-1</f>
        <v/>
      </c>
      <c r="D811" s="5">
        <f>D56/D55-1</f>
        <v/>
      </c>
      <c r="E811" s="5">
        <f>E56/E55-1</f>
        <v/>
      </c>
      <c r="F811" s="5">
        <f>F56/F55-1</f>
        <v/>
      </c>
      <c r="G811" s="5">
        <f>G56/G55-1</f>
        <v/>
      </c>
    </row>
    <row r="812">
      <c r="A812" s="2">
        <f>A57</f>
        <v/>
      </c>
      <c r="B812" s="5">
        <f>B57/B56-1</f>
        <v/>
      </c>
      <c r="C812" s="5">
        <f>C57/C56-1</f>
        <v/>
      </c>
      <c r="D812" s="5">
        <f>D57/D56-1</f>
        <v/>
      </c>
      <c r="E812" s="5">
        <f>E57/E56-1</f>
        <v/>
      </c>
      <c r="F812" s="5">
        <f>F57/F56-1</f>
        <v/>
      </c>
      <c r="G812" s="5">
        <f>G57/G56-1</f>
        <v/>
      </c>
    </row>
    <row r="813">
      <c r="A813" s="2">
        <f>A58</f>
        <v/>
      </c>
      <c r="B813" s="5">
        <f>B58/B57-1</f>
        <v/>
      </c>
      <c r="C813" s="5">
        <f>C58/C57-1</f>
        <v/>
      </c>
      <c r="D813" s="5">
        <f>D58/D57-1</f>
        <v/>
      </c>
      <c r="E813" s="5">
        <f>E58/E57-1</f>
        <v/>
      </c>
      <c r="F813" s="5">
        <f>F58/F57-1</f>
        <v/>
      </c>
      <c r="G813" s="5">
        <f>G58/G57-1</f>
        <v/>
      </c>
    </row>
    <row r="814">
      <c r="A814" s="2">
        <f>A59</f>
        <v/>
      </c>
      <c r="B814" s="5">
        <f>B59/B58-1</f>
        <v/>
      </c>
      <c r="C814" s="5">
        <f>C59/C58-1</f>
        <v/>
      </c>
      <c r="D814" s="5">
        <f>D59/D58-1</f>
        <v/>
      </c>
      <c r="E814" s="5">
        <f>E59/E58-1</f>
        <v/>
      </c>
      <c r="F814" s="5">
        <f>F59/F58-1</f>
        <v/>
      </c>
      <c r="G814" s="5">
        <f>G59/G58-1</f>
        <v/>
      </c>
    </row>
    <row r="815">
      <c r="A815" s="2">
        <f>A60</f>
        <v/>
      </c>
      <c r="B815" s="5">
        <f>B60/B59-1</f>
        <v/>
      </c>
      <c r="C815" s="5">
        <f>C60/C59-1</f>
        <v/>
      </c>
      <c r="D815" s="5">
        <f>D60/D59-1</f>
        <v/>
      </c>
      <c r="E815" s="5">
        <f>E60/E59-1</f>
        <v/>
      </c>
      <c r="F815" s="5">
        <f>F60/F59-1</f>
        <v/>
      </c>
      <c r="G815" s="5">
        <f>G60/G59-1</f>
        <v/>
      </c>
    </row>
    <row r="816">
      <c r="A816" s="2">
        <f>A61</f>
        <v/>
      </c>
      <c r="B816" s="5">
        <f>B61/B60-1</f>
        <v/>
      </c>
      <c r="C816" s="5">
        <f>C61/C60-1</f>
        <v/>
      </c>
      <c r="D816" s="5">
        <f>D61/D60-1</f>
        <v/>
      </c>
      <c r="E816" s="5">
        <f>E61/E60-1</f>
        <v/>
      </c>
      <c r="F816" s="5">
        <f>F61/F60-1</f>
        <v/>
      </c>
      <c r="G816" s="5">
        <f>G61/G60-1</f>
        <v/>
      </c>
    </row>
    <row r="817">
      <c r="A817" s="2">
        <f>A62</f>
        <v/>
      </c>
      <c r="B817" s="5">
        <f>B62/B61-1</f>
        <v/>
      </c>
      <c r="C817" s="5">
        <f>C62/C61-1</f>
        <v/>
      </c>
      <c r="D817" s="5">
        <f>D62/D61-1</f>
        <v/>
      </c>
      <c r="E817" s="5">
        <f>E62/E61-1</f>
        <v/>
      </c>
      <c r="F817" s="5">
        <f>F62/F61-1</f>
        <v/>
      </c>
      <c r="G817" s="5">
        <f>G62/G61-1</f>
        <v/>
      </c>
    </row>
    <row r="818">
      <c r="A818" s="2">
        <f>A63</f>
        <v/>
      </c>
      <c r="B818" s="5">
        <f>B63/B62-1</f>
        <v/>
      </c>
      <c r="C818" s="5">
        <f>C63/C62-1</f>
        <v/>
      </c>
      <c r="D818" s="5">
        <f>D63/D62-1</f>
        <v/>
      </c>
      <c r="E818" s="5">
        <f>E63/E62-1</f>
        <v/>
      </c>
      <c r="F818" s="5">
        <f>F63/F62-1</f>
        <v/>
      </c>
      <c r="G818" s="5">
        <f>G63/G62-1</f>
        <v/>
      </c>
    </row>
    <row r="819">
      <c r="A819" s="2">
        <f>A64</f>
        <v/>
      </c>
      <c r="B819" s="5">
        <f>B64/B63-1</f>
        <v/>
      </c>
      <c r="C819" s="5">
        <f>C64/C63-1</f>
        <v/>
      </c>
      <c r="D819" s="5">
        <f>D64/D63-1</f>
        <v/>
      </c>
      <c r="E819" s="5">
        <f>E64/E63-1</f>
        <v/>
      </c>
      <c r="F819" s="5">
        <f>F64/F63-1</f>
        <v/>
      </c>
      <c r="G819" s="5">
        <f>G64/G63-1</f>
        <v/>
      </c>
    </row>
    <row r="820">
      <c r="A820" s="2">
        <f>A65</f>
        <v/>
      </c>
      <c r="B820" s="5">
        <f>B65/B64-1</f>
        <v/>
      </c>
      <c r="C820" s="5">
        <f>C65/C64-1</f>
        <v/>
      </c>
      <c r="D820" s="5">
        <f>D65/D64-1</f>
        <v/>
      </c>
      <c r="E820" s="5">
        <f>E65/E64-1</f>
        <v/>
      </c>
      <c r="F820" s="5">
        <f>F65/F64-1</f>
        <v/>
      </c>
      <c r="G820" s="5">
        <f>G65/G64-1</f>
        <v/>
      </c>
    </row>
    <row r="821">
      <c r="A821" s="2">
        <f>A66</f>
        <v/>
      </c>
      <c r="B821" s="5">
        <f>B66/B65-1</f>
        <v/>
      </c>
      <c r="C821" s="5">
        <f>C66/C65-1</f>
        <v/>
      </c>
      <c r="D821" s="5">
        <f>D66/D65-1</f>
        <v/>
      </c>
      <c r="E821" s="5">
        <f>E66/E65-1</f>
        <v/>
      </c>
      <c r="F821" s="5">
        <f>F66/F65-1</f>
        <v/>
      </c>
      <c r="G821" s="5">
        <f>G66/G65-1</f>
        <v/>
      </c>
    </row>
    <row r="822">
      <c r="A822" s="2">
        <f>A67</f>
        <v/>
      </c>
      <c r="B822" s="5">
        <f>B67/B66-1</f>
        <v/>
      </c>
      <c r="C822" s="5">
        <f>C67/C66-1</f>
        <v/>
      </c>
      <c r="D822" s="5">
        <f>D67/D66-1</f>
        <v/>
      </c>
      <c r="E822" s="5">
        <f>E67/E66-1</f>
        <v/>
      </c>
      <c r="F822" s="5">
        <f>F67/F66-1</f>
        <v/>
      </c>
      <c r="G822" s="5">
        <f>G67/G66-1</f>
        <v/>
      </c>
    </row>
    <row r="823">
      <c r="A823" s="2">
        <f>A68</f>
        <v/>
      </c>
      <c r="B823" s="5">
        <f>B68/B67-1</f>
        <v/>
      </c>
      <c r="C823" s="5">
        <f>C68/C67-1</f>
        <v/>
      </c>
      <c r="D823" s="5">
        <f>D68/D67-1</f>
        <v/>
      </c>
      <c r="E823" s="5">
        <f>E68/E67-1</f>
        <v/>
      </c>
      <c r="F823" s="5">
        <f>F68/F67-1</f>
        <v/>
      </c>
      <c r="G823" s="5">
        <f>G68/G67-1</f>
        <v/>
      </c>
    </row>
    <row r="824">
      <c r="A824" s="2">
        <f>A69</f>
        <v/>
      </c>
      <c r="B824" s="5">
        <f>B69/B68-1</f>
        <v/>
      </c>
      <c r="C824" s="5">
        <f>C69/C68-1</f>
        <v/>
      </c>
      <c r="D824" s="5">
        <f>D69/D68-1</f>
        <v/>
      </c>
      <c r="E824" s="5">
        <f>E69/E68-1</f>
        <v/>
      </c>
      <c r="F824" s="5">
        <f>F69/F68-1</f>
        <v/>
      </c>
      <c r="G824" s="5">
        <f>G69/G68-1</f>
        <v/>
      </c>
    </row>
    <row r="825">
      <c r="A825" s="2">
        <f>A70</f>
        <v/>
      </c>
      <c r="B825" s="5">
        <f>B70/B69-1</f>
        <v/>
      </c>
      <c r="C825" s="5">
        <f>C70/C69-1</f>
        <v/>
      </c>
      <c r="D825" s="5">
        <f>D70/D69-1</f>
        <v/>
      </c>
      <c r="E825" s="5">
        <f>E70/E69-1</f>
        <v/>
      </c>
      <c r="F825" s="5">
        <f>F70/F69-1</f>
        <v/>
      </c>
      <c r="G825" s="5">
        <f>G70/G69-1</f>
        <v/>
      </c>
    </row>
    <row r="826">
      <c r="A826" s="2">
        <f>A71</f>
        <v/>
      </c>
      <c r="B826" s="5">
        <f>B71/B70-1</f>
        <v/>
      </c>
      <c r="C826" s="5">
        <f>C71/C70-1</f>
        <v/>
      </c>
      <c r="D826" s="5">
        <f>D71/D70-1</f>
        <v/>
      </c>
      <c r="E826" s="5">
        <f>E71/E70-1</f>
        <v/>
      </c>
      <c r="F826" s="5">
        <f>F71/F70-1</f>
        <v/>
      </c>
      <c r="G826" s="5">
        <f>G71/G70-1</f>
        <v/>
      </c>
    </row>
    <row r="827">
      <c r="A827" s="2">
        <f>A72</f>
        <v/>
      </c>
      <c r="B827" s="5">
        <f>B72/B71-1</f>
        <v/>
      </c>
      <c r="C827" s="5">
        <f>C72/C71-1</f>
        <v/>
      </c>
      <c r="D827" s="5">
        <f>D72/D71-1</f>
        <v/>
      </c>
      <c r="E827" s="5">
        <f>E72/E71-1</f>
        <v/>
      </c>
      <c r="F827" s="5">
        <f>F72/F71-1</f>
        <v/>
      </c>
      <c r="G827" s="5">
        <f>G72/G71-1</f>
        <v/>
      </c>
    </row>
    <row r="828">
      <c r="A828" s="2">
        <f>A73</f>
        <v/>
      </c>
      <c r="B828" s="5">
        <f>B73/B72-1</f>
        <v/>
      </c>
      <c r="C828" s="5">
        <f>C73/C72-1</f>
        <v/>
      </c>
      <c r="D828" s="5">
        <f>D73/D72-1</f>
        <v/>
      </c>
      <c r="E828" s="5">
        <f>E73/E72-1</f>
        <v/>
      </c>
      <c r="F828" s="5">
        <f>F73/F72-1</f>
        <v/>
      </c>
      <c r="G828" s="5">
        <f>G73/G72-1</f>
        <v/>
      </c>
    </row>
    <row r="829">
      <c r="A829" s="2">
        <f>A74</f>
        <v/>
      </c>
      <c r="B829" s="5">
        <f>B74/B73-1</f>
        <v/>
      </c>
      <c r="C829" s="5">
        <f>C74/C73-1</f>
        <v/>
      </c>
      <c r="D829" s="5">
        <f>D74/D73-1</f>
        <v/>
      </c>
      <c r="E829" s="5">
        <f>E74/E73-1</f>
        <v/>
      </c>
      <c r="F829" s="5">
        <f>F74/F73-1</f>
        <v/>
      </c>
      <c r="G829" s="5">
        <f>G74/G73-1</f>
        <v/>
      </c>
    </row>
    <row r="830">
      <c r="A830" s="2">
        <f>A75</f>
        <v/>
      </c>
      <c r="B830" s="5">
        <f>B75/B74-1</f>
        <v/>
      </c>
      <c r="C830" s="5">
        <f>C75/C74-1</f>
        <v/>
      </c>
      <c r="D830" s="5">
        <f>D75/D74-1</f>
        <v/>
      </c>
      <c r="E830" s="5">
        <f>E75/E74-1</f>
        <v/>
      </c>
      <c r="F830" s="5">
        <f>F75/F74-1</f>
        <v/>
      </c>
      <c r="G830" s="5">
        <f>G75/G74-1</f>
        <v/>
      </c>
    </row>
    <row r="831">
      <c r="A831" s="2">
        <f>A76</f>
        <v/>
      </c>
      <c r="B831" s="5">
        <f>B76/B75-1</f>
        <v/>
      </c>
      <c r="C831" s="5">
        <f>C76/C75-1</f>
        <v/>
      </c>
      <c r="D831" s="5">
        <f>D76/D75-1</f>
        <v/>
      </c>
      <c r="E831" s="5">
        <f>E76/E75-1</f>
        <v/>
      </c>
      <c r="F831" s="5">
        <f>F76/F75-1</f>
        <v/>
      </c>
      <c r="G831" s="5">
        <f>G76/G75-1</f>
        <v/>
      </c>
    </row>
    <row r="832">
      <c r="A832" s="2">
        <f>A77</f>
        <v/>
      </c>
      <c r="B832" s="5">
        <f>B77/B76-1</f>
        <v/>
      </c>
      <c r="C832" s="5">
        <f>C77/C76-1</f>
        <v/>
      </c>
      <c r="D832" s="5">
        <f>D77/D76-1</f>
        <v/>
      </c>
      <c r="E832" s="5">
        <f>E77/E76-1</f>
        <v/>
      </c>
      <c r="F832" s="5">
        <f>F77/F76-1</f>
        <v/>
      </c>
      <c r="G832" s="5">
        <f>G77/G76-1</f>
        <v/>
      </c>
    </row>
    <row r="833">
      <c r="A833" s="2">
        <f>A78</f>
        <v/>
      </c>
      <c r="B833" s="5">
        <f>B78/B77-1</f>
        <v/>
      </c>
      <c r="C833" s="5">
        <f>C78/C77-1</f>
        <v/>
      </c>
      <c r="D833" s="5">
        <f>D78/D77-1</f>
        <v/>
      </c>
      <c r="E833" s="5">
        <f>E78/E77-1</f>
        <v/>
      </c>
      <c r="F833" s="5">
        <f>F78/F77-1</f>
        <v/>
      </c>
      <c r="G833" s="5">
        <f>G78/G77-1</f>
        <v/>
      </c>
    </row>
    <row r="834">
      <c r="A834" s="2">
        <f>A79</f>
        <v/>
      </c>
      <c r="B834" s="5">
        <f>B79/B78-1</f>
        <v/>
      </c>
      <c r="C834" s="5">
        <f>C79/C78-1</f>
        <v/>
      </c>
      <c r="D834" s="5">
        <f>D79/D78-1</f>
        <v/>
      </c>
      <c r="E834" s="5">
        <f>E79/E78-1</f>
        <v/>
      </c>
      <c r="F834" s="5">
        <f>F79/F78-1</f>
        <v/>
      </c>
      <c r="G834" s="5">
        <f>G79/G78-1</f>
        <v/>
      </c>
    </row>
    <row r="835">
      <c r="A835" s="2">
        <f>A80</f>
        <v/>
      </c>
      <c r="B835" s="5">
        <f>B80/B79-1</f>
        <v/>
      </c>
      <c r="C835" s="5">
        <f>C80/C79-1</f>
        <v/>
      </c>
      <c r="D835" s="5">
        <f>D80/D79-1</f>
        <v/>
      </c>
      <c r="E835" s="5">
        <f>E80/E79-1</f>
        <v/>
      </c>
      <c r="F835" s="5">
        <f>F80/F79-1</f>
        <v/>
      </c>
      <c r="G835" s="5">
        <f>G80/G79-1</f>
        <v/>
      </c>
    </row>
    <row r="836">
      <c r="A836" s="2">
        <f>A81</f>
        <v/>
      </c>
      <c r="B836" s="5">
        <f>B81/B80-1</f>
        <v/>
      </c>
      <c r="C836" s="5">
        <f>C81/C80-1</f>
        <v/>
      </c>
      <c r="D836" s="5">
        <f>D81/D80-1</f>
        <v/>
      </c>
      <c r="E836" s="5">
        <f>E81/E80-1</f>
        <v/>
      </c>
      <c r="F836" s="5">
        <f>F81/F80-1</f>
        <v/>
      </c>
      <c r="G836" s="5">
        <f>G81/G80-1</f>
        <v/>
      </c>
    </row>
    <row r="837">
      <c r="A837" s="2">
        <f>A82</f>
        <v/>
      </c>
      <c r="B837" s="5">
        <f>B82/B81-1</f>
        <v/>
      </c>
      <c r="C837" s="5">
        <f>C82/C81-1</f>
        <v/>
      </c>
      <c r="D837" s="5">
        <f>D82/D81-1</f>
        <v/>
      </c>
      <c r="E837" s="5">
        <f>E82/E81-1</f>
        <v/>
      </c>
      <c r="F837" s="5">
        <f>F82/F81-1</f>
        <v/>
      </c>
      <c r="G837" s="5">
        <f>G82/G81-1</f>
        <v/>
      </c>
    </row>
    <row r="838">
      <c r="A838" s="2">
        <f>A83</f>
        <v/>
      </c>
      <c r="B838" s="5">
        <f>B83/B82-1</f>
        <v/>
      </c>
      <c r="C838" s="5">
        <f>C83/C82-1</f>
        <v/>
      </c>
      <c r="D838" s="5">
        <f>D83/D82-1</f>
        <v/>
      </c>
      <c r="E838" s="5">
        <f>E83/E82-1</f>
        <v/>
      </c>
      <c r="F838" s="5">
        <f>F83/F82-1</f>
        <v/>
      </c>
      <c r="G838" s="5">
        <f>G83/G82-1</f>
        <v/>
      </c>
    </row>
    <row r="839">
      <c r="A839" s="2">
        <f>A84</f>
        <v/>
      </c>
      <c r="B839" s="5">
        <f>B84/B83-1</f>
        <v/>
      </c>
      <c r="C839" s="5">
        <f>C84/C83-1</f>
        <v/>
      </c>
      <c r="D839" s="5">
        <f>D84/D83-1</f>
        <v/>
      </c>
      <c r="E839" s="5">
        <f>E84/E83-1</f>
        <v/>
      </c>
      <c r="F839" s="5">
        <f>F84/F83-1</f>
        <v/>
      </c>
      <c r="G839" s="5">
        <f>G84/G83-1</f>
        <v/>
      </c>
    </row>
    <row r="840">
      <c r="A840" s="2">
        <f>A85</f>
        <v/>
      </c>
      <c r="B840" s="5">
        <f>B85/B84-1</f>
        <v/>
      </c>
      <c r="C840" s="5">
        <f>C85/C84-1</f>
        <v/>
      </c>
      <c r="D840" s="5">
        <f>D85/D84-1</f>
        <v/>
      </c>
      <c r="E840" s="5">
        <f>E85/E84-1</f>
        <v/>
      </c>
      <c r="F840" s="5">
        <f>F85/F84-1</f>
        <v/>
      </c>
      <c r="G840" s="5">
        <f>G85/G84-1</f>
        <v/>
      </c>
    </row>
    <row r="841">
      <c r="A841" s="2">
        <f>A86</f>
        <v/>
      </c>
      <c r="B841" s="5">
        <f>B86/B85-1</f>
        <v/>
      </c>
      <c r="C841" s="5">
        <f>C86/C85-1</f>
        <v/>
      </c>
      <c r="D841" s="5">
        <f>D86/D85-1</f>
        <v/>
      </c>
      <c r="E841" s="5">
        <f>E86/E85-1</f>
        <v/>
      </c>
      <c r="F841" s="5">
        <f>F86/F85-1</f>
        <v/>
      </c>
      <c r="G841" s="5">
        <f>G86/G85-1</f>
        <v/>
      </c>
    </row>
    <row r="842">
      <c r="A842" s="2">
        <f>A87</f>
        <v/>
      </c>
      <c r="B842" s="5">
        <f>B87/B86-1</f>
        <v/>
      </c>
      <c r="C842" s="5">
        <f>C87/C86-1</f>
        <v/>
      </c>
      <c r="D842" s="5">
        <f>D87/D86-1</f>
        <v/>
      </c>
      <c r="E842" s="5">
        <f>E87/E86-1</f>
        <v/>
      </c>
      <c r="F842" s="5">
        <f>F87/F86-1</f>
        <v/>
      </c>
      <c r="G842" s="5">
        <f>G87/G86-1</f>
        <v/>
      </c>
    </row>
    <row r="843">
      <c r="A843" s="2">
        <f>A88</f>
        <v/>
      </c>
      <c r="B843" s="5">
        <f>B88/B87-1</f>
        <v/>
      </c>
      <c r="C843" s="5">
        <f>C88/C87-1</f>
        <v/>
      </c>
      <c r="D843" s="5">
        <f>D88/D87-1</f>
        <v/>
      </c>
      <c r="E843" s="5">
        <f>E88/E87-1</f>
        <v/>
      </c>
      <c r="F843" s="5">
        <f>F88/F87-1</f>
        <v/>
      </c>
      <c r="G843" s="5">
        <f>G88/G87-1</f>
        <v/>
      </c>
    </row>
    <row r="844">
      <c r="A844" s="2">
        <f>A89</f>
        <v/>
      </c>
      <c r="B844" s="5">
        <f>B89/B88-1</f>
        <v/>
      </c>
      <c r="C844" s="5">
        <f>C89/C88-1</f>
        <v/>
      </c>
      <c r="D844" s="5">
        <f>D89/D88-1</f>
        <v/>
      </c>
      <c r="E844" s="5">
        <f>E89/E88-1</f>
        <v/>
      </c>
      <c r="F844" s="5">
        <f>F89/F88-1</f>
        <v/>
      </c>
      <c r="G844" s="5">
        <f>G89/G88-1</f>
        <v/>
      </c>
    </row>
    <row r="845">
      <c r="A845" s="2">
        <f>A90</f>
        <v/>
      </c>
      <c r="B845" s="5">
        <f>B90/B89-1</f>
        <v/>
      </c>
      <c r="C845" s="5">
        <f>C90/C89-1</f>
        <v/>
      </c>
      <c r="D845" s="5">
        <f>D90/D89-1</f>
        <v/>
      </c>
      <c r="E845" s="5">
        <f>E90/E89-1</f>
        <v/>
      </c>
      <c r="F845" s="5">
        <f>F90/F89-1</f>
        <v/>
      </c>
      <c r="G845" s="5">
        <f>G90/G89-1</f>
        <v/>
      </c>
    </row>
    <row r="846">
      <c r="A846" s="2">
        <f>A91</f>
        <v/>
      </c>
      <c r="B846" s="5">
        <f>B91/B90-1</f>
        <v/>
      </c>
      <c r="C846" s="5">
        <f>C91/C90-1</f>
        <v/>
      </c>
      <c r="D846" s="5">
        <f>D91/D90-1</f>
        <v/>
      </c>
      <c r="E846" s="5">
        <f>E91/E90-1</f>
        <v/>
      </c>
      <c r="F846" s="5">
        <f>F91/F90-1</f>
        <v/>
      </c>
      <c r="G846" s="5">
        <f>G91/G90-1</f>
        <v/>
      </c>
    </row>
    <row r="847">
      <c r="A847" s="2">
        <f>A92</f>
        <v/>
      </c>
      <c r="B847" s="5">
        <f>B92/B91-1</f>
        <v/>
      </c>
      <c r="C847" s="5">
        <f>C92/C91-1</f>
        <v/>
      </c>
      <c r="D847" s="5">
        <f>D92/D91-1</f>
        <v/>
      </c>
      <c r="E847" s="5">
        <f>E92/E91-1</f>
        <v/>
      </c>
      <c r="F847" s="5">
        <f>F92/F91-1</f>
        <v/>
      </c>
      <c r="G847" s="5">
        <f>G92/G91-1</f>
        <v/>
      </c>
    </row>
    <row r="848">
      <c r="A848" s="2">
        <f>A93</f>
        <v/>
      </c>
      <c r="B848" s="5">
        <f>B93/B92-1</f>
        <v/>
      </c>
      <c r="C848" s="5">
        <f>C93/C92-1</f>
        <v/>
      </c>
      <c r="D848" s="5">
        <f>D93/D92-1</f>
        <v/>
      </c>
      <c r="E848" s="5">
        <f>E93/E92-1</f>
        <v/>
      </c>
      <c r="F848" s="5">
        <f>F93/F92-1</f>
        <v/>
      </c>
      <c r="G848" s="5">
        <f>G93/G92-1</f>
        <v/>
      </c>
    </row>
    <row r="849">
      <c r="A849" s="2">
        <f>A94</f>
        <v/>
      </c>
      <c r="B849" s="5">
        <f>B94/B93-1</f>
        <v/>
      </c>
      <c r="C849" s="5">
        <f>C94/C93-1</f>
        <v/>
      </c>
      <c r="D849" s="5">
        <f>D94/D93-1</f>
        <v/>
      </c>
      <c r="E849" s="5">
        <f>E94/E93-1</f>
        <v/>
      </c>
      <c r="F849" s="5">
        <f>F94/F93-1</f>
        <v/>
      </c>
      <c r="G849" s="5">
        <f>G94/G93-1</f>
        <v/>
      </c>
    </row>
    <row r="850">
      <c r="A850" s="2">
        <f>A95</f>
        <v/>
      </c>
      <c r="B850" s="5">
        <f>B95/B94-1</f>
        <v/>
      </c>
      <c r="C850" s="5">
        <f>C95/C94-1</f>
        <v/>
      </c>
      <c r="D850" s="5">
        <f>D95/D94-1</f>
        <v/>
      </c>
      <c r="E850" s="5">
        <f>E95/E94-1</f>
        <v/>
      </c>
      <c r="F850" s="5">
        <f>F95/F94-1</f>
        <v/>
      </c>
      <c r="G850" s="5">
        <f>G95/G94-1</f>
        <v/>
      </c>
    </row>
    <row r="851">
      <c r="A851" s="2">
        <f>A96</f>
        <v/>
      </c>
      <c r="B851" s="5">
        <f>B96/B95-1</f>
        <v/>
      </c>
      <c r="C851" s="5">
        <f>C96/C95-1</f>
        <v/>
      </c>
      <c r="D851" s="5">
        <f>D96/D95-1</f>
        <v/>
      </c>
      <c r="E851" s="5">
        <f>E96/E95-1</f>
        <v/>
      </c>
      <c r="F851" s="5">
        <f>F96/F95-1</f>
        <v/>
      </c>
      <c r="G851" s="5">
        <f>G96/G95-1</f>
        <v/>
      </c>
    </row>
    <row r="852">
      <c r="A852" s="2">
        <f>A97</f>
        <v/>
      </c>
      <c r="B852" s="5">
        <f>B97/B96-1</f>
        <v/>
      </c>
      <c r="C852" s="5">
        <f>C97/C96-1</f>
        <v/>
      </c>
      <c r="D852" s="5">
        <f>D97/D96-1</f>
        <v/>
      </c>
      <c r="E852" s="5">
        <f>E97/E96-1</f>
        <v/>
      </c>
      <c r="F852" s="5">
        <f>F97/F96-1</f>
        <v/>
      </c>
      <c r="G852" s="5">
        <f>G97/G96-1</f>
        <v/>
      </c>
    </row>
    <row r="853">
      <c r="A853" s="2">
        <f>A98</f>
        <v/>
      </c>
      <c r="B853" s="5">
        <f>B98/B97-1</f>
        <v/>
      </c>
      <c r="C853" s="5">
        <f>C98/C97-1</f>
        <v/>
      </c>
      <c r="D853" s="5">
        <f>D98/D97-1</f>
        <v/>
      </c>
      <c r="E853" s="5">
        <f>E98/E97-1</f>
        <v/>
      </c>
      <c r="F853" s="5">
        <f>F98/F97-1</f>
        <v/>
      </c>
      <c r="G853" s="5">
        <f>G98/G97-1</f>
        <v/>
      </c>
    </row>
    <row r="854">
      <c r="A854" s="2">
        <f>A99</f>
        <v/>
      </c>
      <c r="B854" s="5">
        <f>B99/B98-1</f>
        <v/>
      </c>
      <c r="C854" s="5">
        <f>C99/C98-1</f>
        <v/>
      </c>
      <c r="D854" s="5">
        <f>D99/D98-1</f>
        <v/>
      </c>
      <c r="E854" s="5">
        <f>E99/E98-1</f>
        <v/>
      </c>
      <c r="F854" s="5">
        <f>F99/F98-1</f>
        <v/>
      </c>
      <c r="G854" s="5">
        <f>G99/G98-1</f>
        <v/>
      </c>
    </row>
    <row r="855">
      <c r="A855" s="2">
        <f>A100</f>
        <v/>
      </c>
      <c r="B855" s="5">
        <f>B100/B99-1</f>
        <v/>
      </c>
      <c r="C855" s="5">
        <f>C100/C99-1</f>
        <v/>
      </c>
      <c r="D855" s="5">
        <f>D100/D99-1</f>
        <v/>
      </c>
      <c r="E855" s="5">
        <f>E100/E99-1</f>
        <v/>
      </c>
      <c r="F855" s="5">
        <f>F100/F99-1</f>
        <v/>
      </c>
      <c r="G855" s="5">
        <f>G100/G99-1</f>
        <v/>
      </c>
    </row>
    <row r="856">
      <c r="A856" s="2">
        <f>A101</f>
        <v/>
      </c>
      <c r="B856" s="5">
        <f>B101/B100-1</f>
        <v/>
      </c>
      <c r="C856" s="5">
        <f>C101/C100-1</f>
        <v/>
      </c>
      <c r="D856" s="5">
        <f>D101/D100-1</f>
        <v/>
      </c>
      <c r="E856" s="5">
        <f>E101/E100-1</f>
        <v/>
      </c>
      <c r="F856" s="5">
        <f>F101/F100-1</f>
        <v/>
      </c>
      <c r="G856" s="5">
        <f>G101/G100-1</f>
        <v/>
      </c>
    </row>
    <row r="857">
      <c r="A857" s="2">
        <f>A102</f>
        <v/>
      </c>
      <c r="B857" s="5">
        <f>B102/B101-1</f>
        <v/>
      </c>
      <c r="C857" s="5">
        <f>C102/C101-1</f>
        <v/>
      </c>
      <c r="D857" s="5">
        <f>D102/D101-1</f>
        <v/>
      </c>
      <c r="E857" s="5">
        <f>E102/E101-1</f>
        <v/>
      </c>
      <c r="F857" s="5">
        <f>F102/F101-1</f>
        <v/>
      </c>
      <c r="G857" s="5">
        <f>G102/G101-1</f>
        <v/>
      </c>
    </row>
    <row r="858">
      <c r="A858" s="2">
        <f>A103</f>
        <v/>
      </c>
      <c r="B858" s="5">
        <f>B103/B102-1</f>
        <v/>
      </c>
      <c r="C858" s="5">
        <f>C103/C102-1</f>
        <v/>
      </c>
      <c r="D858" s="5">
        <f>D103/D102-1</f>
        <v/>
      </c>
      <c r="E858" s="5">
        <f>E103/E102-1</f>
        <v/>
      </c>
      <c r="F858" s="5">
        <f>F103/F102-1</f>
        <v/>
      </c>
      <c r="G858" s="5">
        <f>G103/G102-1</f>
        <v/>
      </c>
    </row>
    <row r="859">
      <c r="A859" s="2">
        <f>A104</f>
        <v/>
      </c>
      <c r="B859" s="5">
        <f>B104/B103-1</f>
        <v/>
      </c>
      <c r="C859" s="5">
        <f>C104/C103-1</f>
        <v/>
      </c>
      <c r="D859" s="5">
        <f>D104/D103-1</f>
        <v/>
      </c>
      <c r="E859" s="5">
        <f>E104/E103-1</f>
        <v/>
      </c>
      <c r="F859" s="5">
        <f>F104/F103-1</f>
        <v/>
      </c>
      <c r="G859" s="5">
        <f>G104/G103-1</f>
        <v/>
      </c>
    </row>
    <row r="860">
      <c r="A860" s="2">
        <f>A105</f>
        <v/>
      </c>
      <c r="B860" s="5">
        <f>B105/B104-1</f>
        <v/>
      </c>
      <c r="C860" s="5">
        <f>C105/C104-1</f>
        <v/>
      </c>
      <c r="D860" s="5">
        <f>D105/D104-1</f>
        <v/>
      </c>
      <c r="E860" s="5">
        <f>E105/E104-1</f>
        <v/>
      </c>
      <c r="F860" s="5">
        <f>F105/F104-1</f>
        <v/>
      </c>
      <c r="G860" s="5">
        <f>G105/G104-1</f>
        <v/>
      </c>
    </row>
    <row r="861">
      <c r="A861" s="2">
        <f>A106</f>
        <v/>
      </c>
      <c r="B861" s="5">
        <f>B106/B105-1</f>
        <v/>
      </c>
      <c r="C861" s="5">
        <f>C106/C105-1</f>
        <v/>
      </c>
      <c r="D861" s="5">
        <f>D106/D105-1</f>
        <v/>
      </c>
      <c r="E861" s="5">
        <f>E106/E105-1</f>
        <v/>
      </c>
      <c r="F861" s="5">
        <f>F106/F105-1</f>
        <v/>
      </c>
      <c r="G861" s="5">
        <f>G106/G105-1</f>
        <v/>
      </c>
    </row>
    <row r="862">
      <c r="A862" s="2">
        <f>A107</f>
        <v/>
      </c>
      <c r="B862" s="5">
        <f>B107/B106-1</f>
        <v/>
      </c>
      <c r="C862" s="5">
        <f>C107/C106-1</f>
        <v/>
      </c>
      <c r="D862" s="5">
        <f>D107/D106-1</f>
        <v/>
      </c>
      <c r="E862" s="5">
        <f>E107/E106-1</f>
        <v/>
      </c>
      <c r="F862" s="5">
        <f>F107/F106-1</f>
        <v/>
      </c>
      <c r="G862" s="5">
        <f>G107/G106-1</f>
        <v/>
      </c>
    </row>
    <row r="863">
      <c r="A863" s="2">
        <f>A108</f>
        <v/>
      </c>
      <c r="B863" s="5">
        <f>B108/B107-1</f>
        <v/>
      </c>
      <c r="C863" s="5">
        <f>C108/C107-1</f>
        <v/>
      </c>
      <c r="D863" s="5">
        <f>D108/D107-1</f>
        <v/>
      </c>
      <c r="E863" s="5">
        <f>E108/E107-1</f>
        <v/>
      </c>
      <c r="F863" s="5">
        <f>F108/F107-1</f>
        <v/>
      </c>
      <c r="G863" s="5">
        <f>G108/G107-1</f>
        <v/>
      </c>
    </row>
    <row r="864">
      <c r="A864" s="2">
        <f>A109</f>
        <v/>
      </c>
      <c r="B864" s="5">
        <f>B109/B108-1</f>
        <v/>
      </c>
      <c r="C864" s="5">
        <f>C109/C108-1</f>
        <v/>
      </c>
      <c r="D864" s="5">
        <f>D109/D108-1</f>
        <v/>
      </c>
      <c r="E864" s="5">
        <f>E109/E108-1</f>
        <v/>
      </c>
      <c r="F864" s="5">
        <f>F109/F108-1</f>
        <v/>
      </c>
      <c r="G864" s="5">
        <f>G109/G108-1</f>
        <v/>
      </c>
    </row>
    <row r="865">
      <c r="A865" s="2">
        <f>A110</f>
        <v/>
      </c>
      <c r="B865" s="5">
        <f>B110/B109-1</f>
        <v/>
      </c>
      <c r="C865" s="5">
        <f>C110/C109-1</f>
        <v/>
      </c>
      <c r="D865" s="5">
        <f>D110/D109-1</f>
        <v/>
      </c>
      <c r="E865" s="5">
        <f>E110/E109-1</f>
        <v/>
      </c>
      <c r="F865" s="5">
        <f>F110/F109-1</f>
        <v/>
      </c>
      <c r="G865" s="5">
        <f>G110/G109-1</f>
        <v/>
      </c>
    </row>
    <row r="866">
      <c r="A866" s="2">
        <f>A111</f>
        <v/>
      </c>
      <c r="B866" s="5">
        <f>B111/B110-1</f>
        <v/>
      </c>
      <c r="C866" s="5">
        <f>C111/C110-1</f>
        <v/>
      </c>
      <c r="D866" s="5">
        <f>D111/D110-1</f>
        <v/>
      </c>
      <c r="E866" s="5">
        <f>E111/E110-1</f>
        <v/>
      </c>
      <c r="F866" s="5">
        <f>F111/F110-1</f>
        <v/>
      </c>
      <c r="G866" s="5">
        <f>G111/G110-1</f>
        <v/>
      </c>
    </row>
    <row r="867">
      <c r="A867" s="2">
        <f>A112</f>
        <v/>
      </c>
      <c r="B867" s="5">
        <f>B112/B111-1</f>
        <v/>
      </c>
      <c r="C867" s="5">
        <f>C112/C111-1</f>
        <v/>
      </c>
      <c r="D867" s="5">
        <f>D112/D111-1</f>
        <v/>
      </c>
      <c r="E867" s="5">
        <f>E112/E111-1</f>
        <v/>
      </c>
      <c r="F867" s="5">
        <f>F112/F111-1</f>
        <v/>
      </c>
      <c r="G867" s="5">
        <f>G112/G111-1</f>
        <v/>
      </c>
    </row>
    <row r="868">
      <c r="A868" s="2">
        <f>A113</f>
        <v/>
      </c>
      <c r="B868" s="5">
        <f>B113/B112-1</f>
        <v/>
      </c>
      <c r="C868" s="5">
        <f>C113/C112-1</f>
        <v/>
      </c>
      <c r="D868" s="5">
        <f>D113/D112-1</f>
        <v/>
      </c>
      <c r="E868" s="5">
        <f>E113/E112-1</f>
        <v/>
      </c>
      <c r="F868" s="5">
        <f>F113/F112-1</f>
        <v/>
      </c>
      <c r="G868" s="5">
        <f>G113/G112-1</f>
        <v/>
      </c>
    </row>
    <row r="869">
      <c r="A869" s="2">
        <f>A114</f>
        <v/>
      </c>
      <c r="B869" s="5">
        <f>B114/B113-1</f>
        <v/>
      </c>
      <c r="C869" s="5">
        <f>C114/C113-1</f>
        <v/>
      </c>
      <c r="D869" s="5">
        <f>D114/D113-1</f>
        <v/>
      </c>
      <c r="E869" s="5">
        <f>E114/E113-1</f>
        <v/>
      </c>
      <c r="F869" s="5">
        <f>F114/F113-1</f>
        <v/>
      </c>
      <c r="G869" s="5">
        <f>G114/G113-1</f>
        <v/>
      </c>
    </row>
    <row r="870">
      <c r="A870" s="2">
        <f>A115</f>
        <v/>
      </c>
      <c r="B870" s="5">
        <f>B115/B114-1</f>
        <v/>
      </c>
      <c r="C870" s="5">
        <f>C115/C114-1</f>
        <v/>
      </c>
      <c r="D870" s="5">
        <f>D115/D114-1</f>
        <v/>
      </c>
      <c r="E870" s="5">
        <f>E115/E114-1</f>
        <v/>
      </c>
      <c r="F870" s="5">
        <f>F115/F114-1</f>
        <v/>
      </c>
      <c r="G870" s="5">
        <f>G115/G114-1</f>
        <v/>
      </c>
    </row>
    <row r="871">
      <c r="A871" s="2">
        <f>A116</f>
        <v/>
      </c>
      <c r="B871" s="5">
        <f>B116/B115-1</f>
        <v/>
      </c>
      <c r="C871" s="5">
        <f>C116/C115-1</f>
        <v/>
      </c>
      <c r="D871" s="5">
        <f>D116/D115-1</f>
        <v/>
      </c>
      <c r="E871" s="5">
        <f>E116/E115-1</f>
        <v/>
      </c>
      <c r="F871" s="5">
        <f>F116/F115-1</f>
        <v/>
      </c>
      <c r="G871" s="5">
        <f>G116/G115-1</f>
        <v/>
      </c>
    </row>
    <row r="872">
      <c r="A872" s="2">
        <f>A117</f>
        <v/>
      </c>
      <c r="B872" s="5">
        <f>B117/B116-1</f>
        <v/>
      </c>
      <c r="C872" s="5">
        <f>C117/C116-1</f>
        <v/>
      </c>
      <c r="D872" s="5">
        <f>D117/D116-1</f>
        <v/>
      </c>
      <c r="E872" s="5">
        <f>E117/E116-1</f>
        <v/>
      </c>
      <c r="F872" s="5">
        <f>F117/F116-1</f>
        <v/>
      </c>
      <c r="G872" s="5">
        <f>G117/G116-1</f>
        <v/>
      </c>
    </row>
    <row r="873">
      <c r="A873" s="2">
        <f>A118</f>
        <v/>
      </c>
      <c r="B873" s="5">
        <f>B118/B117-1</f>
        <v/>
      </c>
      <c r="C873" s="5">
        <f>C118/C117-1</f>
        <v/>
      </c>
      <c r="D873" s="5">
        <f>D118/D117-1</f>
        <v/>
      </c>
      <c r="E873" s="5">
        <f>E118/E117-1</f>
        <v/>
      </c>
      <c r="F873" s="5">
        <f>F118/F117-1</f>
        <v/>
      </c>
      <c r="G873" s="5">
        <f>G118/G117-1</f>
        <v/>
      </c>
    </row>
    <row r="874">
      <c r="A874" s="2">
        <f>A119</f>
        <v/>
      </c>
      <c r="B874" s="5">
        <f>B119/B118-1</f>
        <v/>
      </c>
      <c r="C874" s="5">
        <f>C119/C118-1</f>
        <v/>
      </c>
      <c r="D874" s="5">
        <f>D119/D118-1</f>
        <v/>
      </c>
      <c r="E874" s="5">
        <f>E119/E118-1</f>
        <v/>
      </c>
      <c r="F874" s="5">
        <f>F119/F118-1</f>
        <v/>
      </c>
      <c r="G874" s="5">
        <f>G119/G118-1</f>
        <v/>
      </c>
    </row>
    <row r="875">
      <c r="A875" s="2">
        <f>A120</f>
        <v/>
      </c>
      <c r="B875" s="5">
        <f>B120/B119-1</f>
        <v/>
      </c>
      <c r="C875" s="5">
        <f>C120/C119-1</f>
        <v/>
      </c>
      <c r="D875" s="5">
        <f>D120/D119-1</f>
        <v/>
      </c>
      <c r="E875" s="5">
        <f>E120/E119-1</f>
        <v/>
      </c>
      <c r="F875" s="5">
        <f>F120/F119-1</f>
        <v/>
      </c>
      <c r="G875" s="5">
        <f>G120/G119-1</f>
        <v/>
      </c>
    </row>
    <row r="876">
      <c r="A876" s="2">
        <f>A121</f>
        <v/>
      </c>
      <c r="B876" s="5">
        <f>B121/B120-1</f>
        <v/>
      </c>
      <c r="C876" s="5">
        <f>C121/C120-1</f>
        <v/>
      </c>
      <c r="D876" s="5">
        <f>D121/D120-1</f>
        <v/>
      </c>
      <c r="E876" s="5">
        <f>E121/E120-1</f>
        <v/>
      </c>
      <c r="F876" s="5">
        <f>F121/F120-1</f>
        <v/>
      </c>
      <c r="G876" s="5">
        <f>G121/G120-1</f>
        <v/>
      </c>
    </row>
    <row r="877">
      <c r="A877" s="2">
        <f>A122</f>
        <v/>
      </c>
      <c r="B877" s="5">
        <f>B122/B121-1</f>
        <v/>
      </c>
      <c r="C877" s="5">
        <f>C122/C121-1</f>
        <v/>
      </c>
      <c r="D877" s="5">
        <f>D122/D121-1</f>
        <v/>
      </c>
      <c r="E877" s="5">
        <f>E122/E121-1</f>
        <v/>
      </c>
      <c r="F877" s="5">
        <f>F122/F121-1</f>
        <v/>
      </c>
      <c r="G877" s="5">
        <f>G122/G121-1</f>
        <v/>
      </c>
    </row>
    <row r="878">
      <c r="A878" s="2">
        <f>A123</f>
        <v/>
      </c>
      <c r="B878" s="5">
        <f>B123/B122-1</f>
        <v/>
      </c>
      <c r="C878" s="5">
        <f>C123/C122-1</f>
        <v/>
      </c>
      <c r="D878" s="5">
        <f>D123/D122-1</f>
        <v/>
      </c>
      <c r="E878" s="5">
        <f>E123/E122-1</f>
        <v/>
      </c>
      <c r="F878" s="5">
        <f>F123/F122-1</f>
        <v/>
      </c>
      <c r="G878" s="5">
        <f>G123/G122-1</f>
        <v/>
      </c>
    </row>
    <row r="879">
      <c r="A879" s="2">
        <f>A124</f>
        <v/>
      </c>
      <c r="B879" s="5">
        <f>B124/B123-1</f>
        <v/>
      </c>
      <c r="C879" s="5">
        <f>C124/C123-1</f>
        <v/>
      </c>
      <c r="D879" s="5">
        <f>D124/D123-1</f>
        <v/>
      </c>
      <c r="E879" s="5">
        <f>E124/E123-1</f>
        <v/>
      </c>
      <c r="F879" s="5">
        <f>F124/F123-1</f>
        <v/>
      </c>
      <c r="G879" s="5">
        <f>G124/G123-1</f>
        <v/>
      </c>
    </row>
    <row r="880">
      <c r="A880" s="2">
        <f>A125</f>
        <v/>
      </c>
      <c r="B880" s="5">
        <f>B125/B124-1</f>
        <v/>
      </c>
      <c r="C880" s="5">
        <f>C125/C124-1</f>
        <v/>
      </c>
      <c r="D880" s="5">
        <f>D125/D124-1</f>
        <v/>
      </c>
      <c r="E880" s="5">
        <f>E125/E124-1</f>
        <v/>
      </c>
      <c r="F880" s="5">
        <f>F125/F124-1</f>
        <v/>
      </c>
      <c r="G880" s="5">
        <f>G125/G124-1</f>
        <v/>
      </c>
    </row>
    <row r="881">
      <c r="A881" s="2">
        <f>A126</f>
        <v/>
      </c>
      <c r="B881" s="5">
        <f>B126/B125-1</f>
        <v/>
      </c>
      <c r="C881" s="5">
        <f>C126/C125-1</f>
        <v/>
      </c>
      <c r="D881" s="5">
        <f>D126/D125-1</f>
        <v/>
      </c>
      <c r="E881" s="5">
        <f>E126/E125-1</f>
        <v/>
      </c>
      <c r="F881" s="5">
        <f>F126/F125-1</f>
        <v/>
      </c>
      <c r="G881" s="5">
        <f>G126/G125-1</f>
        <v/>
      </c>
    </row>
    <row r="882">
      <c r="A882" s="2">
        <f>A127</f>
        <v/>
      </c>
      <c r="B882" s="5">
        <f>B127/B126-1</f>
        <v/>
      </c>
      <c r="C882" s="5">
        <f>C127/C126-1</f>
        <v/>
      </c>
      <c r="D882" s="5">
        <f>D127/D126-1</f>
        <v/>
      </c>
      <c r="E882" s="5">
        <f>E127/E126-1</f>
        <v/>
      </c>
      <c r="F882" s="5">
        <f>F127/F126-1</f>
        <v/>
      </c>
      <c r="G882" s="5">
        <f>G127/G126-1</f>
        <v/>
      </c>
    </row>
    <row r="883">
      <c r="A883" s="2">
        <f>A128</f>
        <v/>
      </c>
      <c r="B883" s="5">
        <f>B128/B127-1</f>
        <v/>
      </c>
      <c r="C883" s="5">
        <f>C128/C127-1</f>
        <v/>
      </c>
      <c r="D883" s="5">
        <f>D128/D127-1</f>
        <v/>
      </c>
      <c r="E883" s="5">
        <f>E128/E127-1</f>
        <v/>
      </c>
      <c r="F883" s="5">
        <f>F128/F127-1</f>
        <v/>
      </c>
      <c r="G883" s="5">
        <f>G128/G127-1</f>
        <v/>
      </c>
    </row>
    <row r="884">
      <c r="A884" s="2">
        <f>A129</f>
        <v/>
      </c>
      <c r="B884" s="5">
        <f>B129/B128-1</f>
        <v/>
      </c>
      <c r="C884" s="5">
        <f>C129/C128-1</f>
        <v/>
      </c>
      <c r="D884" s="5">
        <f>D129/D128-1</f>
        <v/>
      </c>
      <c r="E884" s="5">
        <f>E129/E128-1</f>
        <v/>
      </c>
      <c r="F884" s="5">
        <f>F129/F128-1</f>
        <v/>
      </c>
      <c r="G884" s="5">
        <f>G129/G128-1</f>
        <v/>
      </c>
    </row>
    <row r="885">
      <c r="A885" s="2">
        <f>A130</f>
        <v/>
      </c>
      <c r="B885" s="5">
        <f>B130/B129-1</f>
        <v/>
      </c>
      <c r="C885" s="5">
        <f>C130/C129-1</f>
        <v/>
      </c>
      <c r="D885" s="5">
        <f>D130/D129-1</f>
        <v/>
      </c>
      <c r="E885" s="5">
        <f>E130/E129-1</f>
        <v/>
      </c>
      <c r="F885" s="5">
        <f>F130/F129-1</f>
        <v/>
      </c>
      <c r="G885" s="5">
        <f>G130/G129-1</f>
        <v/>
      </c>
    </row>
    <row r="886">
      <c r="A886" s="2">
        <f>A131</f>
        <v/>
      </c>
      <c r="B886" s="5">
        <f>B131/B130-1</f>
        <v/>
      </c>
      <c r="C886" s="5">
        <f>C131/C130-1</f>
        <v/>
      </c>
      <c r="D886" s="5">
        <f>D131/D130-1</f>
        <v/>
      </c>
      <c r="E886" s="5">
        <f>E131/E130-1</f>
        <v/>
      </c>
      <c r="F886" s="5">
        <f>F131/F130-1</f>
        <v/>
      </c>
      <c r="G886" s="5">
        <f>G131/G130-1</f>
        <v/>
      </c>
    </row>
    <row r="887">
      <c r="A887" s="2">
        <f>A132</f>
        <v/>
      </c>
      <c r="B887" s="5">
        <f>B132/B131-1</f>
        <v/>
      </c>
      <c r="C887" s="5">
        <f>C132/C131-1</f>
        <v/>
      </c>
      <c r="D887" s="5">
        <f>D132/D131-1</f>
        <v/>
      </c>
      <c r="E887" s="5">
        <f>E132/E131-1</f>
        <v/>
      </c>
      <c r="F887" s="5">
        <f>F132/F131-1</f>
        <v/>
      </c>
      <c r="G887" s="5">
        <f>G132/G131-1</f>
        <v/>
      </c>
    </row>
    <row r="888">
      <c r="A888" s="2">
        <f>A133</f>
        <v/>
      </c>
      <c r="B888" s="5">
        <f>B133/B132-1</f>
        <v/>
      </c>
      <c r="C888" s="5">
        <f>C133/C132-1</f>
        <v/>
      </c>
      <c r="D888" s="5">
        <f>D133/D132-1</f>
        <v/>
      </c>
      <c r="E888" s="5">
        <f>E133/E132-1</f>
        <v/>
      </c>
      <c r="F888" s="5">
        <f>F133/F132-1</f>
        <v/>
      </c>
      <c r="G888" s="5">
        <f>G133/G132-1</f>
        <v/>
      </c>
    </row>
    <row r="889">
      <c r="A889" s="2">
        <f>A134</f>
        <v/>
      </c>
      <c r="B889" s="5">
        <f>B134/B133-1</f>
        <v/>
      </c>
      <c r="C889" s="5">
        <f>C134/C133-1</f>
        <v/>
      </c>
      <c r="D889" s="5">
        <f>D134/D133-1</f>
        <v/>
      </c>
      <c r="E889" s="5">
        <f>E134/E133-1</f>
        <v/>
      </c>
      <c r="F889" s="5">
        <f>F134/F133-1</f>
        <v/>
      </c>
      <c r="G889" s="5">
        <f>G134/G133-1</f>
        <v/>
      </c>
    </row>
    <row r="890">
      <c r="A890" s="2">
        <f>A135</f>
        <v/>
      </c>
      <c r="B890" s="5">
        <f>B135/B134-1</f>
        <v/>
      </c>
      <c r="C890" s="5">
        <f>C135/C134-1</f>
        <v/>
      </c>
      <c r="D890" s="5">
        <f>D135/D134-1</f>
        <v/>
      </c>
      <c r="E890" s="5">
        <f>E135/E134-1</f>
        <v/>
      </c>
      <c r="F890" s="5">
        <f>F135/F134-1</f>
        <v/>
      </c>
      <c r="G890" s="5">
        <f>G135/G134-1</f>
        <v/>
      </c>
    </row>
    <row r="891">
      <c r="A891" s="2">
        <f>A136</f>
        <v/>
      </c>
      <c r="B891" s="5">
        <f>B136/B135-1</f>
        <v/>
      </c>
      <c r="C891" s="5">
        <f>C136/C135-1</f>
        <v/>
      </c>
      <c r="D891" s="5">
        <f>D136/D135-1</f>
        <v/>
      </c>
      <c r="E891" s="5">
        <f>E136/E135-1</f>
        <v/>
      </c>
      <c r="F891" s="5">
        <f>F136/F135-1</f>
        <v/>
      </c>
      <c r="G891" s="5">
        <f>G136/G135-1</f>
        <v/>
      </c>
    </row>
    <row r="892">
      <c r="A892" s="2">
        <f>A137</f>
        <v/>
      </c>
      <c r="B892" s="5">
        <f>B137/B136-1</f>
        <v/>
      </c>
      <c r="C892" s="5">
        <f>C137/C136-1</f>
        <v/>
      </c>
      <c r="D892" s="5">
        <f>D137/D136-1</f>
        <v/>
      </c>
      <c r="E892" s="5">
        <f>E137/E136-1</f>
        <v/>
      </c>
      <c r="F892" s="5">
        <f>F137/F136-1</f>
        <v/>
      </c>
      <c r="G892" s="5">
        <f>G137/G136-1</f>
        <v/>
      </c>
    </row>
    <row r="893">
      <c r="A893" s="2">
        <f>A138</f>
        <v/>
      </c>
      <c r="B893" s="5">
        <f>B138/B137-1</f>
        <v/>
      </c>
      <c r="C893" s="5">
        <f>C138/C137-1</f>
        <v/>
      </c>
      <c r="D893" s="5">
        <f>D138/D137-1</f>
        <v/>
      </c>
      <c r="E893" s="5">
        <f>E138/E137-1</f>
        <v/>
      </c>
      <c r="F893" s="5">
        <f>F138/F137-1</f>
        <v/>
      </c>
      <c r="G893" s="5">
        <f>G138/G137-1</f>
        <v/>
      </c>
    </row>
    <row r="894">
      <c r="A894" s="2">
        <f>A139</f>
        <v/>
      </c>
      <c r="B894" s="5">
        <f>B139/B138-1</f>
        <v/>
      </c>
      <c r="C894" s="5">
        <f>C139/C138-1</f>
        <v/>
      </c>
      <c r="D894" s="5">
        <f>D139/D138-1</f>
        <v/>
      </c>
      <c r="E894" s="5">
        <f>E139/E138-1</f>
        <v/>
      </c>
      <c r="F894" s="5">
        <f>F139/F138-1</f>
        <v/>
      </c>
      <c r="G894" s="5">
        <f>G139/G138-1</f>
        <v/>
      </c>
    </row>
    <row r="895">
      <c r="A895" s="2">
        <f>A140</f>
        <v/>
      </c>
      <c r="B895" s="5">
        <f>B140/B139-1</f>
        <v/>
      </c>
      <c r="C895" s="5">
        <f>C140/C139-1</f>
        <v/>
      </c>
      <c r="D895" s="5">
        <f>D140/D139-1</f>
        <v/>
      </c>
      <c r="E895" s="5">
        <f>E140/E139-1</f>
        <v/>
      </c>
      <c r="F895" s="5">
        <f>F140/F139-1</f>
        <v/>
      </c>
      <c r="G895" s="5">
        <f>G140/G139-1</f>
        <v/>
      </c>
    </row>
    <row r="896">
      <c r="A896" s="2">
        <f>A141</f>
        <v/>
      </c>
      <c r="B896" s="5">
        <f>B141/B140-1</f>
        <v/>
      </c>
      <c r="C896" s="5">
        <f>C141/C140-1</f>
        <v/>
      </c>
      <c r="D896" s="5">
        <f>D141/D140-1</f>
        <v/>
      </c>
      <c r="E896" s="5">
        <f>E141/E140-1</f>
        <v/>
      </c>
      <c r="F896" s="5">
        <f>F141/F140-1</f>
        <v/>
      </c>
      <c r="G896" s="5">
        <f>G141/G140-1</f>
        <v/>
      </c>
    </row>
    <row r="897">
      <c r="A897" s="2">
        <f>A142</f>
        <v/>
      </c>
      <c r="B897" s="5">
        <f>B142/B141-1</f>
        <v/>
      </c>
      <c r="C897" s="5">
        <f>C142/C141-1</f>
        <v/>
      </c>
      <c r="D897" s="5">
        <f>D142/D141-1</f>
        <v/>
      </c>
      <c r="E897" s="5">
        <f>E142/E141-1</f>
        <v/>
      </c>
      <c r="F897" s="5">
        <f>F142/F141-1</f>
        <v/>
      </c>
      <c r="G897" s="5">
        <f>G142/G141-1</f>
        <v/>
      </c>
    </row>
    <row r="898">
      <c r="A898" s="2">
        <f>A143</f>
        <v/>
      </c>
      <c r="B898" s="5">
        <f>B143/B142-1</f>
        <v/>
      </c>
      <c r="C898" s="5">
        <f>C143/C142-1</f>
        <v/>
      </c>
      <c r="D898" s="5">
        <f>D143/D142-1</f>
        <v/>
      </c>
      <c r="E898" s="5">
        <f>E143/E142-1</f>
        <v/>
      </c>
      <c r="F898" s="5">
        <f>F143/F142-1</f>
        <v/>
      </c>
      <c r="G898" s="5">
        <f>G143/G142-1</f>
        <v/>
      </c>
    </row>
    <row r="899">
      <c r="A899" s="2">
        <f>A144</f>
        <v/>
      </c>
      <c r="B899" s="5">
        <f>B144/B143-1</f>
        <v/>
      </c>
      <c r="C899" s="5">
        <f>C144/C143-1</f>
        <v/>
      </c>
      <c r="D899" s="5">
        <f>D144/D143-1</f>
        <v/>
      </c>
      <c r="E899" s="5">
        <f>E144/E143-1</f>
        <v/>
      </c>
      <c r="F899" s="5">
        <f>F144/F143-1</f>
        <v/>
      </c>
      <c r="G899" s="5">
        <f>G144/G143-1</f>
        <v/>
      </c>
    </row>
    <row r="900">
      <c r="A900" s="2">
        <f>A145</f>
        <v/>
      </c>
      <c r="B900" s="5">
        <f>B145/B144-1</f>
        <v/>
      </c>
      <c r="C900" s="5">
        <f>C145/C144-1</f>
        <v/>
      </c>
      <c r="D900" s="5">
        <f>D145/D144-1</f>
        <v/>
      </c>
      <c r="E900" s="5">
        <f>E145/E144-1</f>
        <v/>
      </c>
      <c r="F900" s="5">
        <f>F145/F144-1</f>
        <v/>
      </c>
      <c r="G900" s="5">
        <f>G145/G144-1</f>
        <v/>
      </c>
    </row>
    <row r="901">
      <c r="A901" s="2">
        <f>A146</f>
        <v/>
      </c>
      <c r="B901" s="5">
        <f>B146/B145-1</f>
        <v/>
      </c>
      <c r="C901" s="5">
        <f>C146/C145-1</f>
        <v/>
      </c>
      <c r="D901" s="5">
        <f>D146/D145-1</f>
        <v/>
      </c>
      <c r="E901" s="5">
        <f>E146/E145-1</f>
        <v/>
      </c>
      <c r="F901" s="5">
        <f>F146/F145-1</f>
        <v/>
      </c>
      <c r="G901" s="5">
        <f>G146/G145-1</f>
        <v/>
      </c>
    </row>
    <row r="902">
      <c r="A902" s="2">
        <f>A147</f>
        <v/>
      </c>
      <c r="B902" s="5">
        <f>B147/B146-1</f>
        <v/>
      </c>
      <c r="C902" s="5">
        <f>C147/C146-1</f>
        <v/>
      </c>
      <c r="D902" s="5">
        <f>D147/D146-1</f>
        <v/>
      </c>
      <c r="E902" s="5">
        <f>E147/E146-1</f>
        <v/>
      </c>
      <c r="F902" s="5">
        <f>F147/F146-1</f>
        <v/>
      </c>
      <c r="G902" s="5">
        <f>G147/G146-1</f>
        <v/>
      </c>
    </row>
    <row r="903">
      <c r="A903" s="2">
        <f>A148</f>
        <v/>
      </c>
      <c r="B903" s="5">
        <f>B148/B147-1</f>
        <v/>
      </c>
      <c r="C903" s="5">
        <f>C148/C147-1</f>
        <v/>
      </c>
      <c r="D903" s="5">
        <f>D148/D147-1</f>
        <v/>
      </c>
      <c r="E903" s="5">
        <f>E148/E147-1</f>
        <v/>
      </c>
      <c r="F903" s="5">
        <f>F148/F147-1</f>
        <v/>
      </c>
      <c r="G903" s="5">
        <f>G148/G147-1</f>
        <v/>
      </c>
    </row>
    <row r="904">
      <c r="A904" s="2">
        <f>A149</f>
        <v/>
      </c>
      <c r="B904" s="5">
        <f>B149/B148-1</f>
        <v/>
      </c>
      <c r="C904" s="5">
        <f>C149/C148-1</f>
        <v/>
      </c>
      <c r="D904" s="5">
        <f>D149/D148-1</f>
        <v/>
      </c>
      <c r="E904" s="5">
        <f>E149/E148-1</f>
        <v/>
      </c>
      <c r="F904" s="5">
        <f>F149/F148-1</f>
        <v/>
      </c>
      <c r="G904" s="5">
        <f>G149/G148-1</f>
        <v/>
      </c>
    </row>
    <row r="905">
      <c r="A905" s="2">
        <f>A150</f>
        <v/>
      </c>
      <c r="B905" s="5">
        <f>B150/B149-1</f>
        <v/>
      </c>
      <c r="C905" s="5">
        <f>C150/C149-1</f>
        <v/>
      </c>
      <c r="D905" s="5">
        <f>D150/D149-1</f>
        <v/>
      </c>
      <c r="E905" s="5">
        <f>E150/E149-1</f>
        <v/>
      </c>
      <c r="F905" s="5">
        <f>F150/F149-1</f>
        <v/>
      </c>
      <c r="G905" s="5">
        <f>G150/G149-1</f>
        <v/>
      </c>
    </row>
    <row r="906">
      <c r="A906" s="2">
        <f>A151</f>
        <v/>
      </c>
      <c r="B906" s="5">
        <f>B151/B150-1</f>
        <v/>
      </c>
      <c r="C906" s="5">
        <f>C151/C150-1</f>
        <v/>
      </c>
      <c r="D906" s="5">
        <f>D151/D150-1</f>
        <v/>
      </c>
      <c r="E906" s="5">
        <f>E151/E150-1</f>
        <v/>
      </c>
      <c r="F906" s="5">
        <f>F151/F150-1</f>
        <v/>
      </c>
      <c r="G906" s="5">
        <f>G151/G150-1</f>
        <v/>
      </c>
    </row>
    <row r="907">
      <c r="A907" s="2">
        <f>A152</f>
        <v/>
      </c>
      <c r="B907" s="5">
        <f>B152/B151-1</f>
        <v/>
      </c>
      <c r="C907" s="5">
        <f>C152/C151-1</f>
        <v/>
      </c>
      <c r="D907" s="5">
        <f>D152/D151-1</f>
        <v/>
      </c>
      <c r="E907" s="5">
        <f>E152/E151-1</f>
        <v/>
      </c>
      <c r="F907" s="5">
        <f>F152/F151-1</f>
        <v/>
      </c>
      <c r="G907" s="5">
        <f>G152/G151-1</f>
        <v/>
      </c>
    </row>
    <row r="908">
      <c r="A908" s="2">
        <f>A153</f>
        <v/>
      </c>
      <c r="B908" s="5">
        <f>B153/B152-1</f>
        <v/>
      </c>
      <c r="C908" s="5">
        <f>C153/C152-1</f>
        <v/>
      </c>
      <c r="D908" s="5">
        <f>D153/D152-1</f>
        <v/>
      </c>
      <c r="E908" s="5">
        <f>E153/E152-1</f>
        <v/>
      </c>
      <c r="F908" s="5">
        <f>F153/F152-1</f>
        <v/>
      </c>
      <c r="G908" s="5">
        <f>G153/G152-1</f>
        <v/>
      </c>
    </row>
    <row r="909">
      <c r="A909" s="2">
        <f>A154</f>
        <v/>
      </c>
      <c r="B909" s="5">
        <f>B154/B153-1</f>
        <v/>
      </c>
      <c r="C909" s="5">
        <f>C154/C153-1</f>
        <v/>
      </c>
      <c r="D909" s="5">
        <f>D154/D153-1</f>
        <v/>
      </c>
      <c r="E909" s="5">
        <f>E154/E153-1</f>
        <v/>
      </c>
      <c r="F909" s="5">
        <f>F154/F153-1</f>
        <v/>
      </c>
      <c r="G909" s="5">
        <f>G154/G153-1</f>
        <v/>
      </c>
    </row>
    <row r="910">
      <c r="A910" s="2">
        <f>A155</f>
        <v/>
      </c>
      <c r="B910" s="5">
        <f>B155/B154-1</f>
        <v/>
      </c>
      <c r="C910" s="5">
        <f>C155/C154-1</f>
        <v/>
      </c>
      <c r="D910" s="5">
        <f>D155/D154-1</f>
        <v/>
      </c>
      <c r="E910" s="5">
        <f>E155/E154-1</f>
        <v/>
      </c>
      <c r="F910" s="5">
        <f>F155/F154-1</f>
        <v/>
      </c>
      <c r="G910" s="5">
        <f>G155/G154-1</f>
        <v/>
      </c>
    </row>
    <row r="911">
      <c r="A911" s="2">
        <f>A156</f>
        <v/>
      </c>
      <c r="B911" s="5">
        <f>B156/B155-1</f>
        <v/>
      </c>
      <c r="C911" s="5">
        <f>C156/C155-1</f>
        <v/>
      </c>
      <c r="D911" s="5">
        <f>D156/D155-1</f>
        <v/>
      </c>
      <c r="E911" s="5">
        <f>E156/E155-1</f>
        <v/>
      </c>
      <c r="F911" s="5">
        <f>F156/F155-1</f>
        <v/>
      </c>
      <c r="G911" s="5">
        <f>G156/G155-1</f>
        <v/>
      </c>
    </row>
    <row r="912">
      <c r="A912" s="2">
        <f>A157</f>
        <v/>
      </c>
      <c r="B912" s="5">
        <f>B157/B156-1</f>
        <v/>
      </c>
      <c r="C912" s="5">
        <f>C157/C156-1</f>
        <v/>
      </c>
      <c r="D912" s="5">
        <f>D157/D156-1</f>
        <v/>
      </c>
      <c r="E912" s="5">
        <f>E157/E156-1</f>
        <v/>
      </c>
      <c r="F912" s="5">
        <f>F157/F156-1</f>
        <v/>
      </c>
      <c r="G912" s="5">
        <f>G157/G156-1</f>
        <v/>
      </c>
    </row>
    <row r="913">
      <c r="A913" s="2">
        <f>A158</f>
        <v/>
      </c>
      <c r="B913" s="5">
        <f>B158/B157-1</f>
        <v/>
      </c>
      <c r="C913" s="5">
        <f>C158/C157-1</f>
        <v/>
      </c>
      <c r="D913" s="5">
        <f>D158/D157-1</f>
        <v/>
      </c>
      <c r="E913" s="5">
        <f>E158/E157-1</f>
        <v/>
      </c>
      <c r="F913" s="5">
        <f>F158/F157-1</f>
        <v/>
      </c>
      <c r="G913" s="5">
        <f>G158/G157-1</f>
        <v/>
      </c>
    </row>
    <row r="914">
      <c r="A914" s="2">
        <f>A159</f>
        <v/>
      </c>
      <c r="B914" s="5">
        <f>B159/B158-1</f>
        <v/>
      </c>
      <c r="C914" s="5">
        <f>C159/C158-1</f>
        <v/>
      </c>
      <c r="D914" s="5">
        <f>D159/D158-1</f>
        <v/>
      </c>
      <c r="E914" s="5">
        <f>E159/E158-1</f>
        <v/>
      </c>
      <c r="F914" s="5">
        <f>F159/F158-1</f>
        <v/>
      </c>
      <c r="G914" s="5">
        <f>G159/G158-1</f>
        <v/>
      </c>
    </row>
    <row r="915">
      <c r="A915" s="2">
        <f>A160</f>
        <v/>
      </c>
      <c r="B915" s="5">
        <f>B160/B159-1</f>
        <v/>
      </c>
      <c r="C915" s="5">
        <f>C160/C159-1</f>
        <v/>
      </c>
      <c r="D915" s="5">
        <f>D160/D159-1</f>
        <v/>
      </c>
      <c r="E915" s="5">
        <f>E160/E159-1</f>
        <v/>
      </c>
      <c r="F915" s="5">
        <f>F160/F159-1</f>
        <v/>
      </c>
      <c r="G915" s="5">
        <f>G160/G159-1</f>
        <v/>
      </c>
    </row>
    <row r="916">
      <c r="A916" s="2">
        <f>A161</f>
        <v/>
      </c>
      <c r="B916" s="5">
        <f>B161/B160-1</f>
        <v/>
      </c>
      <c r="C916" s="5">
        <f>C161/C160-1</f>
        <v/>
      </c>
      <c r="D916" s="5">
        <f>D161/D160-1</f>
        <v/>
      </c>
      <c r="E916" s="5">
        <f>E161/E160-1</f>
        <v/>
      </c>
      <c r="F916" s="5">
        <f>F161/F160-1</f>
        <v/>
      </c>
      <c r="G916" s="5">
        <f>G161/G160-1</f>
        <v/>
      </c>
    </row>
    <row r="917">
      <c r="A917" s="2">
        <f>A162</f>
        <v/>
      </c>
      <c r="B917" s="5">
        <f>B162/B161-1</f>
        <v/>
      </c>
      <c r="C917" s="5">
        <f>C162/C161-1</f>
        <v/>
      </c>
      <c r="D917" s="5">
        <f>D162/D161-1</f>
        <v/>
      </c>
      <c r="E917" s="5">
        <f>E162/E161-1</f>
        <v/>
      </c>
      <c r="F917" s="5">
        <f>F162/F161-1</f>
        <v/>
      </c>
      <c r="G917" s="5">
        <f>G162/G161-1</f>
        <v/>
      </c>
    </row>
    <row r="918">
      <c r="A918" s="2">
        <f>A163</f>
        <v/>
      </c>
      <c r="B918" s="5">
        <f>B163/B162-1</f>
        <v/>
      </c>
      <c r="C918" s="5">
        <f>C163/C162-1</f>
        <v/>
      </c>
      <c r="D918" s="5">
        <f>D163/D162-1</f>
        <v/>
      </c>
      <c r="E918" s="5">
        <f>E163/E162-1</f>
        <v/>
      </c>
      <c r="F918" s="5">
        <f>F163/F162-1</f>
        <v/>
      </c>
      <c r="G918" s="5">
        <f>G163/G162-1</f>
        <v/>
      </c>
    </row>
    <row r="919">
      <c r="A919" s="2">
        <f>A164</f>
        <v/>
      </c>
      <c r="B919" s="5">
        <f>B164/B163-1</f>
        <v/>
      </c>
      <c r="C919" s="5">
        <f>C164/C163-1</f>
        <v/>
      </c>
      <c r="D919" s="5">
        <f>D164/D163-1</f>
        <v/>
      </c>
      <c r="E919" s="5">
        <f>E164/E163-1</f>
        <v/>
      </c>
      <c r="F919" s="5">
        <f>F164/F163-1</f>
        <v/>
      </c>
      <c r="G919" s="5">
        <f>G164/G163-1</f>
        <v/>
      </c>
    </row>
    <row r="920">
      <c r="A920" s="2">
        <f>A165</f>
        <v/>
      </c>
      <c r="B920" s="5">
        <f>B165/B164-1</f>
        <v/>
      </c>
      <c r="C920" s="5">
        <f>C165/C164-1</f>
        <v/>
      </c>
      <c r="D920" s="5">
        <f>D165/D164-1</f>
        <v/>
      </c>
      <c r="E920" s="5">
        <f>E165/E164-1</f>
        <v/>
      </c>
      <c r="F920" s="5">
        <f>F165/F164-1</f>
        <v/>
      </c>
      <c r="G920" s="5">
        <f>G165/G164-1</f>
        <v/>
      </c>
    </row>
    <row r="921">
      <c r="A921" s="2">
        <f>A166</f>
        <v/>
      </c>
      <c r="B921" s="5">
        <f>B166/B165-1</f>
        <v/>
      </c>
      <c r="C921" s="5">
        <f>C166/C165-1</f>
        <v/>
      </c>
      <c r="D921" s="5">
        <f>D166/D165-1</f>
        <v/>
      </c>
      <c r="E921" s="5">
        <f>E166/E165-1</f>
        <v/>
      </c>
      <c r="F921" s="5">
        <f>F166/F165-1</f>
        <v/>
      </c>
      <c r="G921" s="5">
        <f>G166/G165-1</f>
        <v/>
      </c>
    </row>
    <row r="922">
      <c r="A922" s="2">
        <f>A167</f>
        <v/>
      </c>
      <c r="B922" s="5">
        <f>B167/B166-1</f>
        <v/>
      </c>
      <c r="C922" s="5">
        <f>C167/C166-1</f>
        <v/>
      </c>
      <c r="D922" s="5">
        <f>D167/D166-1</f>
        <v/>
      </c>
      <c r="E922" s="5">
        <f>E167/E166-1</f>
        <v/>
      </c>
      <c r="F922" s="5">
        <f>F167/F166-1</f>
        <v/>
      </c>
      <c r="G922" s="5">
        <f>G167/G166-1</f>
        <v/>
      </c>
    </row>
    <row r="923">
      <c r="A923" s="2">
        <f>A168</f>
        <v/>
      </c>
      <c r="B923" s="5">
        <f>B168/B167-1</f>
        <v/>
      </c>
      <c r="C923" s="5">
        <f>C168/C167-1</f>
        <v/>
      </c>
      <c r="D923" s="5">
        <f>D168/D167-1</f>
        <v/>
      </c>
      <c r="E923" s="5">
        <f>E168/E167-1</f>
        <v/>
      </c>
      <c r="F923" s="5">
        <f>F168/F167-1</f>
        <v/>
      </c>
      <c r="G923" s="5">
        <f>G168/G167-1</f>
        <v/>
      </c>
    </row>
    <row r="924">
      <c r="A924" s="2">
        <f>A169</f>
        <v/>
      </c>
      <c r="B924" s="5">
        <f>B169/B168-1</f>
        <v/>
      </c>
      <c r="C924" s="5">
        <f>C169/C168-1</f>
        <v/>
      </c>
      <c r="D924" s="5">
        <f>D169/D168-1</f>
        <v/>
      </c>
      <c r="E924" s="5">
        <f>E169/E168-1</f>
        <v/>
      </c>
      <c r="F924" s="5">
        <f>F169/F168-1</f>
        <v/>
      </c>
      <c r="G924" s="5">
        <f>G169/G168-1</f>
        <v/>
      </c>
    </row>
    <row r="925">
      <c r="A925" s="2">
        <f>A170</f>
        <v/>
      </c>
      <c r="B925" s="5">
        <f>B170/B169-1</f>
        <v/>
      </c>
      <c r="C925" s="5">
        <f>C170/C169-1</f>
        <v/>
      </c>
      <c r="D925" s="5">
        <f>D170/D169-1</f>
        <v/>
      </c>
      <c r="E925" s="5">
        <f>E170/E169-1</f>
        <v/>
      </c>
      <c r="F925" s="5">
        <f>F170/F169-1</f>
        <v/>
      </c>
      <c r="G925" s="5">
        <f>G170/G169-1</f>
        <v/>
      </c>
    </row>
    <row r="926">
      <c r="A926" s="2">
        <f>A171</f>
        <v/>
      </c>
      <c r="B926" s="5">
        <f>B171/B170-1</f>
        <v/>
      </c>
      <c r="C926" s="5">
        <f>C171/C170-1</f>
        <v/>
      </c>
      <c r="D926" s="5">
        <f>D171/D170-1</f>
        <v/>
      </c>
      <c r="E926" s="5">
        <f>E171/E170-1</f>
        <v/>
      </c>
      <c r="F926" s="5">
        <f>F171/F170-1</f>
        <v/>
      </c>
      <c r="G926" s="5">
        <f>G171/G170-1</f>
        <v/>
      </c>
    </row>
    <row r="927">
      <c r="A927" s="2">
        <f>A172</f>
        <v/>
      </c>
      <c r="B927" s="5">
        <f>B172/B171-1</f>
        <v/>
      </c>
      <c r="C927" s="5">
        <f>C172/C171-1</f>
        <v/>
      </c>
      <c r="D927" s="5">
        <f>D172/D171-1</f>
        <v/>
      </c>
      <c r="E927" s="5">
        <f>E172/E171-1</f>
        <v/>
      </c>
      <c r="F927" s="5">
        <f>F172/F171-1</f>
        <v/>
      </c>
      <c r="G927" s="5">
        <f>G172/G171-1</f>
        <v/>
      </c>
    </row>
    <row r="928">
      <c r="A928" s="2">
        <f>A173</f>
        <v/>
      </c>
      <c r="B928" s="5">
        <f>B173/B172-1</f>
        <v/>
      </c>
      <c r="C928" s="5">
        <f>C173/C172-1</f>
        <v/>
      </c>
      <c r="D928" s="5">
        <f>D173/D172-1</f>
        <v/>
      </c>
      <c r="E928" s="5">
        <f>E173/E172-1</f>
        <v/>
      </c>
      <c r="F928" s="5">
        <f>F173/F172-1</f>
        <v/>
      </c>
      <c r="G928" s="5">
        <f>G173/G172-1</f>
        <v/>
      </c>
    </row>
    <row r="929">
      <c r="A929" s="2">
        <f>A174</f>
        <v/>
      </c>
      <c r="B929" s="5">
        <f>B174/B173-1</f>
        <v/>
      </c>
      <c r="C929" s="5">
        <f>C174/C173-1</f>
        <v/>
      </c>
      <c r="D929" s="5">
        <f>D174/D173-1</f>
        <v/>
      </c>
      <c r="E929" s="5">
        <f>E174/E173-1</f>
        <v/>
      </c>
      <c r="F929" s="5">
        <f>F174/F173-1</f>
        <v/>
      </c>
      <c r="G929" s="5">
        <f>G174/G173-1</f>
        <v/>
      </c>
    </row>
    <row r="930">
      <c r="A930" s="2">
        <f>A175</f>
        <v/>
      </c>
      <c r="B930" s="5">
        <f>B175/B174-1</f>
        <v/>
      </c>
      <c r="C930" s="5">
        <f>C175/C174-1</f>
        <v/>
      </c>
      <c r="D930" s="5">
        <f>D175/D174-1</f>
        <v/>
      </c>
      <c r="E930" s="5">
        <f>E175/E174-1</f>
        <v/>
      </c>
      <c r="F930" s="5">
        <f>F175/F174-1</f>
        <v/>
      </c>
      <c r="G930" s="5">
        <f>G175/G174-1</f>
        <v/>
      </c>
    </row>
    <row r="931">
      <c r="A931" s="2">
        <f>A176</f>
        <v/>
      </c>
      <c r="B931" s="5">
        <f>B176/B175-1</f>
        <v/>
      </c>
      <c r="C931" s="5">
        <f>C176/C175-1</f>
        <v/>
      </c>
      <c r="D931" s="5">
        <f>D176/D175-1</f>
        <v/>
      </c>
      <c r="E931" s="5">
        <f>E176/E175-1</f>
        <v/>
      </c>
      <c r="F931" s="5">
        <f>F176/F175-1</f>
        <v/>
      </c>
      <c r="G931" s="5">
        <f>G176/G175-1</f>
        <v/>
      </c>
    </row>
    <row r="932">
      <c r="A932" s="2">
        <f>A177</f>
        <v/>
      </c>
      <c r="B932" s="5">
        <f>B177/B176-1</f>
        <v/>
      </c>
      <c r="C932" s="5">
        <f>C177/C176-1</f>
        <v/>
      </c>
      <c r="D932" s="5">
        <f>D177/D176-1</f>
        <v/>
      </c>
      <c r="E932" s="5">
        <f>E177/E176-1</f>
        <v/>
      </c>
      <c r="F932" s="5">
        <f>F177/F176-1</f>
        <v/>
      </c>
      <c r="G932" s="5">
        <f>G177/G176-1</f>
        <v/>
      </c>
    </row>
    <row r="933">
      <c r="A933" s="2">
        <f>A178</f>
        <v/>
      </c>
      <c r="B933" s="5">
        <f>B178/B177-1</f>
        <v/>
      </c>
      <c r="C933" s="5">
        <f>C178/C177-1</f>
        <v/>
      </c>
      <c r="D933" s="5">
        <f>D178/D177-1</f>
        <v/>
      </c>
      <c r="E933" s="5">
        <f>E178/E177-1</f>
        <v/>
      </c>
      <c r="F933" s="5">
        <f>F178/F177-1</f>
        <v/>
      </c>
      <c r="G933" s="5">
        <f>G178/G177-1</f>
        <v/>
      </c>
    </row>
    <row r="934">
      <c r="A934" s="2">
        <f>A179</f>
        <v/>
      </c>
      <c r="B934" s="5">
        <f>B179/B178-1</f>
        <v/>
      </c>
      <c r="C934" s="5">
        <f>C179/C178-1</f>
        <v/>
      </c>
      <c r="D934" s="5">
        <f>D179/D178-1</f>
        <v/>
      </c>
      <c r="E934" s="5">
        <f>E179/E178-1</f>
        <v/>
      </c>
      <c r="F934" s="5">
        <f>F179/F178-1</f>
        <v/>
      </c>
      <c r="G934" s="5">
        <f>G179/G178-1</f>
        <v/>
      </c>
    </row>
    <row r="935">
      <c r="A935" s="2">
        <f>A180</f>
        <v/>
      </c>
      <c r="B935" s="5">
        <f>B180/B179-1</f>
        <v/>
      </c>
      <c r="C935" s="5">
        <f>C180/C179-1</f>
        <v/>
      </c>
      <c r="D935" s="5">
        <f>D180/D179-1</f>
        <v/>
      </c>
      <c r="E935" s="5">
        <f>E180/E179-1</f>
        <v/>
      </c>
      <c r="F935" s="5">
        <f>F180/F179-1</f>
        <v/>
      </c>
      <c r="G935" s="5">
        <f>G180/G179-1</f>
        <v/>
      </c>
    </row>
    <row r="936">
      <c r="A936" s="2">
        <f>A181</f>
        <v/>
      </c>
      <c r="B936" s="5">
        <f>B181/B180-1</f>
        <v/>
      </c>
      <c r="C936" s="5">
        <f>C181/C180-1</f>
        <v/>
      </c>
      <c r="D936" s="5">
        <f>D181/D180-1</f>
        <v/>
      </c>
      <c r="E936" s="5">
        <f>E181/E180-1</f>
        <v/>
      </c>
      <c r="F936" s="5">
        <f>F181/F180-1</f>
        <v/>
      </c>
      <c r="G936" s="5">
        <f>G181/G180-1</f>
        <v/>
      </c>
    </row>
    <row r="937">
      <c r="A937" s="2">
        <f>A182</f>
        <v/>
      </c>
      <c r="B937" s="5">
        <f>B182/B181-1</f>
        <v/>
      </c>
      <c r="C937" s="5">
        <f>C182/C181-1</f>
        <v/>
      </c>
      <c r="D937" s="5">
        <f>D182/D181-1</f>
        <v/>
      </c>
      <c r="E937" s="5">
        <f>E182/E181-1</f>
        <v/>
      </c>
      <c r="F937" s="5">
        <f>F182/F181-1</f>
        <v/>
      </c>
      <c r="G937" s="5">
        <f>G182/G181-1</f>
        <v/>
      </c>
    </row>
    <row r="938">
      <c r="A938" s="2">
        <f>A183</f>
        <v/>
      </c>
      <c r="B938" s="5">
        <f>B183/B182-1</f>
        <v/>
      </c>
      <c r="C938" s="5">
        <f>C183/C182-1</f>
        <v/>
      </c>
      <c r="D938" s="5">
        <f>D183/D182-1</f>
        <v/>
      </c>
      <c r="E938" s="5">
        <f>E183/E182-1</f>
        <v/>
      </c>
      <c r="F938" s="5">
        <f>F183/F182-1</f>
        <v/>
      </c>
      <c r="G938" s="5">
        <f>G183/G182-1</f>
        <v/>
      </c>
    </row>
    <row r="939">
      <c r="A939" s="2">
        <f>A184</f>
        <v/>
      </c>
      <c r="B939" s="5">
        <f>B184/B183-1</f>
        <v/>
      </c>
      <c r="C939" s="5">
        <f>C184/C183-1</f>
        <v/>
      </c>
      <c r="D939" s="5">
        <f>D184/D183-1</f>
        <v/>
      </c>
      <c r="E939" s="5">
        <f>E184/E183-1</f>
        <v/>
      </c>
      <c r="F939" s="5">
        <f>F184/F183-1</f>
        <v/>
      </c>
      <c r="G939" s="5">
        <f>G184/G183-1</f>
        <v/>
      </c>
    </row>
    <row r="940">
      <c r="A940" s="2">
        <f>A185</f>
        <v/>
      </c>
      <c r="B940" s="5">
        <f>B185/B184-1</f>
        <v/>
      </c>
      <c r="C940" s="5">
        <f>C185/C184-1</f>
        <v/>
      </c>
      <c r="D940" s="5">
        <f>D185/D184-1</f>
        <v/>
      </c>
      <c r="E940" s="5">
        <f>E185/E184-1</f>
        <v/>
      </c>
      <c r="F940" s="5">
        <f>F185/F184-1</f>
        <v/>
      </c>
      <c r="G940" s="5">
        <f>G185/G184-1</f>
        <v/>
      </c>
    </row>
    <row r="941">
      <c r="A941" s="2">
        <f>A186</f>
        <v/>
      </c>
      <c r="B941" s="5">
        <f>B186/B185-1</f>
        <v/>
      </c>
      <c r="C941" s="5">
        <f>C186/C185-1</f>
        <v/>
      </c>
      <c r="D941" s="5">
        <f>D186/D185-1</f>
        <v/>
      </c>
      <c r="E941" s="5">
        <f>E186/E185-1</f>
        <v/>
      </c>
      <c r="F941" s="5">
        <f>F186/F185-1</f>
        <v/>
      </c>
      <c r="G941" s="5">
        <f>G186/G185-1</f>
        <v/>
      </c>
    </row>
    <row r="942">
      <c r="A942" s="2">
        <f>A187</f>
        <v/>
      </c>
      <c r="B942" s="5">
        <f>B187/B186-1</f>
        <v/>
      </c>
      <c r="C942" s="5">
        <f>C187/C186-1</f>
        <v/>
      </c>
      <c r="D942" s="5">
        <f>D187/D186-1</f>
        <v/>
      </c>
      <c r="E942" s="5">
        <f>E187/E186-1</f>
        <v/>
      </c>
      <c r="F942" s="5">
        <f>F187/F186-1</f>
        <v/>
      </c>
      <c r="G942" s="5">
        <f>G187/G186-1</f>
        <v/>
      </c>
    </row>
    <row r="943">
      <c r="A943" s="2">
        <f>A188</f>
        <v/>
      </c>
      <c r="B943" s="5">
        <f>B188/B187-1</f>
        <v/>
      </c>
      <c r="C943" s="5">
        <f>C188/C187-1</f>
        <v/>
      </c>
      <c r="D943" s="5">
        <f>D188/D187-1</f>
        <v/>
      </c>
      <c r="E943" s="5">
        <f>E188/E187-1</f>
        <v/>
      </c>
      <c r="F943" s="5">
        <f>F188/F187-1</f>
        <v/>
      </c>
      <c r="G943" s="5">
        <f>G188/G187-1</f>
        <v/>
      </c>
    </row>
    <row r="944">
      <c r="A944" s="2">
        <f>A189</f>
        <v/>
      </c>
      <c r="B944" s="5">
        <f>B189/B188-1</f>
        <v/>
      </c>
      <c r="C944" s="5">
        <f>C189/C188-1</f>
        <v/>
      </c>
      <c r="D944" s="5">
        <f>D189/D188-1</f>
        <v/>
      </c>
      <c r="E944" s="5">
        <f>E189/E188-1</f>
        <v/>
      </c>
      <c r="F944" s="5">
        <f>F189/F188-1</f>
        <v/>
      </c>
      <c r="G944" s="5">
        <f>G189/G188-1</f>
        <v/>
      </c>
    </row>
    <row r="945">
      <c r="A945" s="2">
        <f>A190</f>
        <v/>
      </c>
      <c r="B945" s="5">
        <f>B190/B189-1</f>
        <v/>
      </c>
      <c r="C945" s="5">
        <f>C190/C189-1</f>
        <v/>
      </c>
      <c r="D945" s="5">
        <f>D190/D189-1</f>
        <v/>
      </c>
      <c r="E945" s="5">
        <f>E190/E189-1</f>
        <v/>
      </c>
      <c r="F945" s="5">
        <f>F190/F189-1</f>
        <v/>
      </c>
      <c r="G945" s="5">
        <f>G190/G189-1</f>
        <v/>
      </c>
    </row>
    <row r="946">
      <c r="A946" s="2">
        <f>A191</f>
        <v/>
      </c>
      <c r="B946" s="5">
        <f>B191/B190-1</f>
        <v/>
      </c>
      <c r="C946" s="5">
        <f>C191/C190-1</f>
        <v/>
      </c>
      <c r="D946" s="5">
        <f>D191/D190-1</f>
        <v/>
      </c>
      <c r="E946" s="5">
        <f>E191/E190-1</f>
        <v/>
      </c>
      <c r="F946" s="5">
        <f>F191/F190-1</f>
        <v/>
      </c>
      <c r="G946" s="5">
        <f>G191/G190-1</f>
        <v/>
      </c>
    </row>
    <row r="947">
      <c r="A947" s="2">
        <f>A192</f>
        <v/>
      </c>
      <c r="B947" s="5">
        <f>B192/B191-1</f>
        <v/>
      </c>
      <c r="C947" s="5">
        <f>C192/C191-1</f>
        <v/>
      </c>
      <c r="D947" s="5">
        <f>D192/D191-1</f>
        <v/>
      </c>
      <c r="E947" s="5">
        <f>E192/E191-1</f>
        <v/>
      </c>
      <c r="F947" s="5">
        <f>F192/F191-1</f>
        <v/>
      </c>
      <c r="G947" s="5">
        <f>G192/G191-1</f>
        <v/>
      </c>
    </row>
    <row r="948">
      <c r="A948" s="2">
        <f>A193</f>
        <v/>
      </c>
      <c r="B948" s="5">
        <f>B193/B192-1</f>
        <v/>
      </c>
      <c r="C948" s="5">
        <f>C193/C192-1</f>
        <v/>
      </c>
      <c r="D948" s="5">
        <f>D193/D192-1</f>
        <v/>
      </c>
      <c r="E948" s="5">
        <f>E193/E192-1</f>
        <v/>
      </c>
      <c r="F948" s="5">
        <f>F193/F192-1</f>
        <v/>
      </c>
      <c r="G948" s="5">
        <f>G193/G192-1</f>
        <v/>
      </c>
    </row>
    <row r="949">
      <c r="A949" s="2">
        <f>A194</f>
        <v/>
      </c>
      <c r="B949" s="5">
        <f>B194/B193-1</f>
        <v/>
      </c>
      <c r="C949" s="5">
        <f>C194/C193-1</f>
        <v/>
      </c>
      <c r="D949" s="5">
        <f>D194/D193-1</f>
        <v/>
      </c>
      <c r="E949" s="5">
        <f>E194/E193-1</f>
        <v/>
      </c>
      <c r="F949" s="5">
        <f>F194/F193-1</f>
        <v/>
      </c>
      <c r="G949" s="5">
        <f>G194/G193-1</f>
        <v/>
      </c>
    </row>
    <row r="950">
      <c r="A950" s="2">
        <f>A195</f>
        <v/>
      </c>
      <c r="B950" s="5">
        <f>B195/B194-1</f>
        <v/>
      </c>
      <c r="C950" s="5">
        <f>C195/C194-1</f>
        <v/>
      </c>
      <c r="D950" s="5">
        <f>D195/D194-1</f>
        <v/>
      </c>
      <c r="E950" s="5">
        <f>E195/E194-1</f>
        <v/>
      </c>
      <c r="F950" s="5">
        <f>F195/F194-1</f>
        <v/>
      </c>
      <c r="G950" s="5">
        <f>G195/G194-1</f>
        <v/>
      </c>
    </row>
    <row r="951">
      <c r="A951" s="2">
        <f>A196</f>
        <v/>
      </c>
      <c r="B951" s="5">
        <f>B196/B195-1</f>
        <v/>
      </c>
      <c r="C951" s="5">
        <f>C196/C195-1</f>
        <v/>
      </c>
      <c r="D951" s="5">
        <f>D196/D195-1</f>
        <v/>
      </c>
      <c r="E951" s="5">
        <f>E196/E195-1</f>
        <v/>
      </c>
      <c r="F951" s="5">
        <f>F196/F195-1</f>
        <v/>
      </c>
      <c r="G951" s="5">
        <f>G196/G195-1</f>
        <v/>
      </c>
    </row>
    <row r="952">
      <c r="A952" s="2">
        <f>A197</f>
        <v/>
      </c>
      <c r="B952" s="5">
        <f>B197/B196-1</f>
        <v/>
      </c>
      <c r="C952" s="5">
        <f>C197/C196-1</f>
        <v/>
      </c>
      <c r="D952" s="5">
        <f>D197/D196-1</f>
        <v/>
      </c>
      <c r="E952" s="5">
        <f>E197/E196-1</f>
        <v/>
      </c>
      <c r="F952" s="5">
        <f>F197/F196-1</f>
        <v/>
      </c>
      <c r="G952" s="5">
        <f>G197/G196-1</f>
        <v/>
      </c>
    </row>
    <row r="953">
      <c r="A953" s="2">
        <f>A198</f>
        <v/>
      </c>
      <c r="B953" s="5">
        <f>B198/B197-1</f>
        <v/>
      </c>
      <c r="C953" s="5">
        <f>C198/C197-1</f>
        <v/>
      </c>
      <c r="D953" s="5">
        <f>D198/D197-1</f>
        <v/>
      </c>
      <c r="E953" s="5">
        <f>E198/E197-1</f>
        <v/>
      </c>
      <c r="F953" s="5">
        <f>F198/F197-1</f>
        <v/>
      </c>
      <c r="G953" s="5">
        <f>G198/G197-1</f>
        <v/>
      </c>
    </row>
    <row r="954">
      <c r="A954" s="2">
        <f>A199</f>
        <v/>
      </c>
      <c r="B954" s="5">
        <f>B199/B198-1</f>
        <v/>
      </c>
      <c r="C954" s="5">
        <f>C199/C198-1</f>
        <v/>
      </c>
      <c r="D954" s="5">
        <f>D199/D198-1</f>
        <v/>
      </c>
      <c r="E954" s="5">
        <f>E199/E198-1</f>
        <v/>
      </c>
      <c r="F954" s="5">
        <f>F199/F198-1</f>
        <v/>
      </c>
      <c r="G954" s="5">
        <f>G199/G198-1</f>
        <v/>
      </c>
    </row>
    <row r="955">
      <c r="A955" s="2">
        <f>A200</f>
        <v/>
      </c>
      <c r="B955" s="5">
        <f>B200/B199-1</f>
        <v/>
      </c>
      <c r="C955" s="5">
        <f>C200/C199-1</f>
        <v/>
      </c>
      <c r="D955" s="5">
        <f>D200/D199-1</f>
        <v/>
      </c>
      <c r="E955" s="5">
        <f>E200/E199-1</f>
        <v/>
      </c>
      <c r="F955" s="5">
        <f>F200/F199-1</f>
        <v/>
      </c>
      <c r="G955" s="5">
        <f>G200/G199-1</f>
        <v/>
      </c>
    </row>
    <row r="956">
      <c r="A956" s="2">
        <f>A201</f>
        <v/>
      </c>
      <c r="B956" s="5">
        <f>B201/B200-1</f>
        <v/>
      </c>
      <c r="C956" s="5">
        <f>C201/C200-1</f>
        <v/>
      </c>
      <c r="D956" s="5">
        <f>D201/D200-1</f>
        <v/>
      </c>
      <c r="E956" s="5">
        <f>E201/E200-1</f>
        <v/>
      </c>
      <c r="F956" s="5">
        <f>F201/F200-1</f>
        <v/>
      </c>
      <c r="G956" s="5">
        <f>G201/G200-1</f>
        <v/>
      </c>
    </row>
    <row r="957">
      <c r="A957" s="2">
        <f>A202</f>
        <v/>
      </c>
      <c r="B957" s="5">
        <f>B202/B201-1</f>
        <v/>
      </c>
      <c r="C957" s="5">
        <f>C202/C201-1</f>
        <v/>
      </c>
      <c r="D957" s="5">
        <f>D202/D201-1</f>
        <v/>
      </c>
      <c r="E957" s="5">
        <f>E202/E201-1</f>
        <v/>
      </c>
      <c r="F957" s="5">
        <f>F202/F201-1</f>
        <v/>
      </c>
      <c r="G957" s="5">
        <f>G202/G201-1</f>
        <v/>
      </c>
    </row>
    <row r="958">
      <c r="A958" s="2">
        <f>A203</f>
        <v/>
      </c>
      <c r="B958" s="5">
        <f>B203/B202-1</f>
        <v/>
      </c>
      <c r="C958" s="5">
        <f>C203/C202-1</f>
        <v/>
      </c>
      <c r="D958" s="5">
        <f>D203/D202-1</f>
        <v/>
      </c>
      <c r="E958" s="5">
        <f>E203/E202-1</f>
        <v/>
      </c>
      <c r="F958" s="5">
        <f>F203/F202-1</f>
        <v/>
      </c>
      <c r="G958" s="5">
        <f>G203/G202-1</f>
        <v/>
      </c>
    </row>
    <row r="959">
      <c r="A959" s="2">
        <f>A204</f>
        <v/>
      </c>
      <c r="B959" s="5">
        <f>B204/B203-1</f>
        <v/>
      </c>
      <c r="C959" s="5">
        <f>C204/C203-1</f>
        <v/>
      </c>
      <c r="D959" s="5">
        <f>D204/D203-1</f>
        <v/>
      </c>
      <c r="E959" s="5">
        <f>E204/E203-1</f>
        <v/>
      </c>
      <c r="F959" s="5">
        <f>F204/F203-1</f>
        <v/>
      </c>
      <c r="G959" s="5">
        <f>G204/G203-1</f>
        <v/>
      </c>
    </row>
    <row r="960">
      <c r="A960" s="2">
        <f>A205</f>
        <v/>
      </c>
      <c r="B960" s="5">
        <f>B205/B204-1</f>
        <v/>
      </c>
      <c r="C960" s="5">
        <f>C205/C204-1</f>
        <v/>
      </c>
      <c r="D960" s="5">
        <f>D205/D204-1</f>
        <v/>
      </c>
      <c r="E960" s="5">
        <f>E205/E204-1</f>
        <v/>
      </c>
      <c r="F960" s="5">
        <f>F205/F204-1</f>
        <v/>
      </c>
      <c r="G960" s="5">
        <f>G205/G204-1</f>
        <v/>
      </c>
    </row>
    <row r="961">
      <c r="A961" s="2">
        <f>A206</f>
        <v/>
      </c>
      <c r="B961" s="5">
        <f>B206/B205-1</f>
        <v/>
      </c>
      <c r="C961" s="5">
        <f>C206/C205-1</f>
        <v/>
      </c>
      <c r="D961" s="5">
        <f>D206/D205-1</f>
        <v/>
      </c>
      <c r="E961" s="5">
        <f>E206/E205-1</f>
        <v/>
      </c>
      <c r="F961" s="5">
        <f>F206/F205-1</f>
        <v/>
      </c>
      <c r="G961" s="5">
        <f>G206/G205-1</f>
        <v/>
      </c>
    </row>
    <row r="962">
      <c r="A962" s="2">
        <f>A207</f>
        <v/>
      </c>
      <c r="B962" s="5">
        <f>B207/B206-1</f>
        <v/>
      </c>
      <c r="C962" s="5">
        <f>C207/C206-1</f>
        <v/>
      </c>
      <c r="D962" s="5">
        <f>D207/D206-1</f>
        <v/>
      </c>
      <c r="E962" s="5">
        <f>E207/E206-1</f>
        <v/>
      </c>
      <c r="F962" s="5">
        <f>F207/F206-1</f>
        <v/>
      </c>
      <c r="G962" s="5">
        <f>G207/G206-1</f>
        <v/>
      </c>
    </row>
    <row r="963">
      <c r="A963" s="2">
        <f>A208</f>
        <v/>
      </c>
      <c r="B963" s="5">
        <f>B208/B207-1</f>
        <v/>
      </c>
      <c r="C963" s="5">
        <f>C208/C207-1</f>
        <v/>
      </c>
      <c r="D963" s="5">
        <f>D208/D207-1</f>
        <v/>
      </c>
      <c r="E963" s="5">
        <f>E208/E207-1</f>
        <v/>
      </c>
      <c r="F963" s="5">
        <f>F208/F207-1</f>
        <v/>
      </c>
      <c r="G963" s="5">
        <f>G208/G207-1</f>
        <v/>
      </c>
    </row>
    <row r="964">
      <c r="A964" s="2">
        <f>A209</f>
        <v/>
      </c>
      <c r="B964" s="5">
        <f>B209/B208-1</f>
        <v/>
      </c>
      <c r="C964" s="5">
        <f>C209/C208-1</f>
        <v/>
      </c>
      <c r="D964" s="5">
        <f>D209/D208-1</f>
        <v/>
      </c>
      <c r="E964" s="5">
        <f>E209/E208-1</f>
        <v/>
      </c>
      <c r="F964" s="5">
        <f>F209/F208-1</f>
        <v/>
      </c>
      <c r="G964" s="5">
        <f>G209/G208-1</f>
        <v/>
      </c>
    </row>
    <row r="965">
      <c r="A965" s="2">
        <f>A210</f>
        <v/>
      </c>
      <c r="B965" s="5">
        <f>B210/B209-1</f>
        <v/>
      </c>
      <c r="C965" s="5">
        <f>C210/C209-1</f>
        <v/>
      </c>
      <c r="D965" s="5">
        <f>D210/D209-1</f>
        <v/>
      </c>
      <c r="E965" s="5">
        <f>E210/E209-1</f>
        <v/>
      </c>
      <c r="F965" s="5">
        <f>F210/F209-1</f>
        <v/>
      </c>
      <c r="G965" s="5">
        <f>G210/G209-1</f>
        <v/>
      </c>
    </row>
    <row r="966">
      <c r="A966" s="2">
        <f>A211</f>
        <v/>
      </c>
      <c r="B966" s="5">
        <f>B211/B210-1</f>
        <v/>
      </c>
      <c r="C966" s="5">
        <f>C211/C210-1</f>
        <v/>
      </c>
      <c r="D966" s="5">
        <f>D211/D210-1</f>
        <v/>
      </c>
      <c r="E966" s="5">
        <f>E211/E210-1</f>
        <v/>
      </c>
      <c r="F966" s="5">
        <f>F211/F210-1</f>
        <v/>
      </c>
      <c r="G966" s="5">
        <f>G211/G210-1</f>
        <v/>
      </c>
    </row>
    <row r="967">
      <c r="A967" s="2">
        <f>A212</f>
        <v/>
      </c>
      <c r="B967" s="5">
        <f>B212/B211-1</f>
        <v/>
      </c>
      <c r="C967" s="5">
        <f>C212/C211-1</f>
        <v/>
      </c>
      <c r="D967" s="5">
        <f>D212/D211-1</f>
        <v/>
      </c>
      <c r="E967" s="5">
        <f>E212/E211-1</f>
        <v/>
      </c>
      <c r="F967" s="5">
        <f>F212/F211-1</f>
        <v/>
      </c>
      <c r="G967" s="5">
        <f>G212/G211-1</f>
        <v/>
      </c>
    </row>
    <row r="968">
      <c r="A968" s="2">
        <f>A213</f>
        <v/>
      </c>
      <c r="B968" s="5">
        <f>B213/B212-1</f>
        <v/>
      </c>
      <c r="C968" s="5">
        <f>C213/C212-1</f>
        <v/>
      </c>
      <c r="D968" s="5">
        <f>D213/D212-1</f>
        <v/>
      </c>
      <c r="E968" s="5">
        <f>E213/E212-1</f>
        <v/>
      </c>
      <c r="F968" s="5">
        <f>F213/F212-1</f>
        <v/>
      </c>
      <c r="G968" s="5">
        <f>G213/G212-1</f>
        <v/>
      </c>
    </row>
    <row r="969">
      <c r="A969" s="2">
        <f>A214</f>
        <v/>
      </c>
      <c r="B969" s="5">
        <f>B214/B213-1</f>
        <v/>
      </c>
      <c r="C969" s="5">
        <f>C214/C213-1</f>
        <v/>
      </c>
      <c r="D969" s="5">
        <f>D214/D213-1</f>
        <v/>
      </c>
      <c r="E969" s="5">
        <f>E214/E213-1</f>
        <v/>
      </c>
      <c r="F969" s="5">
        <f>F214/F213-1</f>
        <v/>
      </c>
      <c r="G969" s="5">
        <f>G214/G213-1</f>
        <v/>
      </c>
    </row>
    <row r="970">
      <c r="A970" s="2">
        <f>A215</f>
        <v/>
      </c>
      <c r="B970" s="5">
        <f>B215/B214-1</f>
        <v/>
      </c>
      <c r="C970" s="5">
        <f>C215/C214-1</f>
        <v/>
      </c>
      <c r="D970" s="5">
        <f>D215/D214-1</f>
        <v/>
      </c>
      <c r="E970" s="5">
        <f>E215/E214-1</f>
        <v/>
      </c>
      <c r="F970" s="5">
        <f>F215/F214-1</f>
        <v/>
      </c>
      <c r="G970" s="5">
        <f>G215/G214-1</f>
        <v/>
      </c>
    </row>
    <row r="971">
      <c r="A971" s="2">
        <f>A216</f>
        <v/>
      </c>
      <c r="B971" s="5">
        <f>B216/B215-1</f>
        <v/>
      </c>
      <c r="C971" s="5">
        <f>C216/C215-1</f>
        <v/>
      </c>
      <c r="D971" s="5">
        <f>D216/D215-1</f>
        <v/>
      </c>
      <c r="E971" s="5">
        <f>E216/E215-1</f>
        <v/>
      </c>
      <c r="F971" s="5">
        <f>F216/F215-1</f>
        <v/>
      </c>
      <c r="G971" s="5">
        <f>G216/G215-1</f>
        <v/>
      </c>
    </row>
    <row r="972">
      <c r="A972" s="2">
        <f>A217</f>
        <v/>
      </c>
      <c r="B972" s="5">
        <f>B217/B216-1</f>
        <v/>
      </c>
      <c r="C972" s="5">
        <f>C217/C216-1</f>
        <v/>
      </c>
      <c r="D972" s="5">
        <f>D217/D216-1</f>
        <v/>
      </c>
      <c r="E972" s="5">
        <f>E217/E216-1</f>
        <v/>
      </c>
      <c r="F972" s="5">
        <f>F217/F216-1</f>
        <v/>
      </c>
      <c r="G972" s="5">
        <f>G217/G216-1</f>
        <v/>
      </c>
    </row>
    <row r="973">
      <c r="A973" s="2">
        <f>A218</f>
        <v/>
      </c>
      <c r="B973" s="5">
        <f>B218/B217-1</f>
        <v/>
      </c>
      <c r="C973" s="5">
        <f>C218/C217-1</f>
        <v/>
      </c>
      <c r="D973" s="5">
        <f>D218/D217-1</f>
        <v/>
      </c>
      <c r="E973" s="5">
        <f>E218/E217-1</f>
        <v/>
      </c>
      <c r="F973" s="5">
        <f>F218/F217-1</f>
        <v/>
      </c>
      <c r="G973" s="5">
        <f>G218/G217-1</f>
        <v/>
      </c>
    </row>
    <row r="974">
      <c r="A974" s="2">
        <f>A219</f>
        <v/>
      </c>
      <c r="B974" s="5">
        <f>B219/B218-1</f>
        <v/>
      </c>
      <c r="C974" s="5">
        <f>C219/C218-1</f>
        <v/>
      </c>
      <c r="D974" s="5">
        <f>D219/D218-1</f>
        <v/>
      </c>
      <c r="E974" s="5">
        <f>E219/E218-1</f>
        <v/>
      </c>
      <c r="F974" s="5">
        <f>F219/F218-1</f>
        <v/>
      </c>
      <c r="G974" s="5">
        <f>G219/G218-1</f>
        <v/>
      </c>
    </row>
    <row r="975">
      <c r="A975" s="2">
        <f>A220</f>
        <v/>
      </c>
      <c r="B975" s="5">
        <f>B220/B219-1</f>
        <v/>
      </c>
      <c r="C975" s="5">
        <f>C220/C219-1</f>
        <v/>
      </c>
      <c r="D975" s="5">
        <f>D220/D219-1</f>
        <v/>
      </c>
      <c r="E975" s="5">
        <f>E220/E219-1</f>
        <v/>
      </c>
      <c r="F975" s="5">
        <f>F220/F219-1</f>
        <v/>
      </c>
      <c r="G975" s="5">
        <f>G220/G219-1</f>
        <v/>
      </c>
    </row>
    <row r="976">
      <c r="A976" s="2">
        <f>A221</f>
        <v/>
      </c>
      <c r="B976" s="5">
        <f>B221/B220-1</f>
        <v/>
      </c>
      <c r="C976" s="5">
        <f>C221/C220-1</f>
        <v/>
      </c>
      <c r="D976" s="5">
        <f>D221/D220-1</f>
        <v/>
      </c>
      <c r="E976" s="5">
        <f>E221/E220-1</f>
        <v/>
      </c>
      <c r="F976" s="5">
        <f>F221/F220-1</f>
        <v/>
      </c>
      <c r="G976" s="5">
        <f>G221/G220-1</f>
        <v/>
      </c>
    </row>
    <row r="977">
      <c r="A977" s="2">
        <f>A222</f>
        <v/>
      </c>
      <c r="B977" s="5">
        <f>B222/B221-1</f>
        <v/>
      </c>
      <c r="C977" s="5">
        <f>C222/C221-1</f>
        <v/>
      </c>
      <c r="D977" s="5">
        <f>D222/D221-1</f>
        <v/>
      </c>
      <c r="E977" s="5">
        <f>E222/E221-1</f>
        <v/>
      </c>
      <c r="F977" s="5">
        <f>F222/F221-1</f>
        <v/>
      </c>
      <c r="G977" s="5">
        <f>G222/G221-1</f>
        <v/>
      </c>
    </row>
    <row r="978">
      <c r="A978" s="2">
        <f>A223</f>
        <v/>
      </c>
      <c r="B978" s="5">
        <f>B223/B222-1</f>
        <v/>
      </c>
      <c r="C978" s="5">
        <f>C223/C222-1</f>
        <v/>
      </c>
      <c r="D978" s="5">
        <f>D223/D222-1</f>
        <v/>
      </c>
      <c r="E978" s="5">
        <f>E223/E222-1</f>
        <v/>
      </c>
      <c r="F978" s="5">
        <f>F223/F222-1</f>
        <v/>
      </c>
      <c r="G978" s="5">
        <f>G223/G222-1</f>
        <v/>
      </c>
    </row>
    <row r="979">
      <c r="A979" s="2">
        <f>A224</f>
        <v/>
      </c>
      <c r="B979" s="5">
        <f>B224/B223-1</f>
        <v/>
      </c>
      <c r="C979" s="5">
        <f>C224/C223-1</f>
        <v/>
      </c>
      <c r="D979" s="5">
        <f>D224/D223-1</f>
        <v/>
      </c>
      <c r="E979" s="5">
        <f>E224/E223-1</f>
        <v/>
      </c>
      <c r="F979" s="5">
        <f>F224/F223-1</f>
        <v/>
      </c>
      <c r="G979" s="5">
        <f>G224/G223-1</f>
        <v/>
      </c>
    </row>
    <row r="980">
      <c r="A980" s="2">
        <f>A225</f>
        <v/>
      </c>
      <c r="B980" s="5">
        <f>B225/B224-1</f>
        <v/>
      </c>
      <c r="C980" s="5">
        <f>C225/C224-1</f>
        <v/>
      </c>
      <c r="D980" s="5">
        <f>D225/D224-1</f>
        <v/>
      </c>
      <c r="E980" s="5">
        <f>E225/E224-1</f>
        <v/>
      </c>
      <c r="F980" s="5">
        <f>F225/F224-1</f>
        <v/>
      </c>
      <c r="G980" s="5">
        <f>G225/G224-1</f>
        <v/>
      </c>
    </row>
    <row r="981">
      <c r="A981" s="2">
        <f>A226</f>
        <v/>
      </c>
      <c r="B981" s="5">
        <f>B226/B225-1</f>
        <v/>
      </c>
      <c r="C981" s="5">
        <f>C226/C225-1</f>
        <v/>
      </c>
      <c r="D981" s="5">
        <f>D226/D225-1</f>
        <v/>
      </c>
      <c r="E981" s="5">
        <f>E226/E225-1</f>
        <v/>
      </c>
      <c r="F981" s="5">
        <f>F226/F225-1</f>
        <v/>
      </c>
      <c r="G981" s="5">
        <f>G226/G225-1</f>
        <v/>
      </c>
    </row>
    <row r="982">
      <c r="A982" s="2">
        <f>A227</f>
        <v/>
      </c>
      <c r="B982" s="5">
        <f>B227/B226-1</f>
        <v/>
      </c>
      <c r="C982" s="5">
        <f>C227/C226-1</f>
        <v/>
      </c>
      <c r="D982" s="5">
        <f>D227/D226-1</f>
        <v/>
      </c>
      <c r="E982" s="5">
        <f>E227/E226-1</f>
        <v/>
      </c>
      <c r="F982" s="5">
        <f>F227/F226-1</f>
        <v/>
      </c>
      <c r="G982" s="5">
        <f>G227/G226-1</f>
        <v/>
      </c>
    </row>
    <row r="983">
      <c r="A983" s="2">
        <f>A228</f>
        <v/>
      </c>
      <c r="B983" s="5">
        <f>B228/B227-1</f>
        <v/>
      </c>
      <c r="C983" s="5">
        <f>C228/C227-1</f>
        <v/>
      </c>
      <c r="D983" s="5">
        <f>D228/D227-1</f>
        <v/>
      </c>
      <c r="E983" s="5">
        <f>E228/E227-1</f>
        <v/>
      </c>
      <c r="F983" s="5">
        <f>F228/F227-1</f>
        <v/>
      </c>
      <c r="G983" s="5">
        <f>G228/G227-1</f>
        <v/>
      </c>
    </row>
    <row r="984">
      <c r="A984" s="2">
        <f>A229</f>
        <v/>
      </c>
      <c r="B984" s="5">
        <f>B229/B228-1</f>
        <v/>
      </c>
      <c r="C984" s="5">
        <f>C229/C228-1</f>
        <v/>
      </c>
      <c r="D984" s="5">
        <f>D229/D228-1</f>
        <v/>
      </c>
      <c r="E984" s="5">
        <f>E229/E228-1</f>
        <v/>
      </c>
      <c r="F984" s="5">
        <f>F229/F228-1</f>
        <v/>
      </c>
      <c r="G984" s="5">
        <f>G229/G228-1</f>
        <v/>
      </c>
    </row>
    <row r="985">
      <c r="A985" s="2">
        <f>A230</f>
        <v/>
      </c>
      <c r="B985" s="5">
        <f>B230/B229-1</f>
        <v/>
      </c>
      <c r="C985" s="5">
        <f>C230/C229-1</f>
        <v/>
      </c>
      <c r="D985" s="5">
        <f>D230/D229-1</f>
        <v/>
      </c>
      <c r="E985" s="5">
        <f>E230/E229-1</f>
        <v/>
      </c>
      <c r="F985" s="5">
        <f>F230/F229-1</f>
        <v/>
      </c>
      <c r="G985" s="5">
        <f>G230/G229-1</f>
        <v/>
      </c>
    </row>
    <row r="986">
      <c r="A986" s="2">
        <f>A231</f>
        <v/>
      </c>
      <c r="B986" s="5">
        <f>B231/B230-1</f>
        <v/>
      </c>
      <c r="C986" s="5">
        <f>C231/C230-1</f>
        <v/>
      </c>
      <c r="D986" s="5">
        <f>D231/D230-1</f>
        <v/>
      </c>
      <c r="E986" s="5">
        <f>E231/E230-1</f>
        <v/>
      </c>
      <c r="F986" s="5">
        <f>F231/F230-1</f>
        <v/>
      </c>
      <c r="G986" s="5">
        <f>G231/G230-1</f>
        <v/>
      </c>
    </row>
    <row r="987">
      <c r="A987" s="2">
        <f>A232</f>
        <v/>
      </c>
      <c r="B987" s="5">
        <f>B232/B231-1</f>
        <v/>
      </c>
      <c r="C987" s="5">
        <f>C232/C231-1</f>
        <v/>
      </c>
      <c r="D987" s="5">
        <f>D232/D231-1</f>
        <v/>
      </c>
      <c r="E987" s="5">
        <f>E232/E231-1</f>
        <v/>
      </c>
      <c r="F987" s="5">
        <f>F232/F231-1</f>
        <v/>
      </c>
      <c r="G987" s="5">
        <f>G232/G231-1</f>
        <v/>
      </c>
    </row>
    <row r="988">
      <c r="A988" s="2">
        <f>A233</f>
        <v/>
      </c>
      <c r="B988" s="5">
        <f>B233/B232-1</f>
        <v/>
      </c>
      <c r="C988" s="5">
        <f>C233/C232-1</f>
        <v/>
      </c>
      <c r="D988" s="5">
        <f>D233/D232-1</f>
        <v/>
      </c>
      <c r="E988" s="5">
        <f>E233/E232-1</f>
        <v/>
      </c>
      <c r="F988" s="5">
        <f>F233/F232-1</f>
        <v/>
      </c>
      <c r="G988" s="5">
        <f>G233/G232-1</f>
        <v/>
      </c>
    </row>
    <row r="989">
      <c r="A989" s="2">
        <f>A234</f>
        <v/>
      </c>
      <c r="B989" s="5">
        <f>B234/B233-1</f>
        <v/>
      </c>
      <c r="C989" s="5">
        <f>C234/C233-1</f>
        <v/>
      </c>
      <c r="D989" s="5">
        <f>D234/D233-1</f>
        <v/>
      </c>
      <c r="E989" s="5">
        <f>E234/E233-1</f>
        <v/>
      </c>
      <c r="F989" s="5">
        <f>F234/F233-1</f>
        <v/>
      </c>
      <c r="G989" s="5">
        <f>G234/G233-1</f>
        <v/>
      </c>
    </row>
    <row r="990">
      <c r="A990" s="2">
        <f>A235</f>
        <v/>
      </c>
      <c r="B990" s="5">
        <f>B235/B234-1</f>
        <v/>
      </c>
      <c r="C990" s="5">
        <f>C235/C234-1</f>
        <v/>
      </c>
      <c r="D990" s="5">
        <f>D235/D234-1</f>
        <v/>
      </c>
      <c r="E990" s="5">
        <f>E235/E234-1</f>
        <v/>
      </c>
      <c r="F990" s="5">
        <f>F235/F234-1</f>
        <v/>
      </c>
      <c r="G990" s="5">
        <f>G235/G234-1</f>
        <v/>
      </c>
    </row>
    <row r="991">
      <c r="A991" s="2">
        <f>A236</f>
        <v/>
      </c>
      <c r="B991" s="5">
        <f>B236/B235-1</f>
        <v/>
      </c>
      <c r="C991" s="5">
        <f>C236/C235-1</f>
        <v/>
      </c>
      <c r="D991" s="5">
        <f>D236/D235-1</f>
        <v/>
      </c>
      <c r="E991" s="5">
        <f>E236/E235-1</f>
        <v/>
      </c>
      <c r="F991" s="5">
        <f>F236/F235-1</f>
        <v/>
      </c>
      <c r="G991" s="5">
        <f>G236/G235-1</f>
        <v/>
      </c>
    </row>
    <row r="992">
      <c r="A992" s="2">
        <f>A237</f>
        <v/>
      </c>
      <c r="B992" s="5">
        <f>B237/B236-1</f>
        <v/>
      </c>
      <c r="C992" s="5">
        <f>C237/C236-1</f>
        <v/>
      </c>
      <c r="D992" s="5">
        <f>D237/D236-1</f>
        <v/>
      </c>
      <c r="E992" s="5">
        <f>E237/E236-1</f>
        <v/>
      </c>
      <c r="F992" s="5">
        <f>F237/F236-1</f>
        <v/>
      </c>
      <c r="G992" s="5">
        <f>G237/G236-1</f>
        <v/>
      </c>
    </row>
    <row r="993">
      <c r="A993" s="2">
        <f>A238</f>
        <v/>
      </c>
      <c r="B993" s="5">
        <f>B238/B237-1</f>
        <v/>
      </c>
      <c r="C993" s="5">
        <f>C238/C237-1</f>
        <v/>
      </c>
      <c r="D993" s="5">
        <f>D238/D237-1</f>
        <v/>
      </c>
      <c r="E993" s="5">
        <f>E238/E237-1</f>
        <v/>
      </c>
      <c r="F993" s="5">
        <f>F238/F237-1</f>
        <v/>
      </c>
      <c r="G993" s="5">
        <f>G238/G237-1</f>
        <v/>
      </c>
    </row>
    <row r="994">
      <c r="A994" s="2">
        <f>A239</f>
        <v/>
      </c>
      <c r="B994" s="5">
        <f>B239/B238-1</f>
        <v/>
      </c>
      <c r="C994" s="5">
        <f>C239/C238-1</f>
        <v/>
      </c>
      <c r="D994" s="5">
        <f>D239/D238-1</f>
        <v/>
      </c>
      <c r="E994" s="5">
        <f>E239/E238-1</f>
        <v/>
      </c>
      <c r="F994" s="5">
        <f>F239/F238-1</f>
        <v/>
      </c>
      <c r="G994" s="5">
        <f>G239/G238-1</f>
        <v/>
      </c>
    </row>
    <row r="995">
      <c r="A995" s="2">
        <f>A240</f>
        <v/>
      </c>
      <c r="B995" s="5">
        <f>B240/B239-1</f>
        <v/>
      </c>
      <c r="C995" s="5">
        <f>C240/C239-1</f>
        <v/>
      </c>
      <c r="D995" s="5">
        <f>D240/D239-1</f>
        <v/>
      </c>
      <c r="E995" s="5">
        <f>E240/E239-1</f>
        <v/>
      </c>
      <c r="F995" s="5">
        <f>F240/F239-1</f>
        <v/>
      </c>
      <c r="G995" s="5">
        <f>G240/G239-1</f>
        <v/>
      </c>
    </row>
    <row r="996">
      <c r="A996" s="2">
        <f>A241</f>
        <v/>
      </c>
      <c r="B996" s="5">
        <f>B241/B240-1</f>
        <v/>
      </c>
      <c r="C996" s="5">
        <f>C241/C240-1</f>
        <v/>
      </c>
      <c r="D996" s="5">
        <f>D241/D240-1</f>
        <v/>
      </c>
      <c r="E996" s="5">
        <f>E241/E240-1</f>
        <v/>
      </c>
      <c r="F996" s="5">
        <f>F241/F240-1</f>
        <v/>
      </c>
      <c r="G996" s="5">
        <f>G241/G240-1</f>
        <v/>
      </c>
    </row>
    <row r="997">
      <c r="A997" s="2">
        <f>A242</f>
        <v/>
      </c>
      <c r="B997" s="5">
        <f>B242/B241-1</f>
        <v/>
      </c>
      <c r="C997" s="5">
        <f>C242/C241-1</f>
        <v/>
      </c>
      <c r="D997" s="5">
        <f>D242/D241-1</f>
        <v/>
      </c>
      <c r="E997" s="5">
        <f>E242/E241-1</f>
        <v/>
      </c>
      <c r="F997" s="5">
        <f>F242/F241-1</f>
        <v/>
      </c>
      <c r="G997" s="5">
        <f>G242/G241-1</f>
        <v/>
      </c>
    </row>
    <row r="998">
      <c r="A998" s="2">
        <f>A243</f>
        <v/>
      </c>
      <c r="B998" s="5">
        <f>B243/B242-1</f>
        <v/>
      </c>
      <c r="C998" s="5">
        <f>C243/C242-1</f>
        <v/>
      </c>
      <c r="D998" s="5">
        <f>D243/D242-1</f>
        <v/>
      </c>
      <c r="E998" s="5">
        <f>E243/E242-1</f>
        <v/>
      </c>
      <c r="F998" s="5">
        <f>F243/F242-1</f>
        <v/>
      </c>
      <c r="G998" s="5">
        <f>G243/G242-1</f>
        <v/>
      </c>
    </row>
    <row r="999">
      <c r="A999" s="2">
        <f>A244</f>
        <v/>
      </c>
      <c r="B999" s="5">
        <f>B244/B243-1</f>
        <v/>
      </c>
      <c r="C999" s="5">
        <f>C244/C243-1</f>
        <v/>
      </c>
      <c r="D999" s="5">
        <f>D244/D243-1</f>
        <v/>
      </c>
      <c r="E999" s="5">
        <f>E244/E243-1</f>
        <v/>
      </c>
      <c r="F999" s="5">
        <f>F244/F243-1</f>
        <v/>
      </c>
      <c r="G999" s="5">
        <f>G244/G243-1</f>
        <v/>
      </c>
    </row>
    <row r="1000">
      <c r="A1000" s="2">
        <f>A245</f>
        <v/>
      </c>
      <c r="B1000" s="5">
        <f>B245/B244-1</f>
        <v/>
      </c>
      <c r="C1000" s="5">
        <f>C245/C244-1</f>
        <v/>
      </c>
      <c r="D1000" s="5">
        <f>D245/D244-1</f>
        <v/>
      </c>
      <c r="E1000" s="5">
        <f>E245/E244-1</f>
        <v/>
      </c>
      <c r="F1000" s="5">
        <f>F245/F244-1</f>
        <v/>
      </c>
      <c r="G1000" s="5">
        <f>G245/G244-1</f>
        <v/>
      </c>
    </row>
    <row r="1001">
      <c r="A1001" s="2">
        <f>A246</f>
        <v/>
      </c>
      <c r="B1001" s="5">
        <f>B246/B245-1</f>
        <v/>
      </c>
      <c r="C1001" s="5">
        <f>C246/C245-1</f>
        <v/>
      </c>
      <c r="D1001" s="5">
        <f>D246/D245-1</f>
        <v/>
      </c>
      <c r="E1001" s="5">
        <f>E246/E245-1</f>
        <v/>
      </c>
      <c r="F1001" s="5">
        <f>F246/F245-1</f>
        <v/>
      </c>
      <c r="G1001" s="5">
        <f>G246/G245-1</f>
        <v/>
      </c>
    </row>
    <row r="1002">
      <c r="A1002" s="2">
        <f>A247</f>
        <v/>
      </c>
      <c r="B1002" s="5">
        <f>B247/B246-1</f>
        <v/>
      </c>
      <c r="C1002" s="5">
        <f>C247/C246-1</f>
        <v/>
      </c>
      <c r="D1002" s="5">
        <f>D247/D246-1</f>
        <v/>
      </c>
      <c r="E1002" s="5">
        <f>E247/E246-1</f>
        <v/>
      </c>
      <c r="F1002" s="5">
        <f>F247/F246-1</f>
        <v/>
      </c>
      <c r="G1002" s="5">
        <f>G247/G246-1</f>
        <v/>
      </c>
    </row>
    <row r="1003">
      <c r="A1003" s="2">
        <f>A248</f>
        <v/>
      </c>
      <c r="B1003" s="5">
        <f>B248/B247-1</f>
        <v/>
      </c>
      <c r="C1003" s="5">
        <f>C248/C247-1</f>
        <v/>
      </c>
      <c r="D1003" s="5">
        <f>D248/D247-1</f>
        <v/>
      </c>
      <c r="E1003" s="5">
        <f>E248/E247-1</f>
        <v/>
      </c>
      <c r="F1003" s="5">
        <f>F248/F247-1</f>
        <v/>
      </c>
      <c r="G1003" s="5">
        <f>G248/G247-1</f>
        <v/>
      </c>
    </row>
    <row r="1004">
      <c r="A1004" s="2">
        <f>A249</f>
        <v/>
      </c>
      <c r="B1004" s="5">
        <f>B249/B248-1</f>
        <v/>
      </c>
      <c r="C1004" s="5">
        <f>C249/C248-1</f>
        <v/>
      </c>
      <c r="D1004" s="5">
        <f>D249/D248-1</f>
        <v/>
      </c>
      <c r="E1004" s="5">
        <f>E249/E248-1</f>
        <v/>
      </c>
      <c r="F1004" s="5">
        <f>F249/F248-1</f>
        <v/>
      </c>
      <c r="G1004" s="5">
        <f>G249/G248-1</f>
        <v/>
      </c>
    </row>
    <row r="1005">
      <c r="A1005" s="2">
        <f>A250</f>
        <v/>
      </c>
      <c r="B1005" s="5">
        <f>B250/B249-1</f>
        <v/>
      </c>
      <c r="C1005" s="5">
        <f>C250/C249-1</f>
        <v/>
      </c>
      <c r="D1005" s="5">
        <f>D250/D249-1</f>
        <v/>
      </c>
      <c r="E1005" s="5">
        <f>E250/E249-1</f>
        <v/>
      </c>
      <c r="F1005" s="5">
        <f>F250/F249-1</f>
        <v/>
      </c>
      <c r="G1005" s="5">
        <f>G250/G249-1</f>
        <v/>
      </c>
    </row>
    <row r="1006">
      <c r="A1006" s="2">
        <f>A251</f>
        <v/>
      </c>
      <c r="B1006" s="5">
        <f>B251/B250-1</f>
        <v/>
      </c>
      <c r="C1006" s="5">
        <f>C251/C250-1</f>
        <v/>
      </c>
      <c r="D1006" s="5">
        <f>D251/D250-1</f>
        <v/>
      </c>
      <c r="E1006" s="5">
        <f>E251/E250-1</f>
        <v/>
      </c>
      <c r="F1006" s="5">
        <f>F251/F250-1</f>
        <v/>
      </c>
      <c r="G1006" s="5">
        <f>G251/G250-1</f>
        <v/>
      </c>
    </row>
    <row r="1007">
      <c r="A1007" s="2">
        <f>A252</f>
        <v/>
      </c>
      <c r="B1007" s="5">
        <f>B252/B251-1</f>
        <v/>
      </c>
      <c r="C1007" s="5">
        <f>C252/C251-1</f>
        <v/>
      </c>
      <c r="D1007" s="5">
        <f>D252/D251-1</f>
        <v/>
      </c>
      <c r="E1007" s="5">
        <f>E252/E251-1</f>
        <v/>
      </c>
      <c r="F1007" s="5">
        <f>F252/F251-1</f>
        <v/>
      </c>
      <c r="G1007" s="5">
        <f>G252/G251-1</f>
        <v/>
      </c>
    </row>
    <row r="1008">
      <c r="A1008" s="2">
        <f>A253</f>
        <v/>
      </c>
      <c r="B1008" s="5">
        <f>B253/B252-1</f>
        <v/>
      </c>
      <c r="C1008" s="5">
        <f>C253/C252-1</f>
        <v/>
      </c>
      <c r="D1008" s="5">
        <f>D253/D252-1</f>
        <v/>
      </c>
      <c r="E1008" s="5">
        <f>E253/E252-1</f>
        <v/>
      </c>
      <c r="F1008" s="5">
        <f>F253/F252-1</f>
        <v/>
      </c>
      <c r="G1008" s="5">
        <f>G253/G252-1</f>
        <v/>
      </c>
    </row>
    <row r="1009">
      <c r="A1009" s="2">
        <f>A254</f>
        <v/>
      </c>
      <c r="B1009" s="5">
        <f>B254/B253-1</f>
        <v/>
      </c>
      <c r="C1009" s="5">
        <f>C254/C253-1</f>
        <v/>
      </c>
      <c r="D1009" s="5">
        <f>D254/D253-1</f>
        <v/>
      </c>
      <c r="E1009" s="5">
        <f>E254/E253-1</f>
        <v/>
      </c>
      <c r="F1009" s="5">
        <f>F254/F253-1</f>
        <v/>
      </c>
      <c r="G1009" s="5">
        <f>G254/G253-1</f>
        <v/>
      </c>
    </row>
    <row r="1010">
      <c r="A1010" s="2">
        <f>A255</f>
        <v/>
      </c>
      <c r="B1010" s="5">
        <f>B255/B254-1</f>
        <v/>
      </c>
      <c r="C1010" s="5">
        <f>C255/C254-1</f>
        <v/>
      </c>
      <c r="D1010" s="5">
        <f>D255/D254-1</f>
        <v/>
      </c>
      <c r="E1010" s="5">
        <f>E255/E254-1</f>
        <v/>
      </c>
      <c r="F1010" s="5">
        <f>F255/F254-1</f>
        <v/>
      </c>
      <c r="G1010" s="5">
        <f>G255/G254-1</f>
        <v/>
      </c>
    </row>
    <row r="1011">
      <c r="A1011" s="2">
        <f>A256</f>
        <v/>
      </c>
      <c r="B1011" s="5">
        <f>B256/B255-1</f>
        <v/>
      </c>
      <c r="C1011" s="5">
        <f>C256/C255-1</f>
        <v/>
      </c>
      <c r="D1011" s="5">
        <f>D256/D255-1</f>
        <v/>
      </c>
      <c r="E1011" s="5">
        <f>E256/E255-1</f>
        <v/>
      </c>
      <c r="F1011" s="5">
        <f>F256/F255-1</f>
        <v/>
      </c>
      <c r="G1011" s="5">
        <f>G256/G255-1</f>
        <v/>
      </c>
    </row>
    <row r="1012">
      <c r="A1012" s="2">
        <f>A257</f>
        <v/>
      </c>
      <c r="B1012" s="5">
        <f>B257/B256-1</f>
        <v/>
      </c>
      <c r="C1012" s="5">
        <f>C257/C256-1</f>
        <v/>
      </c>
      <c r="D1012" s="5">
        <f>D257/D256-1</f>
        <v/>
      </c>
      <c r="E1012" s="5">
        <f>E257/E256-1</f>
        <v/>
      </c>
      <c r="F1012" s="5">
        <f>F257/F256-1</f>
        <v/>
      </c>
      <c r="G1012" s="5">
        <f>G257/G256-1</f>
        <v/>
      </c>
    </row>
    <row r="1013">
      <c r="A1013" s="2">
        <f>A258</f>
        <v/>
      </c>
      <c r="B1013" s="5">
        <f>B258/B257-1</f>
        <v/>
      </c>
      <c r="C1013" s="5">
        <f>C258/C257-1</f>
        <v/>
      </c>
      <c r="D1013" s="5">
        <f>D258/D257-1</f>
        <v/>
      </c>
      <c r="E1013" s="5">
        <f>E258/E257-1</f>
        <v/>
      </c>
      <c r="F1013" s="5">
        <f>F258/F257-1</f>
        <v/>
      </c>
      <c r="G1013" s="5">
        <f>G258/G257-1</f>
        <v/>
      </c>
    </row>
    <row r="1014">
      <c r="A1014" s="2">
        <f>A259</f>
        <v/>
      </c>
      <c r="B1014" s="5">
        <f>B259/B258-1</f>
        <v/>
      </c>
      <c r="C1014" s="5">
        <f>C259/C258-1</f>
        <v/>
      </c>
      <c r="D1014" s="5">
        <f>D259/D258-1</f>
        <v/>
      </c>
      <c r="E1014" s="5">
        <f>E259/E258-1</f>
        <v/>
      </c>
      <c r="F1014" s="5">
        <f>F259/F258-1</f>
        <v/>
      </c>
      <c r="G1014" s="5">
        <f>G259/G258-1</f>
        <v/>
      </c>
    </row>
    <row r="1015">
      <c r="A1015" s="2">
        <f>A260</f>
        <v/>
      </c>
      <c r="B1015" s="5">
        <f>B260/B259-1</f>
        <v/>
      </c>
      <c r="C1015" s="5">
        <f>C260/C259-1</f>
        <v/>
      </c>
      <c r="D1015" s="5">
        <f>D260/D259-1</f>
        <v/>
      </c>
      <c r="E1015" s="5">
        <f>E260/E259-1</f>
        <v/>
      </c>
      <c r="F1015" s="5">
        <f>F260/F259-1</f>
        <v/>
      </c>
      <c r="G1015" s="5">
        <f>G260/G259-1</f>
        <v/>
      </c>
    </row>
    <row r="1016">
      <c r="A1016" s="2">
        <f>A261</f>
        <v/>
      </c>
      <c r="B1016" s="5">
        <f>B261/B260-1</f>
        <v/>
      </c>
      <c r="C1016" s="5">
        <f>C261/C260-1</f>
        <v/>
      </c>
      <c r="D1016" s="5">
        <f>D261/D260-1</f>
        <v/>
      </c>
      <c r="E1016" s="5">
        <f>E261/E260-1</f>
        <v/>
      </c>
      <c r="F1016" s="5">
        <f>F261/F260-1</f>
        <v/>
      </c>
      <c r="G1016" s="5">
        <f>G261/G260-1</f>
        <v/>
      </c>
    </row>
    <row r="1017">
      <c r="A1017" s="2">
        <f>A262</f>
        <v/>
      </c>
      <c r="B1017" s="5">
        <f>B262/B261-1</f>
        <v/>
      </c>
      <c r="C1017" s="5">
        <f>C262/C261-1</f>
        <v/>
      </c>
      <c r="D1017" s="5">
        <f>D262/D261-1</f>
        <v/>
      </c>
      <c r="E1017" s="5">
        <f>E262/E261-1</f>
        <v/>
      </c>
      <c r="F1017" s="5">
        <f>F262/F261-1</f>
        <v/>
      </c>
      <c r="G1017" s="5">
        <f>G262/G261-1</f>
        <v/>
      </c>
    </row>
    <row r="1018">
      <c r="A1018" s="2">
        <f>A263</f>
        <v/>
      </c>
      <c r="B1018" s="5">
        <f>B263/B262-1</f>
        <v/>
      </c>
      <c r="C1018" s="5">
        <f>C263/C262-1</f>
        <v/>
      </c>
      <c r="D1018" s="5">
        <f>D263/D262-1</f>
        <v/>
      </c>
      <c r="E1018" s="5">
        <f>E263/E262-1</f>
        <v/>
      </c>
      <c r="F1018" s="5">
        <f>F263/F262-1</f>
        <v/>
      </c>
      <c r="G1018" s="5">
        <f>G263/G262-1</f>
        <v/>
      </c>
    </row>
    <row r="1019">
      <c r="A1019" s="2">
        <f>A264</f>
        <v/>
      </c>
      <c r="B1019" s="5">
        <f>B264/B263-1</f>
        <v/>
      </c>
      <c r="C1019" s="5">
        <f>C264/C263-1</f>
        <v/>
      </c>
      <c r="D1019" s="5">
        <f>D264/D263-1</f>
        <v/>
      </c>
      <c r="E1019" s="5">
        <f>E264/E263-1</f>
        <v/>
      </c>
      <c r="F1019" s="5">
        <f>F264/F263-1</f>
        <v/>
      </c>
      <c r="G1019" s="5">
        <f>G264/G263-1</f>
        <v/>
      </c>
    </row>
    <row r="1020">
      <c r="A1020" s="2">
        <f>A265</f>
        <v/>
      </c>
      <c r="B1020" s="5">
        <f>B265/B264-1</f>
        <v/>
      </c>
      <c r="C1020" s="5">
        <f>C265/C264-1</f>
        <v/>
      </c>
      <c r="D1020" s="5">
        <f>D265/D264-1</f>
        <v/>
      </c>
      <c r="E1020" s="5">
        <f>E265/E264-1</f>
        <v/>
      </c>
      <c r="F1020" s="5">
        <f>F265/F264-1</f>
        <v/>
      </c>
      <c r="G1020" s="5">
        <f>G265/G264-1</f>
        <v/>
      </c>
    </row>
    <row r="1021">
      <c r="A1021" s="2">
        <f>A266</f>
        <v/>
      </c>
      <c r="B1021" s="5">
        <f>B266/B265-1</f>
        <v/>
      </c>
      <c r="C1021" s="5">
        <f>C266/C265-1</f>
        <v/>
      </c>
      <c r="D1021" s="5">
        <f>D266/D265-1</f>
        <v/>
      </c>
      <c r="E1021" s="5">
        <f>E266/E265-1</f>
        <v/>
      </c>
      <c r="F1021" s="5">
        <f>F266/F265-1</f>
        <v/>
      </c>
      <c r="G1021" s="5">
        <f>G266/G265-1</f>
        <v/>
      </c>
    </row>
    <row r="1022">
      <c r="A1022" s="2">
        <f>A267</f>
        <v/>
      </c>
      <c r="B1022" s="5">
        <f>B267/B266-1</f>
        <v/>
      </c>
      <c r="C1022" s="5">
        <f>C267/C266-1</f>
        <v/>
      </c>
      <c r="D1022" s="5">
        <f>D267/D266-1</f>
        <v/>
      </c>
      <c r="E1022" s="5">
        <f>E267/E266-1</f>
        <v/>
      </c>
      <c r="F1022" s="5">
        <f>F267/F266-1</f>
        <v/>
      </c>
      <c r="G1022" s="5">
        <f>G267/G266-1</f>
        <v/>
      </c>
    </row>
    <row r="1023">
      <c r="A1023" s="2">
        <f>A268</f>
        <v/>
      </c>
      <c r="B1023" s="5">
        <f>B268/B267-1</f>
        <v/>
      </c>
      <c r="C1023" s="5">
        <f>C268/C267-1</f>
        <v/>
      </c>
      <c r="D1023" s="5">
        <f>D268/D267-1</f>
        <v/>
      </c>
      <c r="E1023" s="5">
        <f>E268/E267-1</f>
        <v/>
      </c>
      <c r="F1023" s="5">
        <f>F268/F267-1</f>
        <v/>
      </c>
      <c r="G1023" s="5">
        <f>G268/G267-1</f>
        <v/>
      </c>
    </row>
    <row r="1024">
      <c r="A1024" s="2">
        <f>A269</f>
        <v/>
      </c>
      <c r="B1024" s="5">
        <f>B269/B268-1</f>
        <v/>
      </c>
      <c r="C1024" s="5">
        <f>C269/C268-1</f>
        <v/>
      </c>
      <c r="D1024" s="5">
        <f>D269/D268-1</f>
        <v/>
      </c>
      <c r="E1024" s="5">
        <f>E269/E268-1</f>
        <v/>
      </c>
      <c r="F1024" s="5">
        <f>F269/F268-1</f>
        <v/>
      </c>
      <c r="G1024" s="5">
        <f>G269/G268-1</f>
        <v/>
      </c>
    </row>
    <row r="1025">
      <c r="A1025" s="2">
        <f>A270</f>
        <v/>
      </c>
      <c r="B1025" s="5">
        <f>B270/B269-1</f>
        <v/>
      </c>
      <c r="C1025" s="5">
        <f>C270/C269-1</f>
        <v/>
      </c>
      <c r="D1025" s="5">
        <f>D270/D269-1</f>
        <v/>
      </c>
      <c r="E1025" s="5">
        <f>E270/E269-1</f>
        <v/>
      </c>
      <c r="F1025" s="5">
        <f>F270/F269-1</f>
        <v/>
      </c>
      <c r="G1025" s="5">
        <f>G270/G269-1</f>
        <v/>
      </c>
    </row>
    <row r="1026">
      <c r="A1026" s="2">
        <f>A271</f>
        <v/>
      </c>
      <c r="B1026" s="5">
        <f>B271/B270-1</f>
        <v/>
      </c>
      <c r="C1026" s="5">
        <f>C271/C270-1</f>
        <v/>
      </c>
      <c r="D1026" s="5">
        <f>D271/D270-1</f>
        <v/>
      </c>
      <c r="E1026" s="5">
        <f>E271/E270-1</f>
        <v/>
      </c>
      <c r="F1026" s="5">
        <f>F271/F270-1</f>
        <v/>
      </c>
      <c r="G1026" s="5">
        <f>G271/G270-1</f>
        <v/>
      </c>
    </row>
    <row r="1027">
      <c r="A1027" s="2">
        <f>A272</f>
        <v/>
      </c>
      <c r="B1027" s="5">
        <f>B272/B271-1</f>
        <v/>
      </c>
      <c r="C1027" s="5">
        <f>C272/C271-1</f>
        <v/>
      </c>
      <c r="D1027" s="5">
        <f>D272/D271-1</f>
        <v/>
      </c>
      <c r="E1027" s="5">
        <f>E272/E271-1</f>
        <v/>
      </c>
      <c r="F1027" s="5">
        <f>F272/F271-1</f>
        <v/>
      </c>
      <c r="G1027" s="5">
        <f>G272/G271-1</f>
        <v/>
      </c>
    </row>
    <row r="1028">
      <c r="A1028" s="2">
        <f>A273</f>
        <v/>
      </c>
      <c r="B1028" s="5">
        <f>B273/B272-1</f>
        <v/>
      </c>
      <c r="C1028" s="5">
        <f>C273/C272-1</f>
        <v/>
      </c>
      <c r="D1028" s="5">
        <f>D273/D272-1</f>
        <v/>
      </c>
      <c r="E1028" s="5">
        <f>E273/E272-1</f>
        <v/>
      </c>
      <c r="F1028" s="5">
        <f>F273/F272-1</f>
        <v/>
      </c>
      <c r="G1028" s="5">
        <f>G273/G272-1</f>
        <v/>
      </c>
    </row>
    <row r="1029">
      <c r="A1029" s="2">
        <f>A274</f>
        <v/>
      </c>
      <c r="B1029" s="5">
        <f>B274/B273-1</f>
        <v/>
      </c>
      <c r="C1029" s="5">
        <f>C274/C273-1</f>
        <v/>
      </c>
      <c r="D1029" s="5">
        <f>D274/D273-1</f>
        <v/>
      </c>
      <c r="E1029" s="5">
        <f>E274/E273-1</f>
        <v/>
      </c>
      <c r="F1029" s="5">
        <f>F274/F273-1</f>
        <v/>
      </c>
      <c r="G1029" s="5">
        <f>G274/G273-1</f>
        <v/>
      </c>
    </row>
    <row r="1030">
      <c r="A1030" s="2">
        <f>A275</f>
        <v/>
      </c>
      <c r="B1030" s="5">
        <f>B275/B274-1</f>
        <v/>
      </c>
      <c r="C1030" s="5">
        <f>C275/C274-1</f>
        <v/>
      </c>
      <c r="D1030" s="5">
        <f>D275/D274-1</f>
        <v/>
      </c>
      <c r="E1030" s="5">
        <f>E275/E274-1</f>
        <v/>
      </c>
      <c r="F1030" s="5">
        <f>F275/F274-1</f>
        <v/>
      </c>
      <c r="G1030" s="5">
        <f>G275/G274-1</f>
        <v/>
      </c>
    </row>
    <row r="1031">
      <c r="A1031" s="2">
        <f>A276</f>
        <v/>
      </c>
      <c r="B1031" s="5">
        <f>B276/B275-1</f>
        <v/>
      </c>
      <c r="C1031" s="5">
        <f>C276/C275-1</f>
        <v/>
      </c>
      <c r="D1031" s="5">
        <f>D276/D275-1</f>
        <v/>
      </c>
      <c r="E1031" s="5">
        <f>E276/E275-1</f>
        <v/>
      </c>
      <c r="F1031" s="5">
        <f>F276/F275-1</f>
        <v/>
      </c>
      <c r="G1031" s="5">
        <f>G276/G275-1</f>
        <v/>
      </c>
    </row>
    <row r="1032">
      <c r="A1032" s="2">
        <f>A277</f>
        <v/>
      </c>
      <c r="B1032" s="5">
        <f>B277/B276-1</f>
        <v/>
      </c>
      <c r="C1032" s="5">
        <f>C277/C276-1</f>
        <v/>
      </c>
      <c r="D1032" s="5">
        <f>D277/D276-1</f>
        <v/>
      </c>
      <c r="E1032" s="5">
        <f>E277/E276-1</f>
        <v/>
      </c>
      <c r="F1032" s="5">
        <f>F277/F276-1</f>
        <v/>
      </c>
      <c r="G1032" s="5">
        <f>G277/G276-1</f>
        <v/>
      </c>
    </row>
    <row r="1033">
      <c r="A1033" s="2">
        <f>A278</f>
        <v/>
      </c>
      <c r="B1033" s="5">
        <f>B278/B277-1</f>
        <v/>
      </c>
      <c r="C1033" s="5">
        <f>C278/C277-1</f>
        <v/>
      </c>
      <c r="D1033" s="5">
        <f>D278/D277-1</f>
        <v/>
      </c>
      <c r="E1033" s="5">
        <f>E278/E277-1</f>
        <v/>
      </c>
      <c r="F1033" s="5">
        <f>F278/F277-1</f>
        <v/>
      </c>
      <c r="G1033" s="5">
        <f>G278/G277-1</f>
        <v/>
      </c>
    </row>
    <row r="1034">
      <c r="A1034" s="2">
        <f>A279</f>
        <v/>
      </c>
      <c r="B1034" s="5">
        <f>B279/B278-1</f>
        <v/>
      </c>
      <c r="C1034" s="5">
        <f>C279/C278-1</f>
        <v/>
      </c>
      <c r="D1034" s="5">
        <f>D279/D278-1</f>
        <v/>
      </c>
      <c r="E1034" s="5">
        <f>E279/E278-1</f>
        <v/>
      </c>
      <c r="F1034" s="5">
        <f>F279/F278-1</f>
        <v/>
      </c>
      <c r="G1034" s="5">
        <f>G279/G278-1</f>
        <v/>
      </c>
    </row>
    <row r="1035">
      <c r="A1035" s="2">
        <f>A280</f>
        <v/>
      </c>
      <c r="B1035" s="5">
        <f>B280/B279-1</f>
        <v/>
      </c>
      <c r="C1035" s="5">
        <f>C280/C279-1</f>
        <v/>
      </c>
      <c r="D1035" s="5">
        <f>D280/D279-1</f>
        <v/>
      </c>
      <c r="E1035" s="5">
        <f>E280/E279-1</f>
        <v/>
      </c>
      <c r="F1035" s="5">
        <f>F280/F279-1</f>
        <v/>
      </c>
      <c r="G1035" s="5">
        <f>G280/G279-1</f>
        <v/>
      </c>
    </row>
    <row r="1036">
      <c r="A1036" s="2">
        <f>A281</f>
        <v/>
      </c>
      <c r="B1036" s="5">
        <f>B281/B280-1</f>
        <v/>
      </c>
      <c r="C1036" s="5">
        <f>C281/C280-1</f>
        <v/>
      </c>
      <c r="D1036" s="5">
        <f>D281/D280-1</f>
        <v/>
      </c>
      <c r="E1036" s="5">
        <f>E281/E280-1</f>
        <v/>
      </c>
      <c r="F1036" s="5">
        <f>F281/F280-1</f>
        <v/>
      </c>
      <c r="G1036" s="5">
        <f>G281/G280-1</f>
        <v/>
      </c>
    </row>
    <row r="1037">
      <c r="A1037" s="2">
        <f>A282</f>
        <v/>
      </c>
      <c r="B1037" s="5">
        <f>B282/B281-1</f>
        <v/>
      </c>
      <c r="C1037" s="5">
        <f>C282/C281-1</f>
        <v/>
      </c>
      <c r="D1037" s="5">
        <f>D282/D281-1</f>
        <v/>
      </c>
      <c r="E1037" s="5">
        <f>E282/E281-1</f>
        <v/>
      </c>
      <c r="F1037" s="5">
        <f>F282/F281-1</f>
        <v/>
      </c>
      <c r="G1037" s="5">
        <f>G282/G281-1</f>
        <v/>
      </c>
    </row>
    <row r="1038">
      <c r="A1038" s="2">
        <f>A283</f>
        <v/>
      </c>
      <c r="B1038" s="5">
        <f>B283/B282-1</f>
        <v/>
      </c>
      <c r="C1038" s="5">
        <f>C283/C282-1</f>
        <v/>
      </c>
      <c r="D1038" s="5">
        <f>D283/D282-1</f>
        <v/>
      </c>
      <c r="E1038" s="5">
        <f>E283/E282-1</f>
        <v/>
      </c>
      <c r="F1038" s="5">
        <f>F283/F282-1</f>
        <v/>
      </c>
      <c r="G1038" s="5">
        <f>G283/G282-1</f>
        <v/>
      </c>
    </row>
    <row r="1039">
      <c r="A1039" s="2">
        <f>A284</f>
        <v/>
      </c>
      <c r="B1039" s="5">
        <f>B284/B283-1</f>
        <v/>
      </c>
      <c r="C1039" s="5">
        <f>C284/C283-1</f>
        <v/>
      </c>
      <c r="D1039" s="5">
        <f>D284/D283-1</f>
        <v/>
      </c>
      <c r="E1039" s="5">
        <f>E284/E283-1</f>
        <v/>
      </c>
      <c r="F1039" s="5">
        <f>F284/F283-1</f>
        <v/>
      </c>
      <c r="G1039" s="5">
        <f>G284/G283-1</f>
        <v/>
      </c>
    </row>
    <row r="1040">
      <c r="A1040" s="2">
        <f>A285</f>
        <v/>
      </c>
      <c r="B1040" s="5">
        <f>B285/B284-1</f>
        <v/>
      </c>
      <c r="C1040" s="5">
        <f>C285/C284-1</f>
        <v/>
      </c>
      <c r="D1040" s="5">
        <f>D285/D284-1</f>
        <v/>
      </c>
      <c r="E1040" s="5">
        <f>E285/E284-1</f>
        <v/>
      </c>
      <c r="F1040" s="5">
        <f>F285/F284-1</f>
        <v/>
      </c>
      <c r="G1040" s="5">
        <f>G285/G284-1</f>
        <v/>
      </c>
    </row>
    <row r="1041">
      <c r="A1041" s="2">
        <f>A286</f>
        <v/>
      </c>
      <c r="B1041" s="5">
        <f>B286/B285-1</f>
        <v/>
      </c>
      <c r="C1041" s="5">
        <f>C286/C285-1</f>
        <v/>
      </c>
      <c r="D1041" s="5">
        <f>D286/D285-1</f>
        <v/>
      </c>
      <c r="E1041" s="5">
        <f>E286/E285-1</f>
        <v/>
      </c>
      <c r="F1041" s="5">
        <f>F286/F285-1</f>
        <v/>
      </c>
      <c r="G1041" s="5">
        <f>G286/G285-1</f>
        <v/>
      </c>
    </row>
    <row r="1042">
      <c r="A1042" s="2">
        <f>A287</f>
        <v/>
      </c>
      <c r="B1042" s="5">
        <f>B287/B286-1</f>
        <v/>
      </c>
      <c r="C1042" s="5">
        <f>C287/C286-1</f>
        <v/>
      </c>
      <c r="D1042" s="5">
        <f>D287/D286-1</f>
        <v/>
      </c>
      <c r="E1042" s="5">
        <f>E287/E286-1</f>
        <v/>
      </c>
      <c r="F1042" s="5">
        <f>F287/F286-1</f>
        <v/>
      </c>
      <c r="G1042" s="5">
        <f>G287/G286-1</f>
        <v/>
      </c>
    </row>
    <row r="1043">
      <c r="A1043" s="2">
        <f>A288</f>
        <v/>
      </c>
      <c r="B1043" s="5">
        <f>B288/B287-1</f>
        <v/>
      </c>
      <c r="C1043" s="5">
        <f>C288/C287-1</f>
        <v/>
      </c>
      <c r="D1043" s="5">
        <f>D288/D287-1</f>
        <v/>
      </c>
      <c r="E1043" s="5">
        <f>E288/E287-1</f>
        <v/>
      </c>
      <c r="F1043" s="5">
        <f>F288/F287-1</f>
        <v/>
      </c>
      <c r="G1043" s="5">
        <f>G288/G287-1</f>
        <v/>
      </c>
    </row>
    <row r="1044">
      <c r="A1044" s="2">
        <f>A289</f>
        <v/>
      </c>
      <c r="B1044" s="5">
        <f>B289/B288-1</f>
        <v/>
      </c>
      <c r="C1044" s="5">
        <f>C289/C288-1</f>
        <v/>
      </c>
      <c r="D1044" s="5">
        <f>D289/D288-1</f>
        <v/>
      </c>
      <c r="E1044" s="5">
        <f>E289/E288-1</f>
        <v/>
      </c>
      <c r="F1044" s="5">
        <f>F289/F288-1</f>
        <v/>
      </c>
      <c r="G1044" s="5">
        <f>G289/G288-1</f>
        <v/>
      </c>
    </row>
    <row r="1045">
      <c r="A1045" s="2">
        <f>A290</f>
        <v/>
      </c>
      <c r="B1045" s="5">
        <f>B290/B289-1</f>
        <v/>
      </c>
      <c r="C1045" s="5">
        <f>C290/C289-1</f>
        <v/>
      </c>
      <c r="D1045" s="5">
        <f>D290/D289-1</f>
        <v/>
      </c>
      <c r="E1045" s="5">
        <f>E290/E289-1</f>
        <v/>
      </c>
      <c r="F1045" s="5">
        <f>F290/F289-1</f>
        <v/>
      </c>
      <c r="G1045" s="5">
        <f>G290/G289-1</f>
        <v/>
      </c>
    </row>
    <row r="1046">
      <c r="A1046" s="2">
        <f>A291</f>
        <v/>
      </c>
      <c r="B1046" s="5">
        <f>B291/B290-1</f>
        <v/>
      </c>
      <c r="C1046" s="5">
        <f>C291/C290-1</f>
        <v/>
      </c>
      <c r="D1046" s="5">
        <f>D291/D290-1</f>
        <v/>
      </c>
      <c r="E1046" s="5">
        <f>E291/E290-1</f>
        <v/>
      </c>
      <c r="F1046" s="5">
        <f>F291/F290-1</f>
        <v/>
      </c>
      <c r="G1046" s="5">
        <f>G291/G290-1</f>
        <v/>
      </c>
    </row>
    <row r="1047">
      <c r="A1047" s="2">
        <f>A292</f>
        <v/>
      </c>
      <c r="B1047" s="5">
        <f>B292/B291-1</f>
        <v/>
      </c>
      <c r="C1047" s="5">
        <f>C292/C291-1</f>
        <v/>
      </c>
      <c r="D1047" s="5">
        <f>D292/D291-1</f>
        <v/>
      </c>
      <c r="E1047" s="5">
        <f>E292/E291-1</f>
        <v/>
      </c>
      <c r="F1047" s="5">
        <f>F292/F291-1</f>
        <v/>
      </c>
      <c r="G1047" s="5">
        <f>G292/G291-1</f>
        <v/>
      </c>
    </row>
    <row r="1048">
      <c r="A1048" s="2">
        <f>A293</f>
        <v/>
      </c>
      <c r="B1048" s="5">
        <f>B293/B292-1</f>
        <v/>
      </c>
      <c r="C1048" s="5">
        <f>C293/C292-1</f>
        <v/>
      </c>
      <c r="D1048" s="5">
        <f>D293/D292-1</f>
        <v/>
      </c>
      <c r="E1048" s="5">
        <f>E293/E292-1</f>
        <v/>
      </c>
      <c r="F1048" s="5">
        <f>F293/F292-1</f>
        <v/>
      </c>
      <c r="G1048" s="5">
        <f>G293/G292-1</f>
        <v/>
      </c>
    </row>
    <row r="1049">
      <c r="A1049" s="2">
        <f>A294</f>
        <v/>
      </c>
      <c r="B1049" s="5">
        <f>B294/B293-1</f>
        <v/>
      </c>
      <c r="C1049" s="5">
        <f>C294/C293-1</f>
        <v/>
      </c>
      <c r="D1049" s="5">
        <f>D294/D293-1</f>
        <v/>
      </c>
      <c r="E1049" s="5">
        <f>E294/E293-1</f>
        <v/>
      </c>
      <c r="F1049" s="5">
        <f>F294/F293-1</f>
        <v/>
      </c>
      <c r="G1049" s="5">
        <f>G294/G293-1</f>
        <v/>
      </c>
    </row>
    <row r="1050">
      <c r="A1050" s="2">
        <f>A295</f>
        <v/>
      </c>
      <c r="B1050" s="5">
        <f>B295/B294-1</f>
        <v/>
      </c>
      <c r="C1050" s="5">
        <f>C295/C294-1</f>
        <v/>
      </c>
      <c r="D1050" s="5">
        <f>D295/D294-1</f>
        <v/>
      </c>
      <c r="E1050" s="5">
        <f>E295/E294-1</f>
        <v/>
      </c>
      <c r="F1050" s="5">
        <f>F295/F294-1</f>
        <v/>
      </c>
      <c r="G1050" s="5">
        <f>G295/G294-1</f>
        <v/>
      </c>
    </row>
    <row r="1051">
      <c r="A1051" s="2">
        <f>A296</f>
        <v/>
      </c>
      <c r="B1051" s="5">
        <f>B296/B295-1</f>
        <v/>
      </c>
      <c r="C1051" s="5">
        <f>C296/C295-1</f>
        <v/>
      </c>
      <c r="D1051" s="5">
        <f>D296/D295-1</f>
        <v/>
      </c>
      <c r="E1051" s="5">
        <f>E296/E295-1</f>
        <v/>
      </c>
      <c r="F1051" s="5">
        <f>F296/F295-1</f>
        <v/>
      </c>
      <c r="G1051" s="5">
        <f>G296/G295-1</f>
        <v/>
      </c>
    </row>
    <row r="1052">
      <c r="A1052" s="2">
        <f>A297</f>
        <v/>
      </c>
      <c r="B1052" s="5">
        <f>B297/B296-1</f>
        <v/>
      </c>
      <c r="C1052" s="5">
        <f>C297/C296-1</f>
        <v/>
      </c>
      <c r="D1052" s="5">
        <f>D297/D296-1</f>
        <v/>
      </c>
      <c r="E1052" s="5">
        <f>E297/E296-1</f>
        <v/>
      </c>
      <c r="F1052" s="5">
        <f>F297/F296-1</f>
        <v/>
      </c>
      <c r="G1052" s="5">
        <f>G297/G296-1</f>
        <v/>
      </c>
    </row>
    <row r="1053">
      <c r="A1053" s="2">
        <f>A298</f>
        <v/>
      </c>
      <c r="B1053" s="5">
        <f>B298/B297-1</f>
        <v/>
      </c>
      <c r="C1053" s="5">
        <f>C298/C297-1</f>
        <v/>
      </c>
      <c r="D1053" s="5">
        <f>D298/D297-1</f>
        <v/>
      </c>
      <c r="E1053" s="5">
        <f>E298/E297-1</f>
        <v/>
      </c>
      <c r="F1053" s="5">
        <f>F298/F297-1</f>
        <v/>
      </c>
      <c r="G1053" s="5">
        <f>G298/G297-1</f>
        <v/>
      </c>
    </row>
    <row r="1054">
      <c r="A1054" s="2">
        <f>A299</f>
        <v/>
      </c>
      <c r="B1054" s="5">
        <f>B299/B298-1</f>
        <v/>
      </c>
      <c r="C1054" s="5">
        <f>C299/C298-1</f>
        <v/>
      </c>
      <c r="D1054" s="5">
        <f>D299/D298-1</f>
        <v/>
      </c>
      <c r="E1054" s="5">
        <f>E299/E298-1</f>
        <v/>
      </c>
      <c r="F1054" s="5">
        <f>F299/F298-1</f>
        <v/>
      </c>
      <c r="G1054" s="5">
        <f>G299/G298-1</f>
        <v/>
      </c>
    </row>
    <row r="1055">
      <c r="A1055" s="2">
        <f>A300</f>
        <v/>
      </c>
      <c r="B1055" s="5">
        <f>B300/B299-1</f>
        <v/>
      </c>
      <c r="C1055" s="5">
        <f>C300/C299-1</f>
        <v/>
      </c>
      <c r="D1055" s="5">
        <f>D300/D299-1</f>
        <v/>
      </c>
      <c r="E1055" s="5">
        <f>E300/E299-1</f>
        <v/>
      </c>
      <c r="F1055" s="5">
        <f>F300/F299-1</f>
        <v/>
      </c>
      <c r="G1055" s="5">
        <f>G300/G299-1</f>
        <v/>
      </c>
    </row>
    <row r="1056">
      <c r="A1056" s="2">
        <f>A301</f>
        <v/>
      </c>
      <c r="B1056" s="5">
        <f>B301/B300-1</f>
        <v/>
      </c>
      <c r="C1056" s="5">
        <f>C301/C300-1</f>
        <v/>
      </c>
      <c r="D1056" s="5">
        <f>D301/D300-1</f>
        <v/>
      </c>
      <c r="E1056" s="5">
        <f>E301/E300-1</f>
        <v/>
      </c>
      <c r="F1056" s="5">
        <f>F301/F300-1</f>
        <v/>
      </c>
      <c r="G1056" s="5">
        <f>G301/G300-1</f>
        <v/>
      </c>
    </row>
    <row r="1057">
      <c r="A1057" s="2">
        <f>A302</f>
        <v/>
      </c>
      <c r="B1057" s="5">
        <f>B302/B301-1</f>
        <v/>
      </c>
      <c r="C1057" s="5">
        <f>C302/C301-1</f>
        <v/>
      </c>
      <c r="D1057" s="5">
        <f>D302/D301-1</f>
        <v/>
      </c>
      <c r="E1057" s="5">
        <f>E302/E301-1</f>
        <v/>
      </c>
      <c r="F1057" s="5">
        <f>F302/F301-1</f>
        <v/>
      </c>
      <c r="G1057" s="5">
        <f>G302/G301-1</f>
        <v/>
      </c>
    </row>
    <row r="1058">
      <c r="A1058" s="2">
        <f>A303</f>
        <v/>
      </c>
      <c r="B1058" s="5">
        <f>B303/B302-1</f>
        <v/>
      </c>
      <c r="C1058" s="5">
        <f>C303/C302-1</f>
        <v/>
      </c>
      <c r="D1058" s="5">
        <f>D303/D302-1</f>
        <v/>
      </c>
      <c r="E1058" s="5">
        <f>E303/E302-1</f>
        <v/>
      </c>
      <c r="F1058" s="5">
        <f>F303/F302-1</f>
        <v/>
      </c>
      <c r="G1058" s="5">
        <f>G303/G302-1</f>
        <v/>
      </c>
    </row>
    <row r="1059">
      <c r="A1059" s="2">
        <f>A304</f>
        <v/>
      </c>
      <c r="B1059" s="5">
        <f>B304/B303-1</f>
        <v/>
      </c>
      <c r="C1059" s="5">
        <f>C304/C303-1</f>
        <v/>
      </c>
      <c r="D1059" s="5">
        <f>D304/D303-1</f>
        <v/>
      </c>
      <c r="E1059" s="5">
        <f>E304/E303-1</f>
        <v/>
      </c>
      <c r="F1059" s="5">
        <f>F304/F303-1</f>
        <v/>
      </c>
      <c r="G1059" s="5">
        <f>G304/G303-1</f>
        <v/>
      </c>
    </row>
    <row r="1060">
      <c r="A1060" s="2">
        <f>A305</f>
        <v/>
      </c>
      <c r="B1060" s="5">
        <f>B305/B304-1</f>
        <v/>
      </c>
      <c r="C1060" s="5">
        <f>C305/C304-1</f>
        <v/>
      </c>
      <c r="D1060" s="5">
        <f>D305/D304-1</f>
        <v/>
      </c>
      <c r="E1060" s="5">
        <f>E305/E304-1</f>
        <v/>
      </c>
      <c r="F1060" s="5">
        <f>F305/F304-1</f>
        <v/>
      </c>
      <c r="G1060" s="5">
        <f>G305/G304-1</f>
        <v/>
      </c>
    </row>
    <row r="1061">
      <c r="A1061" s="2">
        <f>A306</f>
        <v/>
      </c>
      <c r="B1061" s="5">
        <f>B306/B305-1</f>
        <v/>
      </c>
      <c r="C1061" s="5">
        <f>C306/C305-1</f>
        <v/>
      </c>
      <c r="D1061" s="5">
        <f>D306/D305-1</f>
        <v/>
      </c>
      <c r="E1061" s="5">
        <f>E306/E305-1</f>
        <v/>
      </c>
      <c r="F1061" s="5">
        <f>F306/F305-1</f>
        <v/>
      </c>
      <c r="G1061" s="5">
        <f>G306/G305-1</f>
        <v/>
      </c>
    </row>
    <row r="1062">
      <c r="A1062" s="2">
        <f>A307</f>
        <v/>
      </c>
      <c r="B1062" s="5">
        <f>B307/B306-1</f>
        <v/>
      </c>
      <c r="C1062" s="5">
        <f>C307/C306-1</f>
        <v/>
      </c>
      <c r="D1062" s="5">
        <f>D307/D306-1</f>
        <v/>
      </c>
      <c r="E1062" s="5">
        <f>E307/E306-1</f>
        <v/>
      </c>
      <c r="F1062" s="5">
        <f>F307/F306-1</f>
        <v/>
      </c>
      <c r="G1062" s="5">
        <f>G307/G306-1</f>
        <v/>
      </c>
    </row>
    <row r="1063">
      <c r="A1063" s="2">
        <f>A308</f>
        <v/>
      </c>
      <c r="B1063" s="5">
        <f>B308/B307-1</f>
        <v/>
      </c>
      <c r="C1063" s="5">
        <f>C308/C307-1</f>
        <v/>
      </c>
      <c r="D1063" s="5">
        <f>D308/D307-1</f>
        <v/>
      </c>
      <c r="E1063" s="5">
        <f>E308/E307-1</f>
        <v/>
      </c>
      <c r="F1063" s="5">
        <f>F308/F307-1</f>
        <v/>
      </c>
      <c r="G1063" s="5">
        <f>G308/G307-1</f>
        <v/>
      </c>
    </row>
    <row r="1064">
      <c r="A1064" s="2">
        <f>A309</f>
        <v/>
      </c>
      <c r="B1064" s="5">
        <f>B309/B308-1</f>
        <v/>
      </c>
      <c r="C1064" s="5">
        <f>C309/C308-1</f>
        <v/>
      </c>
      <c r="D1064" s="5">
        <f>D309/D308-1</f>
        <v/>
      </c>
      <c r="E1064" s="5">
        <f>E309/E308-1</f>
        <v/>
      </c>
      <c r="F1064" s="5">
        <f>F309/F308-1</f>
        <v/>
      </c>
      <c r="G1064" s="5">
        <f>G309/G308-1</f>
        <v/>
      </c>
    </row>
    <row r="1065">
      <c r="A1065" s="2">
        <f>A310</f>
        <v/>
      </c>
      <c r="B1065" s="5">
        <f>B310/B309-1</f>
        <v/>
      </c>
      <c r="C1065" s="5">
        <f>C310/C309-1</f>
        <v/>
      </c>
      <c r="D1065" s="5">
        <f>D310/D309-1</f>
        <v/>
      </c>
      <c r="E1065" s="5">
        <f>E310/E309-1</f>
        <v/>
      </c>
      <c r="F1065" s="5">
        <f>F310/F309-1</f>
        <v/>
      </c>
      <c r="G1065" s="5">
        <f>G310/G309-1</f>
        <v/>
      </c>
    </row>
    <row r="1066">
      <c r="A1066" s="2">
        <f>A311</f>
        <v/>
      </c>
      <c r="B1066" s="5">
        <f>B311/B310-1</f>
        <v/>
      </c>
      <c r="C1066" s="5">
        <f>C311/C310-1</f>
        <v/>
      </c>
      <c r="D1066" s="5">
        <f>D311/D310-1</f>
        <v/>
      </c>
      <c r="E1066" s="5">
        <f>E311/E310-1</f>
        <v/>
      </c>
      <c r="F1066" s="5">
        <f>F311/F310-1</f>
        <v/>
      </c>
      <c r="G1066" s="5">
        <f>G311/G310-1</f>
        <v/>
      </c>
    </row>
    <row r="1067">
      <c r="A1067" s="2">
        <f>A312</f>
        <v/>
      </c>
      <c r="B1067" s="5">
        <f>B312/B311-1</f>
        <v/>
      </c>
      <c r="C1067" s="5">
        <f>C312/C311-1</f>
        <v/>
      </c>
      <c r="D1067" s="5">
        <f>D312/D311-1</f>
        <v/>
      </c>
      <c r="E1067" s="5">
        <f>E312/E311-1</f>
        <v/>
      </c>
      <c r="F1067" s="5">
        <f>F312/F311-1</f>
        <v/>
      </c>
      <c r="G1067" s="5">
        <f>G312/G311-1</f>
        <v/>
      </c>
    </row>
    <row r="1068">
      <c r="A1068" s="2">
        <f>A313</f>
        <v/>
      </c>
      <c r="B1068" s="5">
        <f>B313/B312-1</f>
        <v/>
      </c>
      <c r="C1068" s="5">
        <f>C313/C312-1</f>
        <v/>
      </c>
      <c r="D1068" s="5">
        <f>D313/D312-1</f>
        <v/>
      </c>
      <c r="E1068" s="5">
        <f>E313/E312-1</f>
        <v/>
      </c>
      <c r="F1068" s="5">
        <f>F313/F312-1</f>
        <v/>
      </c>
      <c r="G1068" s="5">
        <f>G313/G312-1</f>
        <v/>
      </c>
    </row>
    <row r="1069">
      <c r="A1069" s="2">
        <f>A314</f>
        <v/>
      </c>
      <c r="B1069" s="5">
        <f>B314/B313-1</f>
        <v/>
      </c>
      <c r="C1069" s="5">
        <f>C314/C313-1</f>
        <v/>
      </c>
      <c r="D1069" s="5">
        <f>D314/D313-1</f>
        <v/>
      </c>
      <c r="E1069" s="5">
        <f>E314/E313-1</f>
        <v/>
      </c>
      <c r="F1069" s="5">
        <f>F314/F313-1</f>
        <v/>
      </c>
      <c r="G1069" s="5">
        <f>G314/G313-1</f>
        <v/>
      </c>
    </row>
    <row r="1070">
      <c r="A1070" s="2">
        <f>A315</f>
        <v/>
      </c>
      <c r="B1070" s="5">
        <f>B315/B314-1</f>
        <v/>
      </c>
      <c r="C1070" s="5">
        <f>C315/C314-1</f>
        <v/>
      </c>
      <c r="D1070" s="5">
        <f>D315/D314-1</f>
        <v/>
      </c>
      <c r="E1070" s="5">
        <f>E315/E314-1</f>
        <v/>
      </c>
      <c r="F1070" s="5">
        <f>F315/F314-1</f>
        <v/>
      </c>
      <c r="G1070" s="5">
        <f>G315/G314-1</f>
        <v/>
      </c>
    </row>
    <row r="1071">
      <c r="A1071" s="2">
        <f>A316</f>
        <v/>
      </c>
      <c r="B1071" s="5">
        <f>B316/B315-1</f>
        <v/>
      </c>
      <c r="C1071" s="5">
        <f>C316/C315-1</f>
        <v/>
      </c>
      <c r="D1071" s="5">
        <f>D316/D315-1</f>
        <v/>
      </c>
      <c r="E1071" s="5">
        <f>E316/E315-1</f>
        <v/>
      </c>
      <c r="F1071" s="5">
        <f>F316/F315-1</f>
        <v/>
      </c>
      <c r="G1071" s="5">
        <f>G316/G315-1</f>
        <v/>
      </c>
    </row>
    <row r="1072">
      <c r="A1072" s="2">
        <f>A317</f>
        <v/>
      </c>
      <c r="B1072" s="5">
        <f>B317/B316-1</f>
        <v/>
      </c>
      <c r="C1072" s="5">
        <f>C317/C316-1</f>
        <v/>
      </c>
      <c r="D1072" s="5">
        <f>D317/D316-1</f>
        <v/>
      </c>
      <c r="E1072" s="5">
        <f>E317/E316-1</f>
        <v/>
      </c>
      <c r="F1072" s="5">
        <f>F317/F316-1</f>
        <v/>
      </c>
      <c r="G1072" s="5">
        <f>G317/G316-1</f>
        <v/>
      </c>
    </row>
    <row r="1073">
      <c r="A1073" s="2">
        <f>A318</f>
        <v/>
      </c>
      <c r="B1073" s="5">
        <f>B318/B317-1</f>
        <v/>
      </c>
      <c r="C1073" s="5">
        <f>C318/C317-1</f>
        <v/>
      </c>
      <c r="D1073" s="5">
        <f>D318/D317-1</f>
        <v/>
      </c>
      <c r="E1073" s="5">
        <f>E318/E317-1</f>
        <v/>
      </c>
      <c r="F1073" s="5">
        <f>F318/F317-1</f>
        <v/>
      </c>
      <c r="G1073" s="5">
        <f>G318/G317-1</f>
        <v/>
      </c>
    </row>
    <row r="1074">
      <c r="A1074" s="2">
        <f>A319</f>
        <v/>
      </c>
      <c r="B1074" s="5">
        <f>B319/B318-1</f>
        <v/>
      </c>
      <c r="C1074" s="5">
        <f>C319/C318-1</f>
        <v/>
      </c>
      <c r="D1074" s="5">
        <f>D319/D318-1</f>
        <v/>
      </c>
      <c r="E1074" s="5">
        <f>E319/E318-1</f>
        <v/>
      </c>
      <c r="F1074" s="5">
        <f>F319/F318-1</f>
        <v/>
      </c>
      <c r="G1074" s="5">
        <f>G319/G318-1</f>
        <v/>
      </c>
    </row>
    <row r="1075">
      <c r="A1075" s="2">
        <f>A320</f>
        <v/>
      </c>
      <c r="B1075" s="5">
        <f>B320/B319-1</f>
        <v/>
      </c>
      <c r="C1075" s="5">
        <f>C320/C319-1</f>
        <v/>
      </c>
      <c r="D1075" s="5">
        <f>D320/D319-1</f>
        <v/>
      </c>
      <c r="E1075" s="5">
        <f>E320/E319-1</f>
        <v/>
      </c>
      <c r="F1075" s="5">
        <f>F320/F319-1</f>
        <v/>
      </c>
      <c r="G1075" s="5">
        <f>G320/G319-1</f>
        <v/>
      </c>
    </row>
    <row r="1076">
      <c r="A1076" s="2">
        <f>A321</f>
        <v/>
      </c>
      <c r="B1076" s="5">
        <f>B321/B320-1</f>
        <v/>
      </c>
      <c r="C1076" s="5">
        <f>C321/C320-1</f>
        <v/>
      </c>
      <c r="D1076" s="5">
        <f>D321/D320-1</f>
        <v/>
      </c>
      <c r="E1076" s="5">
        <f>E321/E320-1</f>
        <v/>
      </c>
      <c r="F1076" s="5">
        <f>F321/F320-1</f>
        <v/>
      </c>
      <c r="G1076" s="5">
        <f>G321/G320-1</f>
        <v/>
      </c>
    </row>
    <row r="1077">
      <c r="A1077" s="2">
        <f>A322</f>
        <v/>
      </c>
      <c r="B1077" s="5">
        <f>B322/B321-1</f>
        <v/>
      </c>
      <c r="C1077" s="5">
        <f>C322/C321-1</f>
        <v/>
      </c>
      <c r="D1077" s="5">
        <f>D322/D321-1</f>
        <v/>
      </c>
      <c r="E1077" s="5">
        <f>E322/E321-1</f>
        <v/>
      </c>
      <c r="F1077" s="5">
        <f>F322/F321-1</f>
        <v/>
      </c>
      <c r="G1077" s="5">
        <f>G322/G321-1</f>
        <v/>
      </c>
    </row>
    <row r="1078">
      <c r="A1078" s="2">
        <f>A323</f>
        <v/>
      </c>
      <c r="B1078" s="5">
        <f>B323/B322-1</f>
        <v/>
      </c>
      <c r="C1078" s="5">
        <f>C323/C322-1</f>
        <v/>
      </c>
      <c r="D1078" s="5">
        <f>D323/D322-1</f>
        <v/>
      </c>
      <c r="E1078" s="5">
        <f>E323/E322-1</f>
        <v/>
      </c>
      <c r="F1078" s="5">
        <f>F323/F322-1</f>
        <v/>
      </c>
      <c r="G1078" s="5">
        <f>G323/G322-1</f>
        <v/>
      </c>
    </row>
    <row r="1079">
      <c r="A1079" s="2">
        <f>A324</f>
        <v/>
      </c>
      <c r="B1079" s="5">
        <f>B324/B323-1</f>
        <v/>
      </c>
      <c r="C1079" s="5">
        <f>C324/C323-1</f>
        <v/>
      </c>
      <c r="D1079" s="5">
        <f>D324/D323-1</f>
        <v/>
      </c>
      <c r="E1079" s="5">
        <f>E324/E323-1</f>
        <v/>
      </c>
      <c r="F1079" s="5">
        <f>F324/F323-1</f>
        <v/>
      </c>
      <c r="G1079" s="5">
        <f>G324/G323-1</f>
        <v/>
      </c>
    </row>
    <row r="1080">
      <c r="A1080" s="2">
        <f>A325</f>
        <v/>
      </c>
      <c r="B1080" s="5">
        <f>B325/B324-1</f>
        <v/>
      </c>
      <c r="C1080" s="5">
        <f>C325/C324-1</f>
        <v/>
      </c>
      <c r="D1080" s="5">
        <f>D325/D324-1</f>
        <v/>
      </c>
      <c r="E1080" s="5">
        <f>E325/E324-1</f>
        <v/>
      </c>
      <c r="F1080" s="5">
        <f>F325/F324-1</f>
        <v/>
      </c>
      <c r="G1080" s="5">
        <f>G325/G324-1</f>
        <v/>
      </c>
    </row>
    <row r="1081">
      <c r="A1081" s="2">
        <f>A326</f>
        <v/>
      </c>
      <c r="B1081" s="5">
        <f>B326/B325-1</f>
        <v/>
      </c>
      <c r="C1081" s="5">
        <f>C326/C325-1</f>
        <v/>
      </c>
      <c r="D1081" s="5">
        <f>D326/D325-1</f>
        <v/>
      </c>
      <c r="E1081" s="5">
        <f>E326/E325-1</f>
        <v/>
      </c>
      <c r="F1081" s="5">
        <f>F326/F325-1</f>
        <v/>
      </c>
      <c r="G1081" s="5">
        <f>G326/G325-1</f>
        <v/>
      </c>
    </row>
    <row r="1082">
      <c r="A1082" s="2">
        <f>A327</f>
        <v/>
      </c>
      <c r="B1082" s="5">
        <f>B327/B326-1</f>
        <v/>
      </c>
      <c r="C1082" s="5">
        <f>C327/C326-1</f>
        <v/>
      </c>
      <c r="D1082" s="5">
        <f>D327/D326-1</f>
        <v/>
      </c>
      <c r="E1082" s="5">
        <f>E327/E326-1</f>
        <v/>
      </c>
      <c r="F1082" s="5">
        <f>F327/F326-1</f>
        <v/>
      </c>
      <c r="G1082" s="5">
        <f>G327/G326-1</f>
        <v/>
      </c>
    </row>
    <row r="1083">
      <c r="A1083" s="2">
        <f>A328</f>
        <v/>
      </c>
      <c r="B1083" s="5">
        <f>B328/B327-1</f>
        <v/>
      </c>
      <c r="C1083" s="5">
        <f>C328/C327-1</f>
        <v/>
      </c>
      <c r="D1083" s="5">
        <f>D328/D327-1</f>
        <v/>
      </c>
      <c r="E1083" s="5">
        <f>E328/E327-1</f>
        <v/>
      </c>
      <c r="F1083" s="5">
        <f>F328/F327-1</f>
        <v/>
      </c>
      <c r="G1083" s="5">
        <f>G328/G327-1</f>
        <v/>
      </c>
    </row>
    <row r="1084">
      <c r="A1084" s="2">
        <f>A329</f>
        <v/>
      </c>
      <c r="B1084" s="5">
        <f>B329/B328-1</f>
        <v/>
      </c>
      <c r="C1084" s="5">
        <f>C329/C328-1</f>
        <v/>
      </c>
      <c r="D1084" s="5">
        <f>D329/D328-1</f>
        <v/>
      </c>
      <c r="E1084" s="5">
        <f>E329/E328-1</f>
        <v/>
      </c>
      <c r="F1084" s="5">
        <f>F329/F328-1</f>
        <v/>
      </c>
      <c r="G1084" s="5">
        <f>G329/G328-1</f>
        <v/>
      </c>
    </row>
    <row r="1085">
      <c r="A1085" s="2">
        <f>A330</f>
        <v/>
      </c>
      <c r="B1085" s="5">
        <f>B330/B329-1</f>
        <v/>
      </c>
      <c r="C1085" s="5">
        <f>C330/C329-1</f>
        <v/>
      </c>
      <c r="D1085" s="5">
        <f>D330/D329-1</f>
        <v/>
      </c>
      <c r="E1085" s="5">
        <f>E330/E329-1</f>
        <v/>
      </c>
      <c r="F1085" s="5">
        <f>F330/F329-1</f>
        <v/>
      </c>
      <c r="G1085" s="5">
        <f>G330/G329-1</f>
        <v/>
      </c>
    </row>
    <row r="1086">
      <c r="A1086" s="2">
        <f>A331</f>
        <v/>
      </c>
      <c r="B1086" s="5">
        <f>B331/B330-1</f>
        <v/>
      </c>
      <c r="C1086" s="5">
        <f>C331/C330-1</f>
        <v/>
      </c>
      <c r="D1086" s="5">
        <f>D331/D330-1</f>
        <v/>
      </c>
      <c r="E1086" s="5">
        <f>E331/E330-1</f>
        <v/>
      </c>
      <c r="F1086" s="5">
        <f>F331/F330-1</f>
        <v/>
      </c>
      <c r="G1086" s="5">
        <f>G331/G330-1</f>
        <v/>
      </c>
    </row>
    <row r="1087">
      <c r="A1087" s="2">
        <f>A332</f>
        <v/>
      </c>
      <c r="B1087" s="5">
        <f>B332/B331-1</f>
        <v/>
      </c>
      <c r="C1087" s="5">
        <f>C332/C331-1</f>
        <v/>
      </c>
      <c r="D1087" s="5">
        <f>D332/D331-1</f>
        <v/>
      </c>
      <c r="E1087" s="5">
        <f>E332/E331-1</f>
        <v/>
      </c>
      <c r="F1087" s="5">
        <f>F332/F331-1</f>
        <v/>
      </c>
      <c r="G1087" s="5">
        <f>G332/G331-1</f>
        <v/>
      </c>
    </row>
    <row r="1088">
      <c r="A1088" s="2">
        <f>A333</f>
        <v/>
      </c>
      <c r="B1088" s="5">
        <f>B333/B332-1</f>
        <v/>
      </c>
      <c r="C1088" s="5">
        <f>C333/C332-1</f>
        <v/>
      </c>
      <c r="D1088" s="5">
        <f>D333/D332-1</f>
        <v/>
      </c>
      <c r="E1088" s="5">
        <f>E333/E332-1</f>
        <v/>
      </c>
      <c r="F1088" s="5">
        <f>F333/F332-1</f>
        <v/>
      </c>
      <c r="G1088" s="5">
        <f>G333/G332-1</f>
        <v/>
      </c>
    </row>
    <row r="1089">
      <c r="A1089" s="2">
        <f>A334</f>
        <v/>
      </c>
      <c r="B1089" s="5">
        <f>B334/B333-1</f>
        <v/>
      </c>
      <c r="C1089" s="5">
        <f>C334/C333-1</f>
        <v/>
      </c>
      <c r="D1089" s="5">
        <f>D334/D333-1</f>
        <v/>
      </c>
      <c r="E1089" s="5">
        <f>E334/E333-1</f>
        <v/>
      </c>
      <c r="F1089" s="5">
        <f>F334/F333-1</f>
        <v/>
      </c>
      <c r="G1089" s="5">
        <f>G334/G333-1</f>
        <v/>
      </c>
    </row>
    <row r="1090">
      <c r="A1090" s="2">
        <f>A335</f>
        <v/>
      </c>
      <c r="B1090" s="5">
        <f>B335/B334-1</f>
        <v/>
      </c>
      <c r="C1090" s="5">
        <f>C335/C334-1</f>
        <v/>
      </c>
      <c r="D1090" s="5">
        <f>D335/D334-1</f>
        <v/>
      </c>
      <c r="E1090" s="5">
        <f>E335/E334-1</f>
        <v/>
      </c>
      <c r="F1090" s="5">
        <f>F335/F334-1</f>
        <v/>
      </c>
      <c r="G1090" s="5">
        <f>G335/G334-1</f>
        <v/>
      </c>
    </row>
    <row r="1091">
      <c r="A1091" s="2">
        <f>A336</f>
        <v/>
      </c>
      <c r="B1091" s="5">
        <f>B336/B335-1</f>
        <v/>
      </c>
      <c r="C1091" s="5">
        <f>C336/C335-1</f>
        <v/>
      </c>
      <c r="D1091" s="5">
        <f>D336/D335-1</f>
        <v/>
      </c>
      <c r="E1091" s="5">
        <f>E336/E335-1</f>
        <v/>
      </c>
      <c r="F1091" s="5">
        <f>F336/F335-1</f>
        <v/>
      </c>
      <c r="G1091" s="5">
        <f>G336/G335-1</f>
        <v/>
      </c>
    </row>
    <row r="1092">
      <c r="A1092" s="2">
        <f>A337</f>
        <v/>
      </c>
      <c r="B1092" s="5">
        <f>B337/B336-1</f>
        <v/>
      </c>
      <c r="C1092" s="5">
        <f>C337/C336-1</f>
        <v/>
      </c>
      <c r="D1092" s="5">
        <f>D337/D336-1</f>
        <v/>
      </c>
      <c r="E1092" s="5">
        <f>E337/E336-1</f>
        <v/>
      </c>
      <c r="F1092" s="5">
        <f>F337/F336-1</f>
        <v/>
      </c>
      <c r="G1092" s="5">
        <f>G337/G336-1</f>
        <v/>
      </c>
    </row>
    <row r="1093">
      <c r="A1093" s="2">
        <f>A338</f>
        <v/>
      </c>
      <c r="B1093" s="5">
        <f>B338/B337-1</f>
        <v/>
      </c>
      <c r="C1093" s="5">
        <f>C338/C337-1</f>
        <v/>
      </c>
      <c r="D1093" s="5">
        <f>D338/D337-1</f>
        <v/>
      </c>
      <c r="E1093" s="5">
        <f>E338/E337-1</f>
        <v/>
      </c>
      <c r="F1093" s="5">
        <f>F338/F337-1</f>
        <v/>
      </c>
      <c r="G1093" s="5">
        <f>G338/G337-1</f>
        <v/>
      </c>
    </row>
    <row r="1094">
      <c r="A1094" s="2">
        <f>A339</f>
        <v/>
      </c>
      <c r="B1094" s="5">
        <f>B339/B338-1</f>
        <v/>
      </c>
      <c r="C1094" s="5">
        <f>C339/C338-1</f>
        <v/>
      </c>
      <c r="D1094" s="5">
        <f>D339/D338-1</f>
        <v/>
      </c>
      <c r="E1094" s="5">
        <f>E339/E338-1</f>
        <v/>
      </c>
      <c r="F1094" s="5">
        <f>F339/F338-1</f>
        <v/>
      </c>
      <c r="G1094" s="5">
        <f>G339/G338-1</f>
        <v/>
      </c>
    </row>
    <row r="1095">
      <c r="A1095" s="2">
        <f>A340</f>
        <v/>
      </c>
      <c r="B1095" s="5">
        <f>B340/B339-1</f>
        <v/>
      </c>
      <c r="C1095" s="5">
        <f>C340/C339-1</f>
        <v/>
      </c>
      <c r="D1095" s="5">
        <f>D340/D339-1</f>
        <v/>
      </c>
      <c r="E1095" s="5">
        <f>E340/E339-1</f>
        <v/>
      </c>
      <c r="F1095" s="5">
        <f>F340/F339-1</f>
        <v/>
      </c>
      <c r="G1095" s="5">
        <f>G340/G339-1</f>
        <v/>
      </c>
    </row>
    <row r="1096">
      <c r="A1096" s="2">
        <f>A341</f>
        <v/>
      </c>
      <c r="B1096" s="5">
        <f>B341/B340-1</f>
        <v/>
      </c>
      <c r="C1096" s="5">
        <f>C341/C340-1</f>
        <v/>
      </c>
      <c r="D1096" s="5">
        <f>D341/D340-1</f>
        <v/>
      </c>
      <c r="E1096" s="5">
        <f>E341/E340-1</f>
        <v/>
      </c>
      <c r="F1096" s="5">
        <f>F341/F340-1</f>
        <v/>
      </c>
      <c r="G1096" s="5">
        <f>G341/G340-1</f>
        <v/>
      </c>
    </row>
    <row r="1097">
      <c r="A1097" s="2">
        <f>A342</f>
        <v/>
      </c>
      <c r="B1097" s="5">
        <f>B342/B341-1</f>
        <v/>
      </c>
      <c r="C1097" s="5">
        <f>C342/C341-1</f>
        <v/>
      </c>
      <c r="D1097" s="5">
        <f>D342/D341-1</f>
        <v/>
      </c>
      <c r="E1097" s="5">
        <f>E342/E341-1</f>
        <v/>
      </c>
      <c r="F1097" s="5">
        <f>F342/F341-1</f>
        <v/>
      </c>
      <c r="G1097" s="5">
        <f>G342/G341-1</f>
        <v/>
      </c>
    </row>
    <row r="1098">
      <c r="A1098" s="2">
        <f>A343</f>
        <v/>
      </c>
      <c r="B1098" s="5">
        <f>B343/B342-1</f>
        <v/>
      </c>
      <c r="C1098" s="5">
        <f>C343/C342-1</f>
        <v/>
      </c>
      <c r="D1098" s="5">
        <f>D343/D342-1</f>
        <v/>
      </c>
      <c r="E1098" s="5">
        <f>E343/E342-1</f>
        <v/>
      </c>
      <c r="F1098" s="5">
        <f>F343/F342-1</f>
        <v/>
      </c>
      <c r="G1098" s="5">
        <f>G343/G342-1</f>
        <v/>
      </c>
    </row>
    <row r="1099">
      <c r="A1099" s="2">
        <f>A344</f>
        <v/>
      </c>
      <c r="B1099" s="5">
        <f>B344/B343-1</f>
        <v/>
      </c>
      <c r="C1099" s="5">
        <f>C344/C343-1</f>
        <v/>
      </c>
      <c r="D1099" s="5">
        <f>D344/D343-1</f>
        <v/>
      </c>
      <c r="E1099" s="5">
        <f>E344/E343-1</f>
        <v/>
      </c>
      <c r="F1099" s="5">
        <f>F344/F343-1</f>
        <v/>
      </c>
      <c r="G1099" s="5">
        <f>G344/G343-1</f>
        <v/>
      </c>
    </row>
    <row r="1100">
      <c r="A1100" s="2">
        <f>A345</f>
        <v/>
      </c>
      <c r="B1100" s="5">
        <f>B345/B344-1</f>
        <v/>
      </c>
      <c r="C1100" s="5">
        <f>C345/C344-1</f>
        <v/>
      </c>
      <c r="D1100" s="5">
        <f>D345/D344-1</f>
        <v/>
      </c>
      <c r="E1100" s="5">
        <f>E345/E344-1</f>
        <v/>
      </c>
      <c r="F1100" s="5">
        <f>F345/F344-1</f>
        <v/>
      </c>
      <c r="G1100" s="5">
        <f>G345/G344-1</f>
        <v/>
      </c>
    </row>
    <row r="1101">
      <c r="A1101" s="2">
        <f>A346</f>
        <v/>
      </c>
      <c r="B1101" s="5">
        <f>B346/B345-1</f>
        <v/>
      </c>
      <c r="C1101" s="5">
        <f>C346/C345-1</f>
        <v/>
      </c>
      <c r="D1101" s="5">
        <f>D346/D345-1</f>
        <v/>
      </c>
      <c r="E1101" s="5">
        <f>E346/E345-1</f>
        <v/>
      </c>
      <c r="F1101" s="5">
        <f>F346/F345-1</f>
        <v/>
      </c>
      <c r="G1101" s="5">
        <f>G346/G345-1</f>
        <v/>
      </c>
    </row>
    <row r="1102">
      <c r="A1102" s="2">
        <f>A347</f>
        <v/>
      </c>
      <c r="B1102" s="5">
        <f>B347/B346-1</f>
        <v/>
      </c>
      <c r="C1102" s="5">
        <f>C347/C346-1</f>
        <v/>
      </c>
      <c r="D1102" s="5">
        <f>D347/D346-1</f>
        <v/>
      </c>
      <c r="E1102" s="5">
        <f>E347/E346-1</f>
        <v/>
      </c>
      <c r="F1102" s="5">
        <f>F347/F346-1</f>
        <v/>
      </c>
      <c r="G1102" s="5">
        <f>G347/G346-1</f>
        <v/>
      </c>
    </row>
    <row r="1103">
      <c r="A1103" s="2">
        <f>A348</f>
        <v/>
      </c>
      <c r="B1103" s="5">
        <f>B348/B347-1</f>
        <v/>
      </c>
      <c r="C1103" s="5">
        <f>C348/C347-1</f>
        <v/>
      </c>
      <c r="D1103" s="5">
        <f>D348/D347-1</f>
        <v/>
      </c>
      <c r="E1103" s="5">
        <f>E348/E347-1</f>
        <v/>
      </c>
      <c r="F1103" s="5">
        <f>F348/F347-1</f>
        <v/>
      </c>
      <c r="G1103" s="5">
        <f>G348/G347-1</f>
        <v/>
      </c>
    </row>
    <row r="1104">
      <c r="A1104" s="2">
        <f>A349</f>
        <v/>
      </c>
      <c r="B1104" s="5">
        <f>B349/B348-1</f>
        <v/>
      </c>
      <c r="C1104" s="5">
        <f>C349/C348-1</f>
        <v/>
      </c>
      <c r="D1104" s="5">
        <f>D349/D348-1</f>
        <v/>
      </c>
      <c r="E1104" s="5">
        <f>E349/E348-1</f>
        <v/>
      </c>
      <c r="F1104" s="5">
        <f>F349/F348-1</f>
        <v/>
      </c>
      <c r="G1104" s="5">
        <f>G349/G348-1</f>
        <v/>
      </c>
    </row>
    <row r="1105">
      <c r="A1105" s="2">
        <f>A350</f>
        <v/>
      </c>
      <c r="B1105" s="5">
        <f>B350/B349-1</f>
        <v/>
      </c>
      <c r="C1105" s="5">
        <f>C350/C349-1</f>
        <v/>
      </c>
      <c r="D1105" s="5">
        <f>D350/D349-1</f>
        <v/>
      </c>
      <c r="E1105" s="5">
        <f>E350/E349-1</f>
        <v/>
      </c>
      <c r="F1105" s="5">
        <f>F350/F349-1</f>
        <v/>
      </c>
      <c r="G1105" s="5">
        <f>G350/G349-1</f>
        <v/>
      </c>
    </row>
    <row r="1106">
      <c r="A1106" s="2">
        <f>A351</f>
        <v/>
      </c>
      <c r="B1106" s="5">
        <f>B351/B350-1</f>
        <v/>
      </c>
      <c r="C1106" s="5">
        <f>C351/C350-1</f>
        <v/>
      </c>
      <c r="D1106" s="5">
        <f>D351/D350-1</f>
        <v/>
      </c>
      <c r="E1106" s="5">
        <f>E351/E350-1</f>
        <v/>
      </c>
      <c r="F1106" s="5">
        <f>F351/F350-1</f>
        <v/>
      </c>
      <c r="G1106" s="5">
        <f>G351/G350-1</f>
        <v/>
      </c>
    </row>
    <row r="1107">
      <c r="A1107" s="2">
        <f>A352</f>
        <v/>
      </c>
      <c r="B1107" s="5">
        <f>B352/B351-1</f>
        <v/>
      </c>
      <c r="C1107" s="5">
        <f>C352/C351-1</f>
        <v/>
      </c>
      <c r="D1107" s="5">
        <f>D352/D351-1</f>
        <v/>
      </c>
      <c r="E1107" s="5">
        <f>E352/E351-1</f>
        <v/>
      </c>
      <c r="F1107" s="5">
        <f>F352/F351-1</f>
        <v/>
      </c>
      <c r="G1107" s="5">
        <f>G352/G351-1</f>
        <v/>
      </c>
    </row>
    <row r="1108">
      <c r="A1108" s="2">
        <f>A353</f>
        <v/>
      </c>
      <c r="B1108" s="5">
        <f>B353/B352-1</f>
        <v/>
      </c>
      <c r="C1108" s="5">
        <f>C353/C352-1</f>
        <v/>
      </c>
      <c r="D1108" s="5">
        <f>D353/D352-1</f>
        <v/>
      </c>
      <c r="E1108" s="5">
        <f>E353/E352-1</f>
        <v/>
      </c>
      <c r="F1108" s="5">
        <f>F353/F352-1</f>
        <v/>
      </c>
      <c r="G1108" s="5">
        <f>G353/G352-1</f>
        <v/>
      </c>
    </row>
    <row r="1109">
      <c r="A1109" s="2">
        <f>A354</f>
        <v/>
      </c>
      <c r="B1109" s="5">
        <f>B354/B353-1</f>
        <v/>
      </c>
      <c r="C1109" s="5">
        <f>C354/C353-1</f>
        <v/>
      </c>
      <c r="D1109" s="5">
        <f>D354/D353-1</f>
        <v/>
      </c>
      <c r="E1109" s="5">
        <f>E354/E353-1</f>
        <v/>
      </c>
      <c r="F1109" s="5">
        <f>F354/F353-1</f>
        <v/>
      </c>
      <c r="G1109" s="5">
        <f>G354/G353-1</f>
        <v/>
      </c>
    </row>
    <row r="1110">
      <c r="A1110" s="2">
        <f>A355</f>
        <v/>
      </c>
      <c r="B1110" s="5">
        <f>B355/B354-1</f>
        <v/>
      </c>
      <c r="C1110" s="5">
        <f>C355/C354-1</f>
        <v/>
      </c>
      <c r="D1110" s="5">
        <f>D355/D354-1</f>
        <v/>
      </c>
      <c r="E1110" s="5">
        <f>E355/E354-1</f>
        <v/>
      </c>
      <c r="F1110" s="5">
        <f>F355/F354-1</f>
        <v/>
      </c>
      <c r="G1110" s="5">
        <f>G355/G354-1</f>
        <v/>
      </c>
    </row>
    <row r="1111">
      <c r="A1111" s="2">
        <f>A356</f>
        <v/>
      </c>
      <c r="B1111" s="5">
        <f>B356/B355-1</f>
        <v/>
      </c>
      <c r="C1111" s="5">
        <f>C356/C355-1</f>
        <v/>
      </c>
      <c r="D1111" s="5">
        <f>D356/D355-1</f>
        <v/>
      </c>
      <c r="E1111" s="5">
        <f>E356/E355-1</f>
        <v/>
      </c>
      <c r="F1111" s="5">
        <f>F356/F355-1</f>
        <v/>
      </c>
      <c r="G1111" s="5">
        <f>G356/G355-1</f>
        <v/>
      </c>
    </row>
    <row r="1112">
      <c r="A1112" s="2">
        <f>A357</f>
        <v/>
      </c>
      <c r="B1112" s="5">
        <f>B357/B356-1</f>
        <v/>
      </c>
      <c r="C1112" s="5">
        <f>C357/C356-1</f>
        <v/>
      </c>
      <c r="D1112" s="5">
        <f>D357/D356-1</f>
        <v/>
      </c>
      <c r="E1112" s="5">
        <f>E357/E356-1</f>
        <v/>
      </c>
      <c r="F1112" s="5">
        <f>F357/F356-1</f>
        <v/>
      </c>
      <c r="G1112" s="5">
        <f>G357/G356-1</f>
        <v/>
      </c>
    </row>
    <row r="1113">
      <c r="A1113" s="2">
        <f>A358</f>
        <v/>
      </c>
      <c r="B1113" s="5">
        <f>B358/B357-1</f>
        <v/>
      </c>
      <c r="C1113" s="5">
        <f>C358/C357-1</f>
        <v/>
      </c>
      <c r="D1113" s="5">
        <f>D358/D357-1</f>
        <v/>
      </c>
      <c r="E1113" s="5">
        <f>E358/E357-1</f>
        <v/>
      </c>
      <c r="F1113" s="5">
        <f>F358/F357-1</f>
        <v/>
      </c>
      <c r="G1113" s="5">
        <f>G358/G357-1</f>
        <v/>
      </c>
    </row>
    <row r="1114">
      <c r="A1114" s="2">
        <f>A359</f>
        <v/>
      </c>
      <c r="B1114" s="5">
        <f>B359/B358-1</f>
        <v/>
      </c>
      <c r="C1114" s="5">
        <f>C359/C358-1</f>
        <v/>
      </c>
      <c r="D1114" s="5">
        <f>D359/D358-1</f>
        <v/>
      </c>
      <c r="E1114" s="5">
        <f>E359/E358-1</f>
        <v/>
      </c>
      <c r="F1114" s="5">
        <f>F359/F358-1</f>
        <v/>
      </c>
      <c r="G1114" s="5">
        <f>G359/G358-1</f>
        <v/>
      </c>
    </row>
    <row r="1115">
      <c r="A1115" s="2">
        <f>A360</f>
        <v/>
      </c>
      <c r="B1115" s="5">
        <f>B360/B359-1</f>
        <v/>
      </c>
      <c r="C1115" s="5">
        <f>C360/C359-1</f>
        <v/>
      </c>
      <c r="D1115" s="5">
        <f>D360/D359-1</f>
        <v/>
      </c>
      <c r="E1115" s="5">
        <f>E360/E359-1</f>
        <v/>
      </c>
      <c r="F1115" s="5">
        <f>F360/F359-1</f>
        <v/>
      </c>
      <c r="G1115" s="5">
        <f>G360/G359-1</f>
        <v/>
      </c>
    </row>
    <row r="1116">
      <c r="A1116" s="2">
        <f>A361</f>
        <v/>
      </c>
      <c r="B1116" s="5">
        <f>B361/B360-1</f>
        <v/>
      </c>
      <c r="C1116" s="5">
        <f>C361/C360-1</f>
        <v/>
      </c>
      <c r="D1116" s="5">
        <f>D361/D360-1</f>
        <v/>
      </c>
      <c r="E1116" s="5">
        <f>E361/E360-1</f>
        <v/>
      </c>
      <c r="F1116" s="5">
        <f>F361/F360-1</f>
        <v/>
      </c>
      <c r="G1116" s="5">
        <f>G361/G360-1</f>
        <v/>
      </c>
    </row>
    <row r="1117">
      <c r="A1117" s="2">
        <f>A362</f>
        <v/>
      </c>
      <c r="B1117" s="5">
        <f>B362/B361-1</f>
        <v/>
      </c>
      <c r="C1117" s="5">
        <f>C362/C361-1</f>
        <v/>
      </c>
      <c r="D1117" s="5">
        <f>D362/D361-1</f>
        <v/>
      </c>
      <c r="E1117" s="5">
        <f>E362/E361-1</f>
        <v/>
      </c>
      <c r="F1117" s="5">
        <f>F362/F361-1</f>
        <v/>
      </c>
      <c r="G1117" s="5">
        <f>G362/G361-1</f>
        <v/>
      </c>
    </row>
    <row r="1118">
      <c r="A1118" s="2">
        <f>A363</f>
        <v/>
      </c>
      <c r="B1118" s="5">
        <f>B363/B362-1</f>
        <v/>
      </c>
      <c r="C1118" s="5">
        <f>C363/C362-1</f>
        <v/>
      </c>
      <c r="D1118" s="5">
        <f>D363/D362-1</f>
        <v/>
      </c>
      <c r="E1118" s="5">
        <f>E363/E362-1</f>
        <v/>
      </c>
      <c r="F1118" s="5">
        <f>F363/F362-1</f>
        <v/>
      </c>
      <c r="G1118" s="5">
        <f>G363/G362-1</f>
        <v/>
      </c>
    </row>
    <row r="1119">
      <c r="A1119" s="2">
        <f>A364</f>
        <v/>
      </c>
      <c r="B1119" s="5">
        <f>B364/B363-1</f>
        <v/>
      </c>
      <c r="C1119" s="5">
        <f>C364/C363-1</f>
        <v/>
      </c>
      <c r="D1119" s="5">
        <f>D364/D363-1</f>
        <v/>
      </c>
      <c r="E1119" s="5">
        <f>E364/E363-1</f>
        <v/>
      </c>
      <c r="F1119" s="5">
        <f>F364/F363-1</f>
        <v/>
      </c>
      <c r="G1119" s="5">
        <f>G364/G363-1</f>
        <v/>
      </c>
    </row>
    <row r="1120">
      <c r="A1120" s="2">
        <f>A365</f>
        <v/>
      </c>
      <c r="B1120" s="5">
        <f>B365/B364-1</f>
        <v/>
      </c>
      <c r="C1120" s="5">
        <f>C365/C364-1</f>
        <v/>
      </c>
      <c r="D1120" s="5">
        <f>D365/D364-1</f>
        <v/>
      </c>
      <c r="E1120" s="5">
        <f>E365/E364-1</f>
        <v/>
      </c>
      <c r="F1120" s="5">
        <f>F365/F364-1</f>
        <v/>
      </c>
      <c r="G1120" s="5">
        <f>G365/G364-1</f>
        <v/>
      </c>
    </row>
    <row r="1121">
      <c r="A1121" s="2">
        <f>A366</f>
        <v/>
      </c>
      <c r="B1121" s="5">
        <f>B366/B365-1</f>
        <v/>
      </c>
      <c r="C1121" s="5">
        <f>C366/C365-1</f>
        <v/>
      </c>
      <c r="D1121" s="5">
        <f>D366/D365-1</f>
        <v/>
      </c>
      <c r="E1121" s="5">
        <f>E366/E365-1</f>
        <v/>
      </c>
      <c r="F1121" s="5">
        <f>F366/F365-1</f>
        <v/>
      </c>
      <c r="G1121" s="5">
        <f>G366/G365-1</f>
        <v/>
      </c>
    </row>
    <row r="1122">
      <c r="A1122" s="2">
        <f>A367</f>
        <v/>
      </c>
      <c r="B1122" s="5">
        <f>B367/B366-1</f>
        <v/>
      </c>
      <c r="C1122" s="5">
        <f>C367/C366-1</f>
        <v/>
      </c>
      <c r="D1122" s="5">
        <f>D367/D366-1</f>
        <v/>
      </c>
      <c r="E1122" s="5">
        <f>E367/E366-1</f>
        <v/>
      </c>
      <c r="F1122" s="5">
        <f>F367/F366-1</f>
        <v/>
      </c>
      <c r="G1122" s="5">
        <f>G367/G366-1</f>
        <v/>
      </c>
    </row>
    <row r="1123">
      <c r="A1123" s="2">
        <f>A368</f>
        <v/>
      </c>
      <c r="B1123" s="5">
        <f>B368/B367-1</f>
        <v/>
      </c>
      <c r="C1123" s="5">
        <f>C368/C367-1</f>
        <v/>
      </c>
      <c r="D1123" s="5">
        <f>D368/D367-1</f>
        <v/>
      </c>
      <c r="E1123" s="5">
        <f>E368/E367-1</f>
        <v/>
      </c>
      <c r="F1123" s="5">
        <f>F368/F367-1</f>
        <v/>
      </c>
      <c r="G1123" s="5">
        <f>G368/G367-1</f>
        <v/>
      </c>
    </row>
    <row r="1124">
      <c r="A1124" s="2">
        <f>A369</f>
        <v/>
      </c>
      <c r="B1124" s="5">
        <f>B369/B368-1</f>
        <v/>
      </c>
      <c r="C1124" s="5">
        <f>C369/C368-1</f>
        <v/>
      </c>
      <c r="D1124" s="5">
        <f>D369/D368-1</f>
        <v/>
      </c>
      <c r="E1124" s="5">
        <f>E369/E368-1</f>
        <v/>
      </c>
      <c r="F1124" s="5">
        <f>F369/F368-1</f>
        <v/>
      </c>
      <c r="G1124" s="5">
        <f>G369/G368-1</f>
        <v/>
      </c>
    </row>
    <row r="1125">
      <c r="A1125" s="2">
        <f>A370</f>
        <v/>
      </c>
      <c r="B1125" s="5">
        <f>B370/B369-1</f>
        <v/>
      </c>
      <c r="C1125" s="5">
        <f>C370/C369-1</f>
        <v/>
      </c>
      <c r="D1125" s="5">
        <f>D370/D369-1</f>
        <v/>
      </c>
      <c r="E1125" s="5">
        <f>E370/E369-1</f>
        <v/>
      </c>
      <c r="F1125" s="5">
        <f>F370/F369-1</f>
        <v/>
      </c>
      <c r="G1125" s="5">
        <f>G370/G369-1</f>
        <v/>
      </c>
    </row>
    <row r="1126">
      <c r="A1126" s="2">
        <f>A371</f>
        <v/>
      </c>
      <c r="B1126" s="5">
        <f>B371/B370-1</f>
        <v/>
      </c>
      <c r="C1126" s="5">
        <f>C371/C370-1</f>
        <v/>
      </c>
      <c r="D1126" s="5">
        <f>D371/D370-1</f>
        <v/>
      </c>
      <c r="E1126" s="5">
        <f>E371/E370-1</f>
        <v/>
      </c>
      <c r="F1126" s="5">
        <f>F371/F370-1</f>
        <v/>
      </c>
      <c r="G1126" s="5">
        <f>G371/G370-1</f>
        <v/>
      </c>
    </row>
    <row r="1127">
      <c r="A1127" s="2">
        <f>A372</f>
        <v/>
      </c>
      <c r="B1127" s="5">
        <f>B372/B371-1</f>
        <v/>
      </c>
      <c r="C1127" s="5">
        <f>C372/C371-1</f>
        <v/>
      </c>
      <c r="D1127" s="5">
        <f>D372/D371-1</f>
        <v/>
      </c>
      <c r="E1127" s="5">
        <f>E372/E371-1</f>
        <v/>
      </c>
      <c r="F1127" s="5">
        <f>F372/F371-1</f>
        <v/>
      </c>
      <c r="G1127" s="5">
        <f>G372/G371-1</f>
        <v/>
      </c>
    </row>
    <row r="1128">
      <c r="A1128" s="2">
        <f>A373</f>
        <v/>
      </c>
      <c r="B1128" s="5">
        <f>B373/B372-1</f>
        <v/>
      </c>
      <c r="C1128" s="5">
        <f>C373/C372-1</f>
        <v/>
      </c>
      <c r="D1128" s="5">
        <f>D373/D372-1</f>
        <v/>
      </c>
      <c r="E1128" s="5">
        <f>E373/E372-1</f>
        <v/>
      </c>
      <c r="F1128" s="5">
        <f>F373/F372-1</f>
        <v/>
      </c>
      <c r="G1128" s="5">
        <f>G373/G372-1</f>
        <v/>
      </c>
    </row>
    <row r="1129">
      <c r="A1129" s="2">
        <f>A374</f>
        <v/>
      </c>
      <c r="B1129" s="5">
        <f>B374/B373-1</f>
        <v/>
      </c>
      <c r="C1129" s="5">
        <f>C374/C373-1</f>
        <v/>
      </c>
      <c r="D1129" s="5">
        <f>D374/D373-1</f>
        <v/>
      </c>
      <c r="E1129" s="5">
        <f>E374/E373-1</f>
        <v/>
      </c>
      <c r="F1129" s="5">
        <f>F374/F373-1</f>
        <v/>
      </c>
      <c r="G1129" s="5">
        <f>G374/G373-1</f>
        <v/>
      </c>
    </row>
    <row r="1130">
      <c r="A1130" s="2">
        <f>A375</f>
        <v/>
      </c>
      <c r="B1130" s="5">
        <f>B375/B374-1</f>
        <v/>
      </c>
      <c r="C1130" s="5">
        <f>C375/C374-1</f>
        <v/>
      </c>
      <c r="D1130" s="5">
        <f>D375/D374-1</f>
        <v/>
      </c>
      <c r="E1130" s="5">
        <f>E375/E374-1</f>
        <v/>
      </c>
      <c r="F1130" s="5">
        <f>F375/F374-1</f>
        <v/>
      </c>
      <c r="G1130" s="5">
        <f>G375/G374-1</f>
        <v/>
      </c>
    </row>
    <row r="1131">
      <c r="A1131" s="2">
        <f>A376</f>
        <v/>
      </c>
      <c r="B1131" s="5">
        <f>B376/B375-1</f>
        <v/>
      </c>
      <c r="C1131" s="5">
        <f>C376/C375-1</f>
        <v/>
      </c>
      <c r="D1131" s="5">
        <f>D376/D375-1</f>
        <v/>
      </c>
      <c r="E1131" s="5">
        <f>E376/E375-1</f>
        <v/>
      </c>
      <c r="F1131" s="5">
        <f>F376/F375-1</f>
        <v/>
      </c>
      <c r="G1131" s="5">
        <f>G376/G375-1</f>
        <v/>
      </c>
    </row>
    <row r="1132">
      <c r="A1132" s="2">
        <f>A377</f>
        <v/>
      </c>
      <c r="B1132" s="5">
        <f>B377/B376-1</f>
        <v/>
      </c>
      <c r="C1132" s="5">
        <f>C377/C376-1</f>
        <v/>
      </c>
      <c r="D1132" s="5">
        <f>D377/D376-1</f>
        <v/>
      </c>
      <c r="E1132" s="5">
        <f>E377/E376-1</f>
        <v/>
      </c>
      <c r="F1132" s="5">
        <f>F377/F376-1</f>
        <v/>
      </c>
      <c r="G1132" s="5">
        <f>G377/G376-1</f>
        <v/>
      </c>
    </row>
    <row r="1133">
      <c r="A1133" s="2">
        <f>A378</f>
        <v/>
      </c>
      <c r="B1133" s="5">
        <f>B378/B377-1</f>
        <v/>
      </c>
      <c r="C1133" s="5">
        <f>C378/C377-1</f>
        <v/>
      </c>
      <c r="D1133" s="5">
        <f>D378/D377-1</f>
        <v/>
      </c>
      <c r="E1133" s="5">
        <f>E378/E377-1</f>
        <v/>
      </c>
      <c r="F1133" s="5">
        <f>F378/F377-1</f>
        <v/>
      </c>
      <c r="G1133" s="5">
        <f>G378/G377-1</f>
        <v/>
      </c>
    </row>
    <row r="1134">
      <c r="A1134" s="2">
        <f>A379</f>
        <v/>
      </c>
      <c r="B1134" s="5">
        <f>B379/B378-1</f>
        <v/>
      </c>
      <c r="C1134" s="5">
        <f>C379/C378-1</f>
        <v/>
      </c>
      <c r="D1134" s="5">
        <f>D379/D378-1</f>
        <v/>
      </c>
      <c r="E1134" s="5">
        <f>E379/E378-1</f>
        <v/>
      </c>
      <c r="F1134" s="5">
        <f>F379/F378-1</f>
        <v/>
      </c>
      <c r="G1134" s="5">
        <f>G379/G378-1</f>
        <v/>
      </c>
    </row>
    <row r="1135">
      <c r="A1135" s="2">
        <f>A380</f>
        <v/>
      </c>
      <c r="B1135" s="5">
        <f>B380/B379-1</f>
        <v/>
      </c>
      <c r="C1135" s="5">
        <f>C380/C379-1</f>
        <v/>
      </c>
      <c r="D1135" s="5">
        <f>D380/D379-1</f>
        <v/>
      </c>
      <c r="E1135" s="5">
        <f>E380/E379-1</f>
        <v/>
      </c>
      <c r="F1135" s="5">
        <f>F380/F379-1</f>
        <v/>
      </c>
      <c r="G1135" s="5">
        <f>G380/G379-1</f>
        <v/>
      </c>
    </row>
    <row r="1136">
      <c r="A1136" s="2">
        <f>A381</f>
        <v/>
      </c>
      <c r="B1136" s="5">
        <f>B381/B380-1</f>
        <v/>
      </c>
      <c r="C1136" s="5">
        <f>C381/C380-1</f>
        <v/>
      </c>
      <c r="D1136" s="5">
        <f>D381/D380-1</f>
        <v/>
      </c>
      <c r="E1136" s="5">
        <f>E381/E380-1</f>
        <v/>
      </c>
      <c r="F1136" s="5">
        <f>F381/F380-1</f>
        <v/>
      </c>
      <c r="G1136" s="5">
        <f>G381/G380-1</f>
        <v/>
      </c>
    </row>
    <row r="1137">
      <c r="A1137" s="2">
        <f>A382</f>
        <v/>
      </c>
      <c r="B1137" s="5">
        <f>B382/B381-1</f>
        <v/>
      </c>
      <c r="C1137" s="5">
        <f>C382/C381-1</f>
        <v/>
      </c>
      <c r="D1137" s="5">
        <f>D382/D381-1</f>
        <v/>
      </c>
      <c r="E1137" s="5">
        <f>E382/E381-1</f>
        <v/>
      </c>
      <c r="F1137" s="5">
        <f>F382/F381-1</f>
        <v/>
      </c>
      <c r="G1137" s="5">
        <f>G382/G381-1</f>
        <v/>
      </c>
    </row>
    <row r="1138">
      <c r="A1138" s="2">
        <f>A383</f>
        <v/>
      </c>
      <c r="B1138" s="5">
        <f>B383/B382-1</f>
        <v/>
      </c>
      <c r="C1138" s="5">
        <f>C383/C382-1</f>
        <v/>
      </c>
      <c r="D1138" s="5">
        <f>D383/D382-1</f>
        <v/>
      </c>
      <c r="E1138" s="5">
        <f>E383/E382-1</f>
        <v/>
      </c>
      <c r="F1138" s="5">
        <f>F383/F382-1</f>
        <v/>
      </c>
      <c r="G1138" s="5">
        <f>G383/G382-1</f>
        <v/>
      </c>
    </row>
    <row r="1139">
      <c r="A1139" s="2">
        <f>A384</f>
        <v/>
      </c>
      <c r="B1139" s="5">
        <f>B384/B383-1</f>
        <v/>
      </c>
      <c r="C1139" s="5">
        <f>C384/C383-1</f>
        <v/>
      </c>
      <c r="D1139" s="5">
        <f>D384/D383-1</f>
        <v/>
      </c>
      <c r="E1139" s="5">
        <f>E384/E383-1</f>
        <v/>
      </c>
      <c r="F1139" s="5">
        <f>F384/F383-1</f>
        <v/>
      </c>
      <c r="G1139" s="5">
        <f>G384/G383-1</f>
        <v/>
      </c>
    </row>
    <row r="1140">
      <c r="A1140" s="2">
        <f>A385</f>
        <v/>
      </c>
      <c r="B1140" s="5">
        <f>B385/B384-1</f>
        <v/>
      </c>
      <c r="C1140" s="5">
        <f>C385/C384-1</f>
        <v/>
      </c>
      <c r="D1140" s="5">
        <f>D385/D384-1</f>
        <v/>
      </c>
      <c r="E1140" s="5">
        <f>E385/E384-1</f>
        <v/>
      </c>
      <c r="F1140" s="5">
        <f>F385/F384-1</f>
        <v/>
      </c>
      <c r="G1140" s="5">
        <f>G385/G384-1</f>
        <v/>
      </c>
    </row>
    <row r="1141">
      <c r="A1141" s="2">
        <f>A386</f>
        <v/>
      </c>
      <c r="B1141" s="5">
        <f>B386/B385-1</f>
        <v/>
      </c>
      <c r="C1141" s="5">
        <f>C386/C385-1</f>
        <v/>
      </c>
      <c r="D1141" s="5">
        <f>D386/D385-1</f>
        <v/>
      </c>
      <c r="E1141" s="5">
        <f>E386/E385-1</f>
        <v/>
      </c>
      <c r="F1141" s="5">
        <f>F386/F385-1</f>
        <v/>
      </c>
      <c r="G1141" s="5">
        <f>G386/G385-1</f>
        <v/>
      </c>
    </row>
    <row r="1142">
      <c r="A1142" s="2">
        <f>A387</f>
        <v/>
      </c>
      <c r="B1142" s="5">
        <f>B387/B386-1</f>
        <v/>
      </c>
      <c r="C1142" s="5">
        <f>C387/C386-1</f>
        <v/>
      </c>
      <c r="D1142" s="5">
        <f>D387/D386-1</f>
        <v/>
      </c>
      <c r="E1142" s="5">
        <f>E387/E386-1</f>
        <v/>
      </c>
      <c r="F1142" s="5">
        <f>F387/F386-1</f>
        <v/>
      </c>
      <c r="G1142" s="5">
        <f>G387/G386-1</f>
        <v/>
      </c>
    </row>
    <row r="1143">
      <c r="A1143" s="2">
        <f>A388</f>
        <v/>
      </c>
      <c r="B1143" s="5">
        <f>B388/B387-1</f>
        <v/>
      </c>
      <c r="C1143" s="5">
        <f>C388/C387-1</f>
        <v/>
      </c>
      <c r="D1143" s="5">
        <f>D388/D387-1</f>
        <v/>
      </c>
      <c r="E1143" s="5">
        <f>E388/E387-1</f>
        <v/>
      </c>
      <c r="F1143" s="5">
        <f>F388/F387-1</f>
        <v/>
      </c>
      <c r="G1143" s="5">
        <f>G388/G387-1</f>
        <v/>
      </c>
    </row>
    <row r="1144">
      <c r="A1144" s="2">
        <f>A389</f>
        <v/>
      </c>
      <c r="B1144" s="5">
        <f>B389/B388-1</f>
        <v/>
      </c>
      <c r="C1144" s="5">
        <f>C389/C388-1</f>
        <v/>
      </c>
      <c r="D1144" s="5">
        <f>D389/D388-1</f>
        <v/>
      </c>
      <c r="E1144" s="5">
        <f>E389/E388-1</f>
        <v/>
      </c>
      <c r="F1144" s="5">
        <f>F389/F388-1</f>
        <v/>
      </c>
      <c r="G1144" s="5">
        <f>G389/G388-1</f>
        <v/>
      </c>
    </row>
    <row r="1145">
      <c r="A1145" s="2">
        <f>A390</f>
        <v/>
      </c>
      <c r="B1145" s="5">
        <f>B390/B389-1</f>
        <v/>
      </c>
      <c r="C1145" s="5">
        <f>C390/C389-1</f>
        <v/>
      </c>
      <c r="D1145" s="5">
        <f>D390/D389-1</f>
        <v/>
      </c>
      <c r="E1145" s="5">
        <f>E390/E389-1</f>
        <v/>
      </c>
      <c r="F1145" s="5">
        <f>F390/F389-1</f>
        <v/>
      </c>
      <c r="G1145" s="5">
        <f>G390/G389-1</f>
        <v/>
      </c>
    </row>
    <row r="1146">
      <c r="A1146" s="2">
        <f>A391</f>
        <v/>
      </c>
      <c r="B1146" s="5">
        <f>B391/B390-1</f>
        <v/>
      </c>
      <c r="C1146" s="5">
        <f>C391/C390-1</f>
        <v/>
      </c>
      <c r="D1146" s="5">
        <f>D391/D390-1</f>
        <v/>
      </c>
      <c r="E1146" s="5">
        <f>E391/E390-1</f>
        <v/>
      </c>
      <c r="F1146" s="5">
        <f>F391/F390-1</f>
        <v/>
      </c>
      <c r="G1146" s="5">
        <f>G391/G390-1</f>
        <v/>
      </c>
    </row>
    <row r="1147">
      <c r="A1147" s="2">
        <f>A392</f>
        <v/>
      </c>
      <c r="B1147" s="5">
        <f>B392/B391-1</f>
        <v/>
      </c>
      <c r="C1147" s="5">
        <f>C392/C391-1</f>
        <v/>
      </c>
      <c r="D1147" s="5">
        <f>D392/D391-1</f>
        <v/>
      </c>
      <c r="E1147" s="5">
        <f>E392/E391-1</f>
        <v/>
      </c>
      <c r="F1147" s="5">
        <f>F392/F391-1</f>
        <v/>
      </c>
      <c r="G1147" s="5">
        <f>G392/G391-1</f>
        <v/>
      </c>
    </row>
    <row r="1148">
      <c r="A1148" s="2">
        <f>A393</f>
        <v/>
      </c>
      <c r="B1148" s="5">
        <f>B393/B392-1</f>
        <v/>
      </c>
      <c r="C1148" s="5">
        <f>C393/C392-1</f>
        <v/>
      </c>
      <c r="D1148" s="5">
        <f>D393/D392-1</f>
        <v/>
      </c>
      <c r="E1148" s="5">
        <f>E393/E392-1</f>
        <v/>
      </c>
      <c r="F1148" s="5">
        <f>F393/F392-1</f>
        <v/>
      </c>
      <c r="G1148" s="5">
        <f>G393/G392-1</f>
        <v/>
      </c>
    </row>
    <row r="1149">
      <c r="A1149" s="2">
        <f>A394</f>
        <v/>
      </c>
      <c r="B1149" s="5">
        <f>B394/B393-1</f>
        <v/>
      </c>
      <c r="C1149" s="5">
        <f>C394/C393-1</f>
        <v/>
      </c>
      <c r="D1149" s="5">
        <f>D394/D393-1</f>
        <v/>
      </c>
      <c r="E1149" s="5">
        <f>E394/E393-1</f>
        <v/>
      </c>
      <c r="F1149" s="5">
        <f>F394/F393-1</f>
        <v/>
      </c>
      <c r="G1149" s="5">
        <f>G394/G393-1</f>
        <v/>
      </c>
    </row>
    <row r="1150">
      <c r="A1150" s="2">
        <f>A395</f>
        <v/>
      </c>
      <c r="B1150" s="5">
        <f>B395/B394-1</f>
        <v/>
      </c>
      <c r="C1150" s="5">
        <f>C395/C394-1</f>
        <v/>
      </c>
      <c r="D1150" s="5">
        <f>D395/D394-1</f>
        <v/>
      </c>
      <c r="E1150" s="5">
        <f>E395/E394-1</f>
        <v/>
      </c>
      <c r="F1150" s="5">
        <f>F395/F394-1</f>
        <v/>
      </c>
      <c r="G1150" s="5">
        <f>G395/G394-1</f>
        <v/>
      </c>
    </row>
    <row r="1151">
      <c r="A1151" s="2">
        <f>A396</f>
        <v/>
      </c>
      <c r="B1151" s="5">
        <f>B396/B395-1</f>
        <v/>
      </c>
      <c r="C1151" s="5">
        <f>C396/C395-1</f>
        <v/>
      </c>
      <c r="D1151" s="5">
        <f>D396/D395-1</f>
        <v/>
      </c>
      <c r="E1151" s="5">
        <f>E396/E395-1</f>
        <v/>
      </c>
      <c r="F1151" s="5">
        <f>F396/F395-1</f>
        <v/>
      </c>
      <c r="G1151" s="5">
        <f>G396/G395-1</f>
        <v/>
      </c>
    </row>
    <row r="1152">
      <c r="A1152" s="2">
        <f>A397</f>
        <v/>
      </c>
      <c r="B1152" s="5">
        <f>B397/B396-1</f>
        <v/>
      </c>
      <c r="C1152" s="5">
        <f>C397/C396-1</f>
        <v/>
      </c>
      <c r="D1152" s="5">
        <f>D397/D396-1</f>
        <v/>
      </c>
      <c r="E1152" s="5">
        <f>E397/E396-1</f>
        <v/>
      </c>
      <c r="F1152" s="5">
        <f>F397/F396-1</f>
        <v/>
      </c>
      <c r="G1152" s="5">
        <f>G397/G396-1</f>
        <v/>
      </c>
    </row>
    <row r="1153">
      <c r="A1153" s="2">
        <f>A398</f>
        <v/>
      </c>
      <c r="B1153" s="5">
        <f>B398/B397-1</f>
        <v/>
      </c>
      <c r="C1153" s="5">
        <f>C398/C397-1</f>
        <v/>
      </c>
      <c r="D1153" s="5">
        <f>D398/D397-1</f>
        <v/>
      </c>
      <c r="E1153" s="5">
        <f>E398/E397-1</f>
        <v/>
      </c>
      <c r="F1153" s="5">
        <f>F398/F397-1</f>
        <v/>
      </c>
      <c r="G1153" s="5">
        <f>G398/G397-1</f>
        <v/>
      </c>
    </row>
    <row r="1154">
      <c r="A1154" s="2">
        <f>A399</f>
        <v/>
      </c>
      <c r="B1154" s="5">
        <f>B399/B398-1</f>
        <v/>
      </c>
      <c r="C1154" s="5">
        <f>C399/C398-1</f>
        <v/>
      </c>
      <c r="D1154" s="5">
        <f>D399/D398-1</f>
        <v/>
      </c>
      <c r="E1154" s="5">
        <f>E399/E398-1</f>
        <v/>
      </c>
      <c r="F1154" s="5">
        <f>F399/F398-1</f>
        <v/>
      </c>
      <c r="G1154" s="5">
        <f>G399/G398-1</f>
        <v/>
      </c>
    </row>
    <row r="1155">
      <c r="A1155" s="2">
        <f>A400</f>
        <v/>
      </c>
      <c r="B1155" s="5">
        <f>B400/B399-1</f>
        <v/>
      </c>
      <c r="C1155" s="5">
        <f>C400/C399-1</f>
        <v/>
      </c>
      <c r="D1155" s="5">
        <f>D400/D399-1</f>
        <v/>
      </c>
      <c r="E1155" s="5">
        <f>E400/E399-1</f>
        <v/>
      </c>
      <c r="F1155" s="5">
        <f>F400/F399-1</f>
        <v/>
      </c>
      <c r="G1155" s="5">
        <f>G400/G399-1</f>
        <v/>
      </c>
    </row>
    <row r="1156">
      <c r="A1156" s="2">
        <f>A401</f>
        <v/>
      </c>
      <c r="B1156" s="5">
        <f>B401/B400-1</f>
        <v/>
      </c>
      <c r="C1156" s="5">
        <f>C401/C400-1</f>
        <v/>
      </c>
      <c r="D1156" s="5">
        <f>D401/D400-1</f>
        <v/>
      </c>
      <c r="E1156" s="5">
        <f>E401/E400-1</f>
        <v/>
      </c>
      <c r="F1156" s="5">
        <f>F401/F400-1</f>
        <v/>
      </c>
      <c r="G1156" s="5">
        <f>G401/G400-1</f>
        <v/>
      </c>
    </row>
    <row r="1157">
      <c r="A1157" s="2">
        <f>A402</f>
        <v/>
      </c>
      <c r="B1157" s="5">
        <f>B402/B401-1</f>
        <v/>
      </c>
      <c r="C1157" s="5">
        <f>C402/C401-1</f>
        <v/>
      </c>
      <c r="D1157" s="5">
        <f>D402/D401-1</f>
        <v/>
      </c>
      <c r="E1157" s="5">
        <f>E402/E401-1</f>
        <v/>
      </c>
      <c r="F1157" s="5">
        <f>F402/F401-1</f>
        <v/>
      </c>
      <c r="G1157" s="5">
        <f>G402/G401-1</f>
        <v/>
      </c>
    </row>
    <row r="1158">
      <c r="A1158" s="2">
        <f>A403</f>
        <v/>
      </c>
      <c r="B1158" s="5">
        <f>B403/B402-1</f>
        <v/>
      </c>
      <c r="C1158" s="5">
        <f>C403/C402-1</f>
        <v/>
      </c>
      <c r="D1158" s="5">
        <f>D403/D402-1</f>
        <v/>
      </c>
      <c r="E1158" s="5">
        <f>E403/E402-1</f>
        <v/>
      </c>
      <c r="F1158" s="5">
        <f>F403/F402-1</f>
        <v/>
      </c>
      <c r="G1158" s="5">
        <f>G403/G402-1</f>
        <v/>
      </c>
    </row>
    <row r="1159">
      <c r="A1159" s="2">
        <f>A404</f>
        <v/>
      </c>
      <c r="B1159" s="5">
        <f>B404/B403-1</f>
        <v/>
      </c>
      <c r="C1159" s="5">
        <f>C404/C403-1</f>
        <v/>
      </c>
      <c r="D1159" s="5">
        <f>D404/D403-1</f>
        <v/>
      </c>
      <c r="E1159" s="5">
        <f>E404/E403-1</f>
        <v/>
      </c>
      <c r="F1159" s="5">
        <f>F404/F403-1</f>
        <v/>
      </c>
      <c r="G1159" s="5">
        <f>G404/G403-1</f>
        <v/>
      </c>
    </row>
    <row r="1160">
      <c r="A1160" s="2">
        <f>A405</f>
        <v/>
      </c>
      <c r="B1160" s="5">
        <f>B405/B404-1</f>
        <v/>
      </c>
      <c r="C1160" s="5">
        <f>C405/C404-1</f>
        <v/>
      </c>
      <c r="D1160" s="5">
        <f>D405/D404-1</f>
        <v/>
      </c>
      <c r="E1160" s="5">
        <f>E405/E404-1</f>
        <v/>
      </c>
      <c r="F1160" s="5">
        <f>F405/F404-1</f>
        <v/>
      </c>
      <c r="G1160" s="5">
        <f>G405/G404-1</f>
        <v/>
      </c>
    </row>
    <row r="1161">
      <c r="A1161" s="2">
        <f>A406</f>
        <v/>
      </c>
      <c r="B1161" s="5">
        <f>B406/B405-1</f>
        <v/>
      </c>
      <c r="C1161" s="5">
        <f>C406/C405-1</f>
        <v/>
      </c>
      <c r="D1161" s="5">
        <f>D406/D405-1</f>
        <v/>
      </c>
      <c r="E1161" s="5">
        <f>E406/E405-1</f>
        <v/>
      </c>
      <c r="F1161" s="5">
        <f>F406/F405-1</f>
        <v/>
      </c>
      <c r="G1161" s="5">
        <f>G406/G405-1</f>
        <v/>
      </c>
    </row>
    <row r="1162">
      <c r="A1162" s="2">
        <f>A407</f>
        <v/>
      </c>
      <c r="B1162" s="5">
        <f>B407/B406-1</f>
        <v/>
      </c>
      <c r="C1162" s="5">
        <f>C407/C406-1</f>
        <v/>
      </c>
      <c r="D1162" s="5">
        <f>D407/D406-1</f>
        <v/>
      </c>
      <c r="E1162" s="5">
        <f>E407/E406-1</f>
        <v/>
      </c>
      <c r="F1162" s="5">
        <f>F407/F406-1</f>
        <v/>
      </c>
      <c r="G1162" s="5">
        <f>G407/G406-1</f>
        <v/>
      </c>
    </row>
    <row r="1163">
      <c r="A1163" s="2">
        <f>A408</f>
        <v/>
      </c>
      <c r="B1163" s="5">
        <f>B408/B407-1</f>
        <v/>
      </c>
      <c r="C1163" s="5">
        <f>C408/C407-1</f>
        <v/>
      </c>
      <c r="D1163" s="5">
        <f>D408/D407-1</f>
        <v/>
      </c>
      <c r="E1163" s="5">
        <f>E408/E407-1</f>
        <v/>
      </c>
      <c r="F1163" s="5">
        <f>F408/F407-1</f>
        <v/>
      </c>
      <c r="G1163" s="5">
        <f>G408/G407-1</f>
        <v/>
      </c>
    </row>
    <row r="1164">
      <c r="A1164" s="2">
        <f>A409</f>
        <v/>
      </c>
      <c r="B1164" s="5">
        <f>B409/B408-1</f>
        <v/>
      </c>
      <c r="C1164" s="5">
        <f>C409/C408-1</f>
        <v/>
      </c>
      <c r="D1164" s="5">
        <f>D409/D408-1</f>
        <v/>
      </c>
      <c r="E1164" s="5">
        <f>E409/E408-1</f>
        <v/>
      </c>
      <c r="F1164" s="5">
        <f>F409/F408-1</f>
        <v/>
      </c>
      <c r="G1164" s="5">
        <f>G409/G408-1</f>
        <v/>
      </c>
    </row>
    <row r="1165">
      <c r="A1165" s="2">
        <f>A410</f>
        <v/>
      </c>
      <c r="B1165" s="5">
        <f>B410/B409-1</f>
        <v/>
      </c>
      <c r="C1165" s="5">
        <f>C410/C409-1</f>
        <v/>
      </c>
      <c r="D1165" s="5">
        <f>D410/D409-1</f>
        <v/>
      </c>
      <c r="E1165" s="5">
        <f>E410/E409-1</f>
        <v/>
      </c>
      <c r="F1165" s="5">
        <f>F410/F409-1</f>
        <v/>
      </c>
      <c r="G1165" s="5">
        <f>G410/G409-1</f>
        <v/>
      </c>
    </row>
    <row r="1166">
      <c r="A1166" s="2">
        <f>A411</f>
        <v/>
      </c>
      <c r="B1166" s="5">
        <f>B411/B410-1</f>
        <v/>
      </c>
      <c r="C1166" s="5">
        <f>C411/C410-1</f>
        <v/>
      </c>
      <c r="D1166" s="5">
        <f>D411/D410-1</f>
        <v/>
      </c>
      <c r="E1166" s="5">
        <f>E411/E410-1</f>
        <v/>
      </c>
      <c r="F1166" s="5">
        <f>F411/F410-1</f>
        <v/>
      </c>
      <c r="G1166" s="5">
        <f>G411/G410-1</f>
        <v/>
      </c>
    </row>
    <row r="1167">
      <c r="A1167" s="2">
        <f>A412</f>
        <v/>
      </c>
      <c r="B1167" s="5">
        <f>B412/B411-1</f>
        <v/>
      </c>
      <c r="C1167" s="5">
        <f>C412/C411-1</f>
        <v/>
      </c>
      <c r="D1167" s="5">
        <f>D412/D411-1</f>
        <v/>
      </c>
      <c r="E1167" s="5">
        <f>E412/E411-1</f>
        <v/>
      </c>
      <c r="F1167" s="5">
        <f>F412/F411-1</f>
        <v/>
      </c>
      <c r="G1167" s="5">
        <f>G412/G411-1</f>
        <v/>
      </c>
    </row>
    <row r="1168">
      <c r="A1168" s="2">
        <f>A413</f>
        <v/>
      </c>
      <c r="B1168" s="5">
        <f>B413/B412-1</f>
        <v/>
      </c>
      <c r="C1168" s="5">
        <f>C413/C412-1</f>
        <v/>
      </c>
      <c r="D1168" s="5">
        <f>D413/D412-1</f>
        <v/>
      </c>
      <c r="E1168" s="5">
        <f>E413/E412-1</f>
        <v/>
      </c>
      <c r="F1168" s="5">
        <f>F413/F412-1</f>
        <v/>
      </c>
      <c r="G1168" s="5">
        <f>G413/G412-1</f>
        <v/>
      </c>
    </row>
    <row r="1169">
      <c r="A1169" s="2">
        <f>A414</f>
        <v/>
      </c>
      <c r="B1169" s="5">
        <f>B414/B413-1</f>
        <v/>
      </c>
      <c r="C1169" s="5">
        <f>C414/C413-1</f>
        <v/>
      </c>
      <c r="D1169" s="5">
        <f>D414/D413-1</f>
        <v/>
      </c>
      <c r="E1169" s="5">
        <f>E414/E413-1</f>
        <v/>
      </c>
      <c r="F1169" s="5">
        <f>F414/F413-1</f>
        <v/>
      </c>
      <c r="G1169" s="5">
        <f>G414/G413-1</f>
        <v/>
      </c>
    </row>
    <row r="1170">
      <c r="A1170" s="2">
        <f>A415</f>
        <v/>
      </c>
      <c r="B1170" s="5">
        <f>B415/B414-1</f>
        <v/>
      </c>
      <c r="C1170" s="5">
        <f>C415/C414-1</f>
        <v/>
      </c>
      <c r="D1170" s="5">
        <f>D415/D414-1</f>
        <v/>
      </c>
      <c r="E1170" s="5">
        <f>E415/E414-1</f>
        <v/>
      </c>
      <c r="F1170" s="5">
        <f>F415/F414-1</f>
        <v/>
      </c>
      <c r="G1170" s="5">
        <f>G415/G414-1</f>
        <v/>
      </c>
    </row>
    <row r="1171">
      <c r="A1171" s="2">
        <f>A416</f>
        <v/>
      </c>
      <c r="B1171" s="5">
        <f>B416/B415-1</f>
        <v/>
      </c>
      <c r="C1171" s="5">
        <f>C416/C415-1</f>
        <v/>
      </c>
      <c r="D1171" s="5">
        <f>D416/D415-1</f>
        <v/>
      </c>
      <c r="E1171" s="5">
        <f>E416/E415-1</f>
        <v/>
      </c>
      <c r="F1171" s="5">
        <f>F416/F415-1</f>
        <v/>
      </c>
      <c r="G1171" s="5">
        <f>G416/G415-1</f>
        <v/>
      </c>
    </row>
    <row r="1172">
      <c r="A1172" s="2">
        <f>A417</f>
        <v/>
      </c>
      <c r="B1172" s="5">
        <f>B417/B416-1</f>
        <v/>
      </c>
      <c r="C1172" s="5">
        <f>C417/C416-1</f>
        <v/>
      </c>
      <c r="D1172" s="5">
        <f>D417/D416-1</f>
        <v/>
      </c>
      <c r="E1172" s="5">
        <f>E417/E416-1</f>
        <v/>
      </c>
      <c r="F1172" s="5">
        <f>F417/F416-1</f>
        <v/>
      </c>
      <c r="G1172" s="5">
        <f>G417/G416-1</f>
        <v/>
      </c>
    </row>
    <row r="1173">
      <c r="A1173" s="2">
        <f>A418</f>
        <v/>
      </c>
      <c r="B1173" s="5">
        <f>B418/B417-1</f>
        <v/>
      </c>
      <c r="C1173" s="5">
        <f>C418/C417-1</f>
        <v/>
      </c>
      <c r="D1173" s="5">
        <f>D418/D417-1</f>
        <v/>
      </c>
      <c r="E1173" s="5">
        <f>E418/E417-1</f>
        <v/>
      </c>
      <c r="F1173" s="5">
        <f>F418/F417-1</f>
        <v/>
      </c>
      <c r="G1173" s="5">
        <f>G418/G417-1</f>
        <v/>
      </c>
    </row>
    <row r="1174">
      <c r="A1174" s="2">
        <f>A419</f>
        <v/>
      </c>
      <c r="B1174" s="5">
        <f>B419/B418-1</f>
        <v/>
      </c>
      <c r="C1174" s="5">
        <f>C419/C418-1</f>
        <v/>
      </c>
      <c r="D1174" s="5">
        <f>D419/D418-1</f>
        <v/>
      </c>
      <c r="E1174" s="5">
        <f>E419/E418-1</f>
        <v/>
      </c>
      <c r="F1174" s="5">
        <f>F419/F418-1</f>
        <v/>
      </c>
      <c r="G1174" s="5">
        <f>G419/G418-1</f>
        <v/>
      </c>
    </row>
    <row r="1175">
      <c r="A1175" s="2">
        <f>A420</f>
        <v/>
      </c>
      <c r="B1175" s="5">
        <f>B420/B419-1</f>
        <v/>
      </c>
      <c r="C1175" s="5">
        <f>C420/C419-1</f>
        <v/>
      </c>
      <c r="D1175" s="5">
        <f>D420/D419-1</f>
        <v/>
      </c>
      <c r="E1175" s="5">
        <f>E420/E419-1</f>
        <v/>
      </c>
      <c r="F1175" s="5">
        <f>F420/F419-1</f>
        <v/>
      </c>
      <c r="G1175" s="5">
        <f>G420/G419-1</f>
        <v/>
      </c>
    </row>
    <row r="1176">
      <c r="A1176" s="2">
        <f>A421</f>
        <v/>
      </c>
      <c r="B1176" s="5">
        <f>B421/B420-1</f>
        <v/>
      </c>
      <c r="C1176" s="5">
        <f>C421/C420-1</f>
        <v/>
      </c>
      <c r="D1176" s="5">
        <f>D421/D420-1</f>
        <v/>
      </c>
      <c r="E1176" s="5">
        <f>E421/E420-1</f>
        <v/>
      </c>
      <c r="F1176" s="5">
        <f>F421/F420-1</f>
        <v/>
      </c>
      <c r="G1176" s="5">
        <f>G421/G420-1</f>
        <v/>
      </c>
    </row>
    <row r="1177">
      <c r="A1177" s="2">
        <f>A422</f>
        <v/>
      </c>
      <c r="B1177" s="5">
        <f>B422/B421-1</f>
        <v/>
      </c>
      <c r="C1177" s="5">
        <f>C422/C421-1</f>
        <v/>
      </c>
      <c r="D1177" s="5">
        <f>D422/D421-1</f>
        <v/>
      </c>
      <c r="E1177" s="5">
        <f>E422/E421-1</f>
        <v/>
      </c>
      <c r="F1177" s="5">
        <f>F422/F421-1</f>
        <v/>
      </c>
      <c r="G1177" s="5">
        <f>G422/G421-1</f>
        <v/>
      </c>
    </row>
    <row r="1178">
      <c r="A1178" s="2">
        <f>A423</f>
        <v/>
      </c>
      <c r="B1178" s="5">
        <f>B423/B422-1</f>
        <v/>
      </c>
      <c r="C1178" s="5">
        <f>C423/C422-1</f>
        <v/>
      </c>
      <c r="D1178" s="5">
        <f>D423/D422-1</f>
        <v/>
      </c>
      <c r="E1178" s="5">
        <f>E423/E422-1</f>
        <v/>
      </c>
      <c r="F1178" s="5">
        <f>F423/F422-1</f>
        <v/>
      </c>
      <c r="G1178" s="5">
        <f>G423/G422-1</f>
        <v/>
      </c>
    </row>
    <row r="1179">
      <c r="A1179" s="2">
        <f>A424</f>
        <v/>
      </c>
      <c r="B1179" s="5">
        <f>B424/B423-1</f>
        <v/>
      </c>
      <c r="C1179" s="5">
        <f>C424/C423-1</f>
        <v/>
      </c>
      <c r="D1179" s="5">
        <f>D424/D423-1</f>
        <v/>
      </c>
      <c r="E1179" s="5">
        <f>E424/E423-1</f>
        <v/>
      </c>
      <c r="F1179" s="5">
        <f>F424/F423-1</f>
        <v/>
      </c>
      <c r="G1179" s="5">
        <f>G424/G423-1</f>
        <v/>
      </c>
    </row>
    <row r="1180">
      <c r="A1180" s="2">
        <f>A425</f>
        <v/>
      </c>
      <c r="B1180" s="5">
        <f>B425/B424-1</f>
        <v/>
      </c>
      <c r="C1180" s="5">
        <f>C425/C424-1</f>
        <v/>
      </c>
      <c r="D1180" s="5">
        <f>D425/D424-1</f>
        <v/>
      </c>
      <c r="E1180" s="5">
        <f>E425/E424-1</f>
        <v/>
      </c>
      <c r="F1180" s="5">
        <f>F425/F424-1</f>
        <v/>
      </c>
      <c r="G1180" s="5">
        <f>G425/G424-1</f>
        <v/>
      </c>
    </row>
    <row r="1181">
      <c r="A1181" s="2">
        <f>A426</f>
        <v/>
      </c>
      <c r="B1181" s="5">
        <f>B426/B425-1</f>
        <v/>
      </c>
      <c r="C1181" s="5">
        <f>C426/C425-1</f>
        <v/>
      </c>
      <c r="D1181" s="5">
        <f>D426/D425-1</f>
        <v/>
      </c>
      <c r="E1181" s="5">
        <f>E426/E425-1</f>
        <v/>
      </c>
      <c r="F1181" s="5">
        <f>F426/F425-1</f>
        <v/>
      </c>
      <c r="G1181" s="5">
        <f>G426/G425-1</f>
        <v/>
      </c>
    </row>
    <row r="1182">
      <c r="A1182" s="2">
        <f>A427</f>
        <v/>
      </c>
      <c r="B1182" s="5">
        <f>B427/B426-1</f>
        <v/>
      </c>
      <c r="C1182" s="5">
        <f>C427/C426-1</f>
        <v/>
      </c>
      <c r="D1182" s="5">
        <f>D427/D426-1</f>
        <v/>
      </c>
      <c r="E1182" s="5">
        <f>E427/E426-1</f>
        <v/>
      </c>
      <c r="F1182" s="5">
        <f>F427/F426-1</f>
        <v/>
      </c>
      <c r="G1182" s="5">
        <f>G427/G426-1</f>
        <v/>
      </c>
    </row>
    <row r="1183">
      <c r="A1183" s="2">
        <f>A428</f>
        <v/>
      </c>
      <c r="B1183" s="5">
        <f>B428/B427-1</f>
        <v/>
      </c>
      <c r="C1183" s="5">
        <f>C428/C427-1</f>
        <v/>
      </c>
      <c r="D1183" s="5">
        <f>D428/D427-1</f>
        <v/>
      </c>
      <c r="E1183" s="5">
        <f>E428/E427-1</f>
        <v/>
      </c>
      <c r="F1183" s="5">
        <f>F428/F427-1</f>
        <v/>
      </c>
      <c r="G1183" s="5">
        <f>G428/G427-1</f>
        <v/>
      </c>
    </row>
    <row r="1184">
      <c r="A1184" s="2">
        <f>A429</f>
        <v/>
      </c>
      <c r="B1184" s="5">
        <f>B429/B428-1</f>
        <v/>
      </c>
      <c r="C1184" s="5">
        <f>C429/C428-1</f>
        <v/>
      </c>
      <c r="D1184" s="5">
        <f>D429/D428-1</f>
        <v/>
      </c>
      <c r="E1184" s="5">
        <f>E429/E428-1</f>
        <v/>
      </c>
      <c r="F1184" s="5">
        <f>F429/F428-1</f>
        <v/>
      </c>
      <c r="G1184" s="5">
        <f>G429/G428-1</f>
        <v/>
      </c>
    </row>
    <row r="1185">
      <c r="A1185" s="2">
        <f>A430</f>
        <v/>
      </c>
      <c r="B1185" s="5">
        <f>B430/B429-1</f>
        <v/>
      </c>
      <c r="C1185" s="5">
        <f>C430/C429-1</f>
        <v/>
      </c>
      <c r="D1185" s="5">
        <f>D430/D429-1</f>
        <v/>
      </c>
      <c r="E1185" s="5">
        <f>E430/E429-1</f>
        <v/>
      </c>
      <c r="F1185" s="5">
        <f>F430/F429-1</f>
        <v/>
      </c>
      <c r="G1185" s="5">
        <f>G430/G429-1</f>
        <v/>
      </c>
    </row>
    <row r="1186">
      <c r="A1186" s="2">
        <f>A431</f>
        <v/>
      </c>
      <c r="B1186" s="5">
        <f>B431/B430-1</f>
        <v/>
      </c>
      <c r="C1186" s="5">
        <f>C431/C430-1</f>
        <v/>
      </c>
      <c r="D1186" s="5">
        <f>D431/D430-1</f>
        <v/>
      </c>
      <c r="E1186" s="5">
        <f>E431/E430-1</f>
        <v/>
      </c>
      <c r="F1186" s="5">
        <f>F431/F430-1</f>
        <v/>
      </c>
      <c r="G1186" s="5">
        <f>G431/G430-1</f>
        <v/>
      </c>
    </row>
    <row r="1187">
      <c r="A1187" s="2">
        <f>A432</f>
        <v/>
      </c>
      <c r="B1187" s="5">
        <f>B432/B431-1</f>
        <v/>
      </c>
      <c r="C1187" s="5">
        <f>C432/C431-1</f>
        <v/>
      </c>
      <c r="D1187" s="5">
        <f>D432/D431-1</f>
        <v/>
      </c>
      <c r="E1187" s="5">
        <f>E432/E431-1</f>
        <v/>
      </c>
      <c r="F1187" s="5">
        <f>F432/F431-1</f>
        <v/>
      </c>
      <c r="G1187" s="5">
        <f>G432/G431-1</f>
        <v/>
      </c>
    </row>
    <row r="1188">
      <c r="A1188" s="2">
        <f>A433</f>
        <v/>
      </c>
      <c r="B1188" s="5">
        <f>B433/B432-1</f>
        <v/>
      </c>
      <c r="C1188" s="5">
        <f>C433/C432-1</f>
        <v/>
      </c>
      <c r="D1188" s="5">
        <f>D433/D432-1</f>
        <v/>
      </c>
      <c r="E1188" s="5">
        <f>E433/E432-1</f>
        <v/>
      </c>
      <c r="F1188" s="5">
        <f>F433/F432-1</f>
        <v/>
      </c>
      <c r="G1188" s="5">
        <f>G433/G432-1</f>
        <v/>
      </c>
    </row>
    <row r="1189">
      <c r="A1189" s="2">
        <f>A434</f>
        <v/>
      </c>
      <c r="B1189" s="5">
        <f>B434/B433-1</f>
        <v/>
      </c>
      <c r="C1189" s="5">
        <f>C434/C433-1</f>
        <v/>
      </c>
      <c r="D1189" s="5">
        <f>D434/D433-1</f>
        <v/>
      </c>
      <c r="E1189" s="5">
        <f>E434/E433-1</f>
        <v/>
      </c>
      <c r="F1189" s="5">
        <f>F434/F433-1</f>
        <v/>
      </c>
      <c r="G1189" s="5">
        <f>G434/G433-1</f>
        <v/>
      </c>
    </row>
    <row r="1190">
      <c r="A1190" s="2">
        <f>A435</f>
        <v/>
      </c>
      <c r="B1190" s="5">
        <f>B435/B434-1</f>
        <v/>
      </c>
      <c r="C1190" s="5">
        <f>C435/C434-1</f>
        <v/>
      </c>
      <c r="D1190" s="5">
        <f>D435/D434-1</f>
        <v/>
      </c>
      <c r="E1190" s="5">
        <f>E435/E434-1</f>
        <v/>
      </c>
      <c r="F1190" s="5">
        <f>F435/F434-1</f>
        <v/>
      </c>
      <c r="G1190" s="5">
        <f>G435/G434-1</f>
        <v/>
      </c>
    </row>
    <row r="1191">
      <c r="A1191" s="2">
        <f>A436</f>
        <v/>
      </c>
      <c r="B1191" s="5">
        <f>B436/B435-1</f>
        <v/>
      </c>
      <c r="C1191" s="5">
        <f>C436/C435-1</f>
        <v/>
      </c>
      <c r="D1191" s="5">
        <f>D436/D435-1</f>
        <v/>
      </c>
      <c r="E1191" s="5">
        <f>E436/E435-1</f>
        <v/>
      </c>
      <c r="F1191" s="5">
        <f>F436/F435-1</f>
        <v/>
      </c>
      <c r="G1191" s="5">
        <f>G436/G435-1</f>
        <v/>
      </c>
    </row>
    <row r="1192">
      <c r="A1192" s="2">
        <f>A437</f>
        <v/>
      </c>
      <c r="B1192" s="5">
        <f>B437/B436-1</f>
        <v/>
      </c>
      <c r="C1192" s="5">
        <f>C437/C436-1</f>
        <v/>
      </c>
      <c r="D1192" s="5">
        <f>D437/D436-1</f>
        <v/>
      </c>
      <c r="E1192" s="5">
        <f>E437/E436-1</f>
        <v/>
      </c>
      <c r="F1192" s="5">
        <f>F437/F436-1</f>
        <v/>
      </c>
      <c r="G1192" s="5">
        <f>G437/G436-1</f>
        <v/>
      </c>
    </row>
    <row r="1193">
      <c r="A1193" s="2">
        <f>A438</f>
        <v/>
      </c>
      <c r="B1193" s="5">
        <f>B438/B437-1</f>
        <v/>
      </c>
      <c r="C1193" s="5">
        <f>C438/C437-1</f>
        <v/>
      </c>
      <c r="D1193" s="5">
        <f>D438/D437-1</f>
        <v/>
      </c>
      <c r="E1193" s="5">
        <f>E438/E437-1</f>
        <v/>
      </c>
      <c r="F1193" s="5">
        <f>F438/F437-1</f>
        <v/>
      </c>
      <c r="G1193" s="5">
        <f>G438/G437-1</f>
        <v/>
      </c>
    </row>
    <row r="1194">
      <c r="A1194" s="2">
        <f>A439</f>
        <v/>
      </c>
      <c r="B1194" s="5">
        <f>B439/B438-1</f>
        <v/>
      </c>
      <c r="C1194" s="5">
        <f>C439/C438-1</f>
        <v/>
      </c>
      <c r="D1194" s="5">
        <f>D439/D438-1</f>
        <v/>
      </c>
      <c r="E1194" s="5">
        <f>E439/E438-1</f>
        <v/>
      </c>
      <c r="F1194" s="5">
        <f>F439/F438-1</f>
        <v/>
      </c>
      <c r="G1194" s="5">
        <f>G439/G438-1</f>
        <v/>
      </c>
    </row>
    <row r="1195">
      <c r="A1195" s="2">
        <f>A440</f>
        <v/>
      </c>
      <c r="B1195" s="5">
        <f>B440/B439-1</f>
        <v/>
      </c>
      <c r="C1195" s="5">
        <f>C440/C439-1</f>
        <v/>
      </c>
      <c r="D1195" s="5">
        <f>D440/D439-1</f>
        <v/>
      </c>
      <c r="E1195" s="5">
        <f>E440/E439-1</f>
        <v/>
      </c>
      <c r="F1195" s="5">
        <f>F440/F439-1</f>
        <v/>
      </c>
      <c r="G1195" s="5">
        <f>G440/G439-1</f>
        <v/>
      </c>
    </row>
    <row r="1196">
      <c r="A1196" s="2">
        <f>A441</f>
        <v/>
      </c>
      <c r="B1196" s="5">
        <f>B441/B440-1</f>
        <v/>
      </c>
      <c r="C1196" s="5">
        <f>C441/C440-1</f>
        <v/>
      </c>
      <c r="D1196" s="5">
        <f>D441/D440-1</f>
        <v/>
      </c>
      <c r="E1196" s="5">
        <f>E441/E440-1</f>
        <v/>
      </c>
      <c r="F1196" s="5">
        <f>F441/F440-1</f>
        <v/>
      </c>
      <c r="G1196" s="5">
        <f>G441/G440-1</f>
        <v/>
      </c>
    </row>
    <row r="1197">
      <c r="A1197" s="2">
        <f>A442</f>
        <v/>
      </c>
      <c r="B1197" s="5">
        <f>B442/B441-1</f>
        <v/>
      </c>
      <c r="C1197" s="5">
        <f>C442/C441-1</f>
        <v/>
      </c>
      <c r="D1197" s="5">
        <f>D442/D441-1</f>
        <v/>
      </c>
      <c r="E1197" s="5">
        <f>E442/E441-1</f>
        <v/>
      </c>
      <c r="F1197" s="5">
        <f>F442/F441-1</f>
        <v/>
      </c>
      <c r="G1197" s="5">
        <f>G442/G441-1</f>
        <v/>
      </c>
    </row>
    <row r="1198">
      <c r="A1198" s="2">
        <f>A443</f>
        <v/>
      </c>
      <c r="B1198" s="5">
        <f>B443/B442-1</f>
        <v/>
      </c>
      <c r="C1198" s="5">
        <f>C443/C442-1</f>
        <v/>
      </c>
      <c r="D1198" s="5">
        <f>D443/D442-1</f>
        <v/>
      </c>
      <c r="E1198" s="5">
        <f>E443/E442-1</f>
        <v/>
      </c>
      <c r="F1198" s="5">
        <f>F443/F442-1</f>
        <v/>
      </c>
      <c r="G1198" s="5">
        <f>G443/G442-1</f>
        <v/>
      </c>
    </row>
    <row r="1199">
      <c r="A1199" s="2">
        <f>A444</f>
        <v/>
      </c>
      <c r="B1199" s="5">
        <f>B444/B443-1</f>
        <v/>
      </c>
      <c r="C1199" s="5">
        <f>C444/C443-1</f>
        <v/>
      </c>
      <c r="D1199" s="5">
        <f>D444/D443-1</f>
        <v/>
      </c>
      <c r="E1199" s="5">
        <f>E444/E443-1</f>
        <v/>
      </c>
      <c r="F1199" s="5">
        <f>F444/F443-1</f>
        <v/>
      </c>
      <c r="G1199" s="5">
        <f>G444/G443-1</f>
        <v/>
      </c>
    </row>
    <row r="1200">
      <c r="A1200" s="2">
        <f>A445</f>
        <v/>
      </c>
      <c r="B1200" s="5">
        <f>B445/B444-1</f>
        <v/>
      </c>
      <c r="C1200" s="5">
        <f>C445/C444-1</f>
        <v/>
      </c>
      <c r="D1200" s="5">
        <f>D445/D444-1</f>
        <v/>
      </c>
      <c r="E1200" s="5">
        <f>E445/E444-1</f>
        <v/>
      </c>
      <c r="F1200" s="5">
        <f>F445/F444-1</f>
        <v/>
      </c>
      <c r="G1200" s="5">
        <f>G445/G444-1</f>
        <v/>
      </c>
    </row>
    <row r="1201">
      <c r="A1201" s="2">
        <f>A446</f>
        <v/>
      </c>
      <c r="B1201" s="5">
        <f>B446/B445-1</f>
        <v/>
      </c>
      <c r="C1201" s="5">
        <f>C446/C445-1</f>
        <v/>
      </c>
      <c r="D1201" s="5">
        <f>D446/D445-1</f>
        <v/>
      </c>
      <c r="E1201" s="5">
        <f>E446/E445-1</f>
        <v/>
      </c>
      <c r="F1201" s="5">
        <f>F446/F445-1</f>
        <v/>
      </c>
      <c r="G1201" s="5">
        <f>G446/G445-1</f>
        <v/>
      </c>
    </row>
    <row r="1202">
      <c r="A1202" s="2">
        <f>A447</f>
        <v/>
      </c>
      <c r="B1202" s="5">
        <f>B447/B446-1</f>
        <v/>
      </c>
      <c r="C1202" s="5">
        <f>C447/C446-1</f>
        <v/>
      </c>
      <c r="D1202" s="5">
        <f>D447/D446-1</f>
        <v/>
      </c>
      <c r="E1202" s="5">
        <f>E447/E446-1</f>
        <v/>
      </c>
      <c r="F1202" s="5">
        <f>F447/F446-1</f>
        <v/>
      </c>
      <c r="G1202" s="5">
        <f>G447/G446-1</f>
        <v/>
      </c>
    </row>
    <row r="1203">
      <c r="A1203" s="2">
        <f>A448</f>
        <v/>
      </c>
      <c r="B1203" s="5">
        <f>B448/B447-1</f>
        <v/>
      </c>
      <c r="C1203" s="5">
        <f>C448/C447-1</f>
        <v/>
      </c>
      <c r="D1203" s="5">
        <f>D448/D447-1</f>
        <v/>
      </c>
      <c r="E1203" s="5">
        <f>E448/E447-1</f>
        <v/>
      </c>
      <c r="F1203" s="5">
        <f>F448/F447-1</f>
        <v/>
      </c>
      <c r="G1203" s="5">
        <f>G448/G447-1</f>
        <v/>
      </c>
    </row>
    <row r="1204">
      <c r="A1204" s="2">
        <f>A449</f>
        <v/>
      </c>
      <c r="B1204" s="5">
        <f>B449/B448-1</f>
        <v/>
      </c>
      <c r="C1204" s="5">
        <f>C449/C448-1</f>
        <v/>
      </c>
      <c r="D1204" s="5">
        <f>D449/D448-1</f>
        <v/>
      </c>
      <c r="E1204" s="5">
        <f>E449/E448-1</f>
        <v/>
      </c>
      <c r="F1204" s="5">
        <f>F449/F448-1</f>
        <v/>
      </c>
      <c r="G1204" s="5">
        <f>G449/G448-1</f>
        <v/>
      </c>
    </row>
    <row r="1205">
      <c r="A1205" s="2">
        <f>A450</f>
        <v/>
      </c>
      <c r="B1205" s="5">
        <f>B450/B449-1</f>
        <v/>
      </c>
      <c r="C1205" s="5">
        <f>C450/C449-1</f>
        <v/>
      </c>
      <c r="D1205" s="5">
        <f>D450/D449-1</f>
        <v/>
      </c>
      <c r="E1205" s="5">
        <f>E450/E449-1</f>
        <v/>
      </c>
      <c r="F1205" s="5">
        <f>F450/F449-1</f>
        <v/>
      </c>
      <c r="G1205" s="5">
        <f>G450/G449-1</f>
        <v/>
      </c>
    </row>
    <row r="1206">
      <c r="A1206" s="2">
        <f>A451</f>
        <v/>
      </c>
      <c r="B1206" s="5">
        <f>B451/B450-1</f>
        <v/>
      </c>
      <c r="C1206" s="5">
        <f>C451/C450-1</f>
        <v/>
      </c>
      <c r="D1206" s="5">
        <f>D451/D450-1</f>
        <v/>
      </c>
      <c r="E1206" s="5">
        <f>E451/E450-1</f>
        <v/>
      </c>
      <c r="F1206" s="5">
        <f>F451/F450-1</f>
        <v/>
      </c>
      <c r="G1206" s="5">
        <f>G451/G450-1</f>
        <v/>
      </c>
    </row>
    <row r="1207">
      <c r="A1207" s="2">
        <f>A452</f>
        <v/>
      </c>
      <c r="B1207" s="5">
        <f>B452/B451-1</f>
        <v/>
      </c>
      <c r="C1207" s="5">
        <f>C452/C451-1</f>
        <v/>
      </c>
      <c r="D1207" s="5">
        <f>D452/D451-1</f>
        <v/>
      </c>
      <c r="E1207" s="5">
        <f>E452/E451-1</f>
        <v/>
      </c>
      <c r="F1207" s="5">
        <f>F452/F451-1</f>
        <v/>
      </c>
      <c r="G1207" s="5">
        <f>G452/G451-1</f>
        <v/>
      </c>
    </row>
    <row r="1208">
      <c r="A1208" s="2">
        <f>A453</f>
        <v/>
      </c>
      <c r="B1208" s="5">
        <f>B453/B452-1</f>
        <v/>
      </c>
      <c r="C1208" s="5">
        <f>C453/C452-1</f>
        <v/>
      </c>
      <c r="D1208" s="5">
        <f>D453/D452-1</f>
        <v/>
      </c>
      <c r="E1208" s="5">
        <f>E453/E452-1</f>
        <v/>
      </c>
      <c r="F1208" s="5">
        <f>F453/F452-1</f>
        <v/>
      </c>
      <c r="G1208" s="5">
        <f>G453/G452-1</f>
        <v/>
      </c>
    </row>
    <row r="1209">
      <c r="A1209" s="2">
        <f>A454</f>
        <v/>
      </c>
      <c r="B1209" s="5">
        <f>B454/B453-1</f>
        <v/>
      </c>
      <c r="C1209" s="5">
        <f>C454/C453-1</f>
        <v/>
      </c>
      <c r="D1209" s="5">
        <f>D454/D453-1</f>
        <v/>
      </c>
      <c r="E1209" s="5">
        <f>E454/E453-1</f>
        <v/>
      </c>
      <c r="F1209" s="5">
        <f>F454/F453-1</f>
        <v/>
      </c>
      <c r="G1209" s="5">
        <f>G454/G453-1</f>
        <v/>
      </c>
    </row>
    <row r="1210">
      <c r="A1210" s="2">
        <f>A455</f>
        <v/>
      </c>
      <c r="B1210" s="5">
        <f>B455/B454-1</f>
        <v/>
      </c>
      <c r="C1210" s="5">
        <f>C455/C454-1</f>
        <v/>
      </c>
      <c r="D1210" s="5">
        <f>D455/D454-1</f>
        <v/>
      </c>
      <c r="E1210" s="5">
        <f>E455/E454-1</f>
        <v/>
      </c>
      <c r="F1210" s="5">
        <f>F455/F454-1</f>
        <v/>
      </c>
      <c r="G1210" s="5">
        <f>G455/G454-1</f>
        <v/>
      </c>
    </row>
    <row r="1211">
      <c r="A1211" s="2">
        <f>A456</f>
        <v/>
      </c>
      <c r="B1211" s="5">
        <f>B456/B455-1</f>
        <v/>
      </c>
      <c r="C1211" s="5">
        <f>C456/C455-1</f>
        <v/>
      </c>
      <c r="D1211" s="5">
        <f>D456/D455-1</f>
        <v/>
      </c>
      <c r="E1211" s="5">
        <f>E456/E455-1</f>
        <v/>
      </c>
      <c r="F1211" s="5">
        <f>F456/F455-1</f>
        <v/>
      </c>
      <c r="G1211" s="5">
        <f>G456/G455-1</f>
        <v/>
      </c>
    </row>
    <row r="1212">
      <c r="A1212" s="2">
        <f>A457</f>
        <v/>
      </c>
      <c r="B1212" s="5">
        <f>B457/B456-1</f>
        <v/>
      </c>
      <c r="C1212" s="5">
        <f>C457/C456-1</f>
        <v/>
      </c>
      <c r="D1212" s="5">
        <f>D457/D456-1</f>
        <v/>
      </c>
      <c r="E1212" s="5">
        <f>E457/E456-1</f>
        <v/>
      </c>
      <c r="F1212" s="5">
        <f>F457/F456-1</f>
        <v/>
      </c>
      <c r="G1212" s="5">
        <f>G457/G456-1</f>
        <v/>
      </c>
    </row>
    <row r="1213">
      <c r="A1213" s="2">
        <f>A458</f>
        <v/>
      </c>
      <c r="B1213" s="5">
        <f>B458/B457-1</f>
        <v/>
      </c>
      <c r="C1213" s="5">
        <f>C458/C457-1</f>
        <v/>
      </c>
      <c r="D1213" s="5">
        <f>D458/D457-1</f>
        <v/>
      </c>
      <c r="E1213" s="5">
        <f>E458/E457-1</f>
        <v/>
      </c>
      <c r="F1213" s="5">
        <f>F458/F457-1</f>
        <v/>
      </c>
      <c r="G1213" s="5">
        <f>G458/G457-1</f>
        <v/>
      </c>
    </row>
    <row r="1214">
      <c r="A1214" s="2">
        <f>A459</f>
        <v/>
      </c>
      <c r="B1214" s="5">
        <f>B459/B458-1</f>
        <v/>
      </c>
      <c r="C1214" s="5">
        <f>C459/C458-1</f>
        <v/>
      </c>
      <c r="D1214" s="5">
        <f>D459/D458-1</f>
        <v/>
      </c>
      <c r="E1214" s="5">
        <f>E459/E458-1</f>
        <v/>
      </c>
      <c r="F1214" s="5">
        <f>F459/F458-1</f>
        <v/>
      </c>
      <c r="G1214" s="5">
        <f>G459/G458-1</f>
        <v/>
      </c>
    </row>
    <row r="1215">
      <c r="A1215" s="2">
        <f>A460</f>
        <v/>
      </c>
      <c r="B1215" s="5">
        <f>B460/B459-1</f>
        <v/>
      </c>
      <c r="C1215" s="5">
        <f>C460/C459-1</f>
        <v/>
      </c>
      <c r="D1215" s="5">
        <f>D460/D459-1</f>
        <v/>
      </c>
      <c r="E1215" s="5">
        <f>E460/E459-1</f>
        <v/>
      </c>
      <c r="F1215" s="5">
        <f>F460/F459-1</f>
        <v/>
      </c>
      <c r="G1215" s="5">
        <f>G460/G459-1</f>
        <v/>
      </c>
    </row>
    <row r="1216">
      <c r="A1216" s="2">
        <f>A461</f>
        <v/>
      </c>
      <c r="B1216" s="5">
        <f>B461/B460-1</f>
        <v/>
      </c>
      <c r="C1216" s="5">
        <f>C461/C460-1</f>
        <v/>
      </c>
      <c r="D1216" s="5">
        <f>D461/D460-1</f>
        <v/>
      </c>
      <c r="E1216" s="5">
        <f>E461/E460-1</f>
        <v/>
      </c>
      <c r="F1216" s="5">
        <f>F461/F460-1</f>
        <v/>
      </c>
      <c r="G1216" s="5">
        <f>G461/G460-1</f>
        <v/>
      </c>
    </row>
    <row r="1217">
      <c r="A1217" s="2">
        <f>A462</f>
        <v/>
      </c>
      <c r="B1217" s="5">
        <f>B462/B461-1</f>
        <v/>
      </c>
      <c r="C1217" s="5">
        <f>C462/C461-1</f>
        <v/>
      </c>
      <c r="D1217" s="5">
        <f>D462/D461-1</f>
        <v/>
      </c>
      <c r="E1217" s="5">
        <f>E462/E461-1</f>
        <v/>
      </c>
      <c r="F1217" s="5">
        <f>F462/F461-1</f>
        <v/>
      </c>
      <c r="G1217" s="5">
        <f>G462/G461-1</f>
        <v/>
      </c>
    </row>
    <row r="1218">
      <c r="A1218" s="2">
        <f>A463</f>
        <v/>
      </c>
      <c r="B1218" s="5">
        <f>B463/B462-1</f>
        <v/>
      </c>
      <c r="C1218" s="5">
        <f>C463/C462-1</f>
        <v/>
      </c>
      <c r="D1218" s="5">
        <f>D463/D462-1</f>
        <v/>
      </c>
      <c r="E1218" s="5">
        <f>E463/E462-1</f>
        <v/>
      </c>
      <c r="F1218" s="5">
        <f>F463/F462-1</f>
        <v/>
      </c>
      <c r="G1218" s="5">
        <f>G463/G462-1</f>
        <v/>
      </c>
    </row>
    <row r="1219">
      <c r="A1219" s="2">
        <f>A464</f>
        <v/>
      </c>
      <c r="B1219" s="5">
        <f>B464/B463-1</f>
        <v/>
      </c>
      <c r="C1219" s="5">
        <f>C464/C463-1</f>
        <v/>
      </c>
      <c r="D1219" s="5">
        <f>D464/D463-1</f>
        <v/>
      </c>
      <c r="E1219" s="5">
        <f>E464/E463-1</f>
        <v/>
      </c>
      <c r="F1219" s="5">
        <f>F464/F463-1</f>
        <v/>
      </c>
      <c r="G1219" s="5">
        <f>G464/G463-1</f>
        <v/>
      </c>
    </row>
    <row r="1220">
      <c r="A1220" s="2">
        <f>A465</f>
        <v/>
      </c>
      <c r="B1220" s="5">
        <f>B465/B464-1</f>
        <v/>
      </c>
      <c r="C1220" s="5">
        <f>C465/C464-1</f>
        <v/>
      </c>
      <c r="D1220" s="5">
        <f>D465/D464-1</f>
        <v/>
      </c>
      <c r="E1220" s="5">
        <f>E465/E464-1</f>
        <v/>
      </c>
      <c r="F1220" s="5">
        <f>F465/F464-1</f>
        <v/>
      </c>
      <c r="G1220" s="5">
        <f>G465/G464-1</f>
        <v/>
      </c>
    </row>
    <row r="1221">
      <c r="A1221" s="2">
        <f>A466</f>
        <v/>
      </c>
      <c r="B1221" s="5">
        <f>B466/B465-1</f>
        <v/>
      </c>
      <c r="C1221" s="5">
        <f>C466/C465-1</f>
        <v/>
      </c>
      <c r="D1221" s="5">
        <f>D466/D465-1</f>
        <v/>
      </c>
      <c r="E1221" s="5">
        <f>E466/E465-1</f>
        <v/>
      </c>
      <c r="F1221" s="5">
        <f>F466/F465-1</f>
        <v/>
      </c>
      <c r="G1221" s="5">
        <f>G466/G465-1</f>
        <v/>
      </c>
    </row>
    <row r="1222">
      <c r="A1222" s="2">
        <f>A467</f>
        <v/>
      </c>
      <c r="B1222" s="5">
        <f>B467/B466-1</f>
        <v/>
      </c>
      <c r="C1222" s="5">
        <f>C467/C466-1</f>
        <v/>
      </c>
      <c r="D1222" s="5">
        <f>D467/D466-1</f>
        <v/>
      </c>
      <c r="E1222" s="5">
        <f>E467/E466-1</f>
        <v/>
      </c>
      <c r="F1222" s="5">
        <f>F467/F466-1</f>
        <v/>
      </c>
      <c r="G1222" s="5">
        <f>G467/G466-1</f>
        <v/>
      </c>
    </row>
    <row r="1223">
      <c r="A1223" s="2">
        <f>A468</f>
        <v/>
      </c>
      <c r="B1223" s="5">
        <f>B468/B467-1</f>
        <v/>
      </c>
      <c r="C1223" s="5">
        <f>C468/C467-1</f>
        <v/>
      </c>
      <c r="D1223" s="5">
        <f>D468/D467-1</f>
        <v/>
      </c>
      <c r="E1223" s="5">
        <f>E468/E467-1</f>
        <v/>
      </c>
      <c r="F1223" s="5">
        <f>F468/F467-1</f>
        <v/>
      </c>
      <c r="G1223" s="5">
        <f>G468/G467-1</f>
        <v/>
      </c>
    </row>
    <row r="1224">
      <c r="A1224" s="2">
        <f>A469</f>
        <v/>
      </c>
      <c r="B1224" s="5">
        <f>B469/B468-1</f>
        <v/>
      </c>
      <c r="C1224" s="5">
        <f>C469/C468-1</f>
        <v/>
      </c>
      <c r="D1224" s="5">
        <f>D469/D468-1</f>
        <v/>
      </c>
      <c r="E1224" s="5">
        <f>E469/E468-1</f>
        <v/>
      </c>
      <c r="F1224" s="5">
        <f>F469/F468-1</f>
        <v/>
      </c>
      <c r="G1224" s="5">
        <f>G469/G468-1</f>
        <v/>
      </c>
    </row>
    <row r="1225">
      <c r="A1225" s="2">
        <f>A470</f>
        <v/>
      </c>
      <c r="B1225" s="5">
        <f>B470/B469-1</f>
        <v/>
      </c>
      <c r="C1225" s="5">
        <f>C470/C469-1</f>
        <v/>
      </c>
      <c r="D1225" s="5">
        <f>D470/D469-1</f>
        <v/>
      </c>
      <c r="E1225" s="5">
        <f>E470/E469-1</f>
        <v/>
      </c>
      <c r="F1225" s="5">
        <f>F470/F469-1</f>
        <v/>
      </c>
      <c r="G1225" s="5">
        <f>G470/G469-1</f>
        <v/>
      </c>
    </row>
    <row r="1226">
      <c r="A1226" s="2">
        <f>A471</f>
        <v/>
      </c>
      <c r="B1226" s="5">
        <f>B471/B470-1</f>
        <v/>
      </c>
      <c r="C1226" s="5">
        <f>C471/C470-1</f>
        <v/>
      </c>
      <c r="D1226" s="5">
        <f>D471/D470-1</f>
        <v/>
      </c>
      <c r="E1226" s="5">
        <f>E471/E470-1</f>
        <v/>
      </c>
      <c r="F1226" s="5">
        <f>F471/F470-1</f>
        <v/>
      </c>
      <c r="G1226" s="5">
        <f>G471/G470-1</f>
        <v/>
      </c>
    </row>
    <row r="1227">
      <c r="A1227" s="2">
        <f>A472</f>
        <v/>
      </c>
      <c r="B1227" s="5">
        <f>B472/B471-1</f>
        <v/>
      </c>
      <c r="C1227" s="5">
        <f>C472/C471-1</f>
        <v/>
      </c>
      <c r="D1227" s="5">
        <f>D472/D471-1</f>
        <v/>
      </c>
      <c r="E1227" s="5">
        <f>E472/E471-1</f>
        <v/>
      </c>
      <c r="F1227" s="5">
        <f>F472/F471-1</f>
        <v/>
      </c>
      <c r="G1227" s="5">
        <f>G472/G471-1</f>
        <v/>
      </c>
    </row>
    <row r="1228">
      <c r="A1228" s="2">
        <f>A473</f>
        <v/>
      </c>
      <c r="B1228" s="5">
        <f>B473/B472-1</f>
        <v/>
      </c>
      <c r="C1228" s="5">
        <f>C473/C472-1</f>
        <v/>
      </c>
      <c r="D1228" s="5">
        <f>D473/D472-1</f>
        <v/>
      </c>
      <c r="E1228" s="5">
        <f>E473/E472-1</f>
        <v/>
      </c>
      <c r="F1228" s="5">
        <f>F473/F472-1</f>
        <v/>
      </c>
      <c r="G1228" s="5">
        <f>G473/G472-1</f>
        <v/>
      </c>
    </row>
    <row r="1229">
      <c r="A1229" s="2">
        <f>A474</f>
        <v/>
      </c>
      <c r="B1229" s="5">
        <f>B474/B473-1</f>
        <v/>
      </c>
      <c r="C1229" s="5">
        <f>C474/C473-1</f>
        <v/>
      </c>
      <c r="D1229" s="5">
        <f>D474/D473-1</f>
        <v/>
      </c>
      <c r="E1229" s="5">
        <f>E474/E473-1</f>
        <v/>
      </c>
      <c r="F1229" s="5">
        <f>F474/F473-1</f>
        <v/>
      </c>
      <c r="G1229" s="5">
        <f>G474/G473-1</f>
        <v/>
      </c>
    </row>
    <row r="1230">
      <c r="A1230" s="2">
        <f>A475</f>
        <v/>
      </c>
      <c r="B1230" s="5">
        <f>B475/B474-1</f>
        <v/>
      </c>
      <c r="C1230" s="5">
        <f>C475/C474-1</f>
        <v/>
      </c>
      <c r="D1230" s="5">
        <f>D475/D474-1</f>
        <v/>
      </c>
      <c r="E1230" s="5">
        <f>E475/E474-1</f>
        <v/>
      </c>
      <c r="F1230" s="5">
        <f>F475/F474-1</f>
        <v/>
      </c>
      <c r="G1230" s="5">
        <f>G475/G474-1</f>
        <v/>
      </c>
    </row>
    <row r="1231">
      <c r="A1231" s="2">
        <f>A476</f>
        <v/>
      </c>
      <c r="B1231" s="5">
        <f>B476/B475-1</f>
        <v/>
      </c>
      <c r="C1231" s="5">
        <f>C476/C475-1</f>
        <v/>
      </c>
      <c r="D1231" s="5">
        <f>D476/D475-1</f>
        <v/>
      </c>
      <c r="E1231" s="5">
        <f>E476/E475-1</f>
        <v/>
      </c>
      <c r="F1231" s="5">
        <f>F476/F475-1</f>
        <v/>
      </c>
      <c r="G1231" s="5">
        <f>G476/G475-1</f>
        <v/>
      </c>
    </row>
    <row r="1232">
      <c r="A1232" s="2">
        <f>A477</f>
        <v/>
      </c>
      <c r="B1232" s="5">
        <f>B477/B476-1</f>
        <v/>
      </c>
      <c r="C1232" s="5">
        <f>C477/C476-1</f>
        <v/>
      </c>
      <c r="D1232" s="5">
        <f>D477/D476-1</f>
        <v/>
      </c>
      <c r="E1232" s="5">
        <f>E477/E476-1</f>
        <v/>
      </c>
      <c r="F1232" s="5">
        <f>F477/F476-1</f>
        <v/>
      </c>
      <c r="G1232" s="5">
        <f>G477/G476-1</f>
        <v/>
      </c>
    </row>
    <row r="1233">
      <c r="A1233" s="2">
        <f>A478</f>
        <v/>
      </c>
      <c r="B1233" s="5">
        <f>B478/B477-1</f>
        <v/>
      </c>
      <c r="C1233" s="5">
        <f>C478/C477-1</f>
        <v/>
      </c>
      <c r="D1233" s="5">
        <f>D478/D477-1</f>
        <v/>
      </c>
      <c r="E1233" s="5">
        <f>E478/E477-1</f>
        <v/>
      </c>
      <c r="F1233" s="5">
        <f>F478/F477-1</f>
        <v/>
      </c>
      <c r="G1233" s="5">
        <f>G478/G477-1</f>
        <v/>
      </c>
    </row>
    <row r="1234">
      <c r="A1234" s="2">
        <f>A479</f>
        <v/>
      </c>
      <c r="B1234" s="5">
        <f>B479/B478-1</f>
        <v/>
      </c>
      <c r="C1234" s="5">
        <f>C479/C478-1</f>
        <v/>
      </c>
      <c r="D1234" s="5">
        <f>D479/D478-1</f>
        <v/>
      </c>
      <c r="E1234" s="5">
        <f>E479/E478-1</f>
        <v/>
      </c>
      <c r="F1234" s="5">
        <f>F479/F478-1</f>
        <v/>
      </c>
      <c r="G1234" s="5">
        <f>G479/G478-1</f>
        <v/>
      </c>
    </row>
    <row r="1235">
      <c r="A1235" s="2">
        <f>A480</f>
        <v/>
      </c>
      <c r="B1235" s="5">
        <f>B480/B479-1</f>
        <v/>
      </c>
      <c r="C1235" s="5">
        <f>C480/C479-1</f>
        <v/>
      </c>
      <c r="D1235" s="5">
        <f>D480/D479-1</f>
        <v/>
      </c>
      <c r="E1235" s="5">
        <f>E480/E479-1</f>
        <v/>
      </c>
      <c r="F1235" s="5">
        <f>F480/F479-1</f>
        <v/>
      </c>
      <c r="G1235" s="5">
        <f>G480/G479-1</f>
        <v/>
      </c>
    </row>
    <row r="1236">
      <c r="A1236" s="2">
        <f>A481</f>
        <v/>
      </c>
      <c r="B1236" s="5">
        <f>B481/B480-1</f>
        <v/>
      </c>
      <c r="C1236" s="5">
        <f>C481/C480-1</f>
        <v/>
      </c>
      <c r="D1236" s="5">
        <f>D481/D480-1</f>
        <v/>
      </c>
      <c r="E1236" s="5">
        <f>E481/E480-1</f>
        <v/>
      </c>
      <c r="F1236" s="5">
        <f>F481/F480-1</f>
        <v/>
      </c>
      <c r="G1236" s="5">
        <f>G481/G480-1</f>
        <v/>
      </c>
    </row>
    <row r="1237">
      <c r="A1237" s="2">
        <f>A482</f>
        <v/>
      </c>
      <c r="B1237" s="5">
        <f>B482/B481-1</f>
        <v/>
      </c>
      <c r="C1237" s="5">
        <f>C482/C481-1</f>
        <v/>
      </c>
      <c r="D1237" s="5">
        <f>D482/D481-1</f>
        <v/>
      </c>
      <c r="E1237" s="5">
        <f>E482/E481-1</f>
        <v/>
      </c>
      <c r="F1237" s="5">
        <f>F482/F481-1</f>
        <v/>
      </c>
      <c r="G1237" s="5">
        <f>G482/G481-1</f>
        <v/>
      </c>
    </row>
    <row r="1238">
      <c r="A1238" s="2">
        <f>A483</f>
        <v/>
      </c>
      <c r="B1238" s="5">
        <f>B483/B482-1</f>
        <v/>
      </c>
      <c r="C1238" s="5">
        <f>C483/C482-1</f>
        <v/>
      </c>
      <c r="D1238" s="5">
        <f>D483/D482-1</f>
        <v/>
      </c>
      <c r="E1238" s="5">
        <f>E483/E482-1</f>
        <v/>
      </c>
      <c r="F1238" s="5">
        <f>F483/F482-1</f>
        <v/>
      </c>
      <c r="G1238" s="5">
        <f>G483/G482-1</f>
        <v/>
      </c>
    </row>
    <row r="1239">
      <c r="A1239" s="2">
        <f>A484</f>
        <v/>
      </c>
      <c r="B1239" s="5">
        <f>B484/B483-1</f>
        <v/>
      </c>
      <c r="C1239" s="5">
        <f>C484/C483-1</f>
        <v/>
      </c>
      <c r="D1239" s="5">
        <f>D484/D483-1</f>
        <v/>
      </c>
      <c r="E1239" s="5">
        <f>E484/E483-1</f>
        <v/>
      </c>
      <c r="F1239" s="5">
        <f>F484/F483-1</f>
        <v/>
      </c>
      <c r="G1239" s="5">
        <f>G484/G483-1</f>
        <v/>
      </c>
    </row>
    <row r="1240">
      <c r="A1240" s="2">
        <f>A485</f>
        <v/>
      </c>
      <c r="B1240" s="5">
        <f>B485/B484-1</f>
        <v/>
      </c>
      <c r="C1240" s="5">
        <f>C485/C484-1</f>
        <v/>
      </c>
      <c r="D1240" s="5">
        <f>D485/D484-1</f>
        <v/>
      </c>
      <c r="E1240" s="5">
        <f>E485/E484-1</f>
        <v/>
      </c>
      <c r="F1240" s="5">
        <f>F485/F484-1</f>
        <v/>
      </c>
      <c r="G1240" s="5">
        <f>G485/G484-1</f>
        <v/>
      </c>
    </row>
    <row r="1241">
      <c r="A1241" s="2">
        <f>A486</f>
        <v/>
      </c>
      <c r="B1241" s="5">
        <f>B486/B485-1</f>
        <v/>
      </c>
      <c r="C1241" s="5">
        <f>C486/C485-1</f>
        <v/>
      </c>
      <c r="D1241" s="5">
        <f>D486/D485-1</f>
        <v/>
      </c>
      <c r="E1241" s="5">
        <f>E486/E485-1</f>
        <v/>
      </c>
      <c r="F1241" s="5">
        <f>F486/F485-1</f>
        <v/>
      </c>
      <c r="G1241" s="5">
        <f>G486/G485-1</f>
        <v/>
      </c>
    </row>
    <row r="1242">
      <c r="A1242" s="2">
        <f>A487</f>
        <v/>
      </c>
      <c r="B1242" s="5">
        <f>B487/B486-1</f>
        <v/>
      </c>
      <c r="C1242" s="5">
        <f>C487/C486-1</f>
        <v/>
      </c>
      <c r="D1242" s="5">
        <f>D487/D486-1</f>
        <v/>
      </c>
      <c r="E1242" s="5">
        <f>E487/E486-1</f>
        <v/>
      </c>
      <c r="F1242" s="5">
        <f>F487/F486-1</f>
        <v/>
      </c>
      <c r="G1242" s="5">
        <f>G487/G486-1</f>
        <v/>
      </c>
    </row>
    <row r="1243">
      <c r="A1243" s="2">
        <f>A488</f>
        <v/>
      </c>
      <c r="B1243" s="5">
        <f>B488/B487-1</f>
        <v/>
      </c>
      <c r="C1243" s="5">
        <f>C488/C487-1</f>
        <v/>
      </c>
      <c r="D1243" s="5">
        <f>D488/D487-1</f>
        <v/>
      </c>
      <c r="E1243" s="5">
        <f>E488/E487-1</f>
        <v/>
      </c>
      <c r="F1243" s="5">
        <f>F488/F487-1</f>
        <v/>
      </c>
      <c r="G1243" s="5">
        <f>G488/G487-1</f>
        <v/>
      </c>
    </row>
    <row r="1244">
      <c r="A1244" s="2">
        <f>A489</f>
        <v/>
      </c>
      <c r="B1244" s="5">
        <f>B489/B488-1</f>
        <v/>
      </c>
      <c r="C1244" s="5">
        <f>C489/C488-1</f>
        <v/>
      </c>
      <c r="D1244" s="5">
        <f>D489/D488-1</f>
        <v/>
      </c>
      <c r="E1244" s="5">
        <f>E489/E488-1</f>
        <v/>
      </c>
      <c r="F1244" s="5">
        <f>F489/F488-1</f>
        <v/>
      </c>
      <c r="G1244" s="5">
        <f>G489/G488-1</f>
        <v/>
      </c>
    </row>
    <row r="1245">
      <c r="A1245" s="2">
        <f>A490</f>
        <v/>
      </c>
      <c r="B1245" s="5">
        <f>B490/B489-1</f>
        <v/>
      </c>
      <c r="C1245" s="5">
        <f>C490/C489-1</f>
        <v/>
      </c>
      <c r="D1245" s="5">
        <f>D490/D489-1</f>
        <v/>
      </c>
      <c r="E1245" s="5">
        <f>E490/E489-1</f>
        <v/>
      </c>
      <c r="F1245" s="5">
        <f>F490/F489-1</f>
        <v/>
      </c>
      <c r="G1245" s="5">
        <f>G490/G489-1</f>
        <v/>
      </c>
    </row>
    <row r="1246">
      <c r="A1246" s="2">
        <f>A491</f>
        <v/>
      </c>
      <c r="B1246" s="5">
        <f>B491/B490-1</f>
        <v/>
      </c>
      <c r="C1246" s="5">
        <f>C491/C490-1</f>
        <v/>
      </c>
      <c r="D1246" s="5">
        <f>D491/D490-1</f>
        <v/>
      </c>
      <c r="E1246" s="5">
        <f>E491/E490-1</f>
        <v/>
      </c>
      <c r="F1246" s="5">
        <f>F491/F490-1</f>
        <v/>
      </c>
      <c r="G1246" s="5">
        <f>G491/G490-1</f>
        <v/>
      </c>
    </row>
    <row r="1247">
      <c r="A1247" s="2">
        <f>A492</f>
        <v/>
      </c>
      <c r="B1247" s="5">
        <f>B492/B491-1</f>
        <v/>
      </c>
      <c r="C1247" s="5">
        <f>C492/C491-1</f>
        <v/>
      </c>
      <c r="D1247" s="5">
        <f>D492/D491-1</f>
        <v/>
      </c>
      <c r="E1247" s="5">
        <f>E492/E491-1</f>
        <v/>
      </c>
      <c r="F1247" s="5">
        <f>F492/F491-1</f>
        <v/>
      </c>
      <c r="G1247" s="5">
        <f>G492/G491-1</f>
        <v/>
      </c>
    </row>
    <row r="1248">
      <c r="A1248" s="2">
        <f>A493</f>
        <v/>
      </c>
      <c r="B1248" s="5">
        <f>B493/B492-1</f>
        <v/>
      </c>
      <c r="C1248" s="5">
        <f>C493/C492-1</f>
        <v/>
      </c>
      <c r="D1248" s="5">
        <f>D493/D492-1</f>
        <v/>
      </c>
      <c r="E1248" s="5">
        <f>E493/E492-1</f>
        <v/>
      </c>
      <c r="F1248" s="5">
        <f>F493/F492-1</f>
        <v/>
      </c>
      <c r="G1248" s="5">
        <f>G493/G492-1</f>
        <v/>
      </c>
    </row>
    <row r="1249">
      <c r="A1249" s="2">
        <f>A494</f>
        <v/>
      </c>
      <c r="B1249" s="5">
        <f>B494/B493-1</f>
        <v/>
      </c>
      <c r="C1249" s="5">
        <f>C494/C493-1</f>
        <v/>
      </c>
      <c r="D1249" s="5">
        <f>D494/D493-1</f>
        <v/>
      </c>
      <c r="E1249" s="5">
        <f>E494/E493-1</f>
        <v/>
      </c>
      <c r="F1249" s="5">
        <f>F494/F493-1</f>
        <v/>
      </c>
      <c r="G1249" s="5">
        <f>G494/G493-1</f>
        <v/>
      </c>
    </row>
    <row r="1250">
      <c r="A1250" s="2">
        <f>A495</f>
        <v/>
      </c>
      <c r="B1250" s="5">
        <f>B495/B494-1</f>
        <v/>
      </c>
      <c r="C1250" s="5">
        <f>C495/C494-1</f>
        <v/>
      </c>
      <c r="D1250" s="5">
        <f>D495/D494-1</f>
        <v/>
      </c>
      <c r="E1250" s="5">
        <f>E495/E494-1</f>
        <v/>
      </c>
      <c r="F1250" s="5">
        <f>F495/F494-1</f>
        <v/>
      </c>
      <c r="G1250" s="5">
        <f>G495/G494-1</f>
        <v/>
      </c>
    </row>
    <row r="1251">
      <c r="A1251" s="2">
        <f>A496</f>
        <v/>
      </c>
      <c r="B1251" s="5">
        <f>B496/B495-1</f>
        <v/>
      </c>
      <c r="C1251" s="5">
        <f>C496/C495-1</f>
        <v/>
      </c>
      <c r="D1251" s="5">
        <f>D496/D495-1</f>
        <v/>
      </c>
      <c r="E1251" s="5">
        <f>E496/E495-1</f>
        <v/>
      </c>
      <c r="F1251" s="5">
        <f>F496/F495-1</f>
        <v/>
      </c>
      <c r="G1251" s="5">
        <f>G496/G495-1</f>
        <v/>
      </c>
    </row>
    <row r="1252">
      <c r="A1252" s="2">
        <f>A497</f>
        <v/>
      </c>
      <c r="B1252" s="5">
        <f>B497/B496-1</f>
        <v/>
      </c>
      <c r="C1252" s="5">
        <f>C497/C496-1</f>
        <v/>
      </c>
      <c r="D1252" s="5">
        <f>D497/D496-1</f>
        <v/>
      </c>
      <c r="E1252" s="5">
        <f>E497/E496-1</f>
        <v/>
      </c>
      <c r="F1252" s="5">
        <f>F497/F496-1</f>
        <v/>
      </c>
      <c r="G1252" s="5">
        <f>G497/G496-1</f>
        <v/>
      </c>
    </row>
    <row r="1253">
      <c r="A1253" s="2">
        <f>A498</f>
        <v/>
      </c>
      <c r="B1253" s="5">
        <f>B498/B497-1</f>
        <v/>
      </c>
      <c r="C1253" s="5">
        <f>C498/C497-1</f>
        <v/>
      </c>
      <c r="D1253" s="5">
        <f>D498/D497-1</f>
        <v/>
      </c>
      <c r="E1253" s="5">
        <f>E498/E497-1</f>
        <v/>
      </c>
      <c r="F1253" s="5">
        <f>F498/F497-1</f>
        <v/>
      </c>
      <c r="G1253" s="5">
        <f>G498/G497-1</f>
        <v/>
      </c>
    </row>
    <row r="1254">
      <c r="A1254" s="2">
        <f>A499</f>
        <v/>
      </c>
      <c r="B1254" s="5">
        <f>B499/B498-1</f>
        <v/>
      </c>
      <c r="C1254" s="5">
        <f>C499/C498-1</f>
        <v/>
      </c>
      <c r="D1254" s="5">
        <f>D499/D498-1</f>
        <v/>
      </c>
      <c r="E1254" s="5">
        <f>E499/E498-1</f>
        <v/>
      </c>
      <c r="F1254" s="5">
        <f>F499/F498-1</f>
        <v/>
      </c>
      <c r="G1254" s="5">
        <f>G499/G498-1</f>
        <v/>
      </c>
    </row>
    <row r="1255">
      <c r="A1255" s="2">
        <f>A500</f>
        <v/>
      </c>
      <c r="B1255" s="5">
        <f>B500/B499-1</f>
        <v/>
      </c>
      <c r="C1255" s="5">
        <f>C500/C499-1</f>
        <v/>
      </c>
      <c r="D1255" s="5">
        <f>D500/D499-1</f>
        <v/>
      </c>
      <c r="E1255" s="5">
        <f>E500/E499-1</f>
        <v/>
      </c>
      <c r="F1255" s="5">
        <f>F500/F499-1</f>
        <v/>
      </c>
      <c r="G1255" s="5">
        <f>G500/G499-1</f>
        <v/>
      </c>
    </row>
    <row r="1256">
      <c r="A1256" s="2">
        <f>A501</f>
        <v/>
      </c>
      <c r="B1256" s="5">
        <f>B501/B500-1</f>
        <v/>
      </c>
      <c r="C1256" s="5">
        <f>C501/C500-1</f>
        <v/>
      </c>
      <c r="D1256" s="5">
        <f>D501/D500-1</f>
        <v/>
      </c>
      <c r="E1256" s="5">
        <f>E501/E500-1</f>
        <v/>
      </c>
      <c r="F1256" s="5">
        <f>F501/F500-1</f>
        <v/>
      </c>
      <c r="G1256" s="5">
        <f>G501/G500-1</f>
        <v/>
      </c>
    </row>
    <row r="1257">
      <c r="A1257" s="2">
        <f>A502</f>
        <v/>
      </c>
      <c r="B1257" s="5">
        <f>B502/B501-1</f>
        <v/>
      </c>
      <c r="C1257" s="5">
        <f>C502/C501-1</f>
        <v/>
      </c>
      <c r="D1257" s="5">
        <f>D502/D501-1</f>
        <v/>
      </c>
      <c r="E1257" s="5">
        <f>E502/E501-1</f>
        <v/>
      </c>
      <c r="F1257" s="5">
        <f>F502/F501-1</f>
        <v/>
      </c>
      <c r="G1257" s="5">
        <f>G502/G501-1</f>
        <v/>
      </c>
    </row>
    <row r="1258">
      <c r="A1258" s="2">
        <f>A503</f>
        <v/>
      </c>
      <c r="B1258" s="5">
        <f>B503/B502-1</f>
        <v/>
      </c>
      <c r="C1258" s="5">
        <f>C503/C502-1</f>
        <v/>
      </c>
      <c r="D1258" s="5">
        <f>D503/D502-1</f>
        <v/>
      </c>
      <c r="E1258" s="5">
        <f>E503/E502-1</f>
        <v/>
      </c>
      <c r="F1258" s="5">
        <f>F503/F502-1</f>
        <v/>
      </c>
      <c r="G1258" s="5">
        <f>G503/G502-1</f>
        <v/>
      </c>
    </row>
    <row r="1259">
      <c r="A1259" s="2">
        <f>A504</f>
        <v/>
      </c>
      <c r="B1259" s="5">
        <f>B504/B503-1</f>
        <v/>
      </c>
      <c r="C1259" s="5">
        <f>C504/C503-1</f>
        <v/>
      </c>
      <c r="D1259" s="5">
        <f>D504/D503-1</f>
        <v/>
      </c>
      <c r="E1259" s="5">
        <f>E504/E503-1</f>
        <v/>
      </c>
      <c r="F1259" s="5">
        <f>F504/F503-1</f>
        <v/>
      </c>
      <c r="G1259" s="5">
        <f>G504/G503-1</f>
        <v/>
      </c>
    </row>
    <row r="1260">
      <c r="A1260" s="2">
        <f>A505</f>
        <v/>
      </c>
      <c r="B1260" s="5">
        <f>B505/B504-1</f>
        <v/>
      </c>
      <c r="C1260" s="5">
        <f>C505/C504-1</f>
        <v/>
      </c>
      <c r="D1260" s="5">
        <f>D505/D504-1</f>
        <v/>
      </c>
      <c r="E1260" s="5">
        <f>E505/E504-1</f>
        <v/>
      </c>
      <c r="F1260" s="5">
        <f>F505/F504-1</f>
        <v/>
      </c>
      <c r="G1260" s="5">
        <f>G505/G504-1</f>
        <v/>
      </c>
    </row>
    <row r="1261">
      <c r="A1261" s="2">
        <f>A506</f>
        <v/>
      </c>
      <c r="B1261" s="5">
        <f>B506/B505-1</f>
        <v/>
      </c>
      <c r="C1261" s="5">
        <f>C506/C505-1</f>
        <v/>
      </c>
      <c r="D1261" s="5">
        <f>D506/D505-1</f>
        <v/>
      </c>
      <c r="E1261" s="5">
        <f>E506/E505-1</f>
        <v/>
      </c>
      <c r="F1261" s="5">
        <f>F506/F505-1</f>
        <v/>
      </c>
      <c r="G1261" s="5">
        <f>G506/G505-1</f>
        <v/>
      </c>
    </row>
    <row r="1262">
      <c r="A1262" s="2">
        <f>A507</f>
        <v/>
      </c>
      <c r="B1262" s="5">
        <f>B507/B506-1</f>
        <v/>
      </c>
      <c r="C1262" s="5">
        <f>C507/C506-1</f>
        <v/>
      </c>
      <c r="D1262" s="5">
        <f>D507/D506-1</f>
        <v/>
      </c>
      <c r="E1262" s="5">
        <f>E507/E506-1</f>
        <v/>
      </c>
      <c r="F1262" s="5">
        <f>F507/F506-1</f>
        <v/>
      </c>
      <c r="G1262" s="5">
        <f>G507/G506-1</f>
        <v/>
      </c>
    </row>
    <row r="1263">
      <c r="A1263" s="2">
        <f>A508</f>
        <v/>
      </c>
      <c r="B1263" s="5">
        <f>B508/B507-1</f>
        <v/>
      </c>
      <c r="C1263" s="5">
        <f>C508/C507-1</f>
        <v/>
      </c>
      <c r="D1263" s="5">
        <f>D508/D507-1</f>
        <v/>
      </c>
      <c r="E1263" s="5">
        <f>E508/E507-1</f>
        <v/>
      </c>
      <c r="F1263" s="5">
        <f>F508/F507-1</f>
        <v/>
      </c>
      <c r="G1263" s="5">
        <f>G508/G507-1</f>
        <v/>
      </c>
    </row>
    <row r="1264">
      <c r="A1264" s="2">
        <f>A509</f>
        <v/>
      </c>
      <c r="B1264" s="5">
        <f>B509/B508-1</f>
        <v/>
      </c>
      <c r="C1264" s="5">
        <f>C509/C508-1</f>
        <v/>
      </c>
      <c r="D1264" s="5">
        <f>D509/D508-1</f>
        <v/>
      </c>
      <c r="E1264" s="5">
        <f>E509/E508-1</f>
        <v/>
      </c>
      <c r="F1264" s="5">
        <f>F509/F508-1</f>
        <v/>
      </c>
      <c r="G1264" s="5">
        <f>G509/G508-1</f>
        <v/>
      </c>
    </row>
    <row r="1265">
      <c r="A1265" s="2">
        <f>A510</f>
        <v/>
      </c>
      <c r="B1265" s="5">
        <f>B510/B509-1</f>
        <v/>
      </c>
      <c r="C1265" s="5">
        <f>C510/C509-1</f>
        <v/>
      </c>
      <c r="D1265" s="5">
        <f>D510/D509-1</f>
        <v/>
      </c>
      <c r="E1265" s="5">
        <f>E510/E509-1</f>
        <v/>
      </c>
      <c r="F1265" s="5">
        <f>F510/F509-1</f>
        <v/>
      </c>
      <c r="G1265" s="5">
        <f>G510/G509-1</f>
        <v/>
      </c>
    </row>
    <row r="1266">
      <c r="A1266" s="2">
        <f>A511</f>
        <v/>
      </c>
      <c r="B1266" s="5">
        <f>B511/B510-1</f>
        <v/>
      </c>
      <c r="C1266" s="5">
        <f>C511/C510-1</f>
        <v/>
      </c>
      <c r="D1266" s="5">
        <f>D511/D510-1</f>
        <v/>
      </c>
      <c r="E1266" s="5">
        <f>E511/E510-1</f>
        <v/>
      </c>
      <c r="F1266" s="5">
        <f>F511/F510-1</f>
        <v/>
      </c>
      <c r="G1266" s="5">
        <f>G511/G510-1</f>
        <v/>
      </c>
    </row>
    <row r="1267">
      <c r="A1267" s="2">
        <f>A512</f>
        <v/>
      </c>
      <c r="B1267" s="5">
        <f>B512/B511-1</f>
        <v/>
      </c>
      <c r="C1267" s="5">
        <f>C512/C511-1</f>
        <v/>
      </c>
      <c r="D1267" s="5">
        <f>D512/D511-1</f>
        <v/>
      </c>
      <c r="E1267" s="5">
        <f>E512/E511-1</f>
        <v/>
      </c>
      <c r="F1267" s="5">
        <f>F512/F511-1</f>
        <v/>
      </c>
      <c r="G1267" s="5">
        <f>G512/G511-1</f>
        <v/>
      </c>
    </row>
    <row r="1268">
      <c r="A1268" s="2">
        <f>A513</f>
        <v/>
      </c>
      <c r="B1268" s="5">
        <f>B513/B512-1</f>
        <v/>
      </c>
      <c r="C1268" s="5">
        <f>C513/C512-1</f>
        <v/>
      </c>
      <c r="D1268" s="5">
        <f>D513/D512-1</f>
        <v/>
      </c>
      <c r="E1268" s="5">
        <f>E513/E512-1</f>
        <v/>
      </c>
      <c r="F1268" s="5">
        <f>F513/F512-1</f>
        <v/>
      </c>
      <c r="G1268" s="5">
        <f>G513/G512-1</f>
        <v/>
      </c>
    </row>
    <row r="1269">
      <c r="A1269" s="2">
        <f>A514</f>
        <v/>
      </c>
      <c r="B1269" s="5">
        <f>B514/B513-1</f>
        <v/>
      </c>
      <c r="C1269" s="5">
        <f>C514/C513-1</f>
        <v/>
      </c>
      <c r="D1269" s="5">
        <f>D514/D513-1</f>
        <v/>
      </c>
      <c r="E1269" s="5">
        <f>E514/E513-1</f>
        <v/>
      </c>
      <c r="F1269" s="5">
        <f>F514/F513-1</f>
        <v/>
      </c>
      <c r="G1269" s="5">
        <f>G514/G513-1</f>
        <v/>
      </c>
    </row>
    <row r="1270">
      <c r="A1270" s="2">
        <f>A515</f>
        <v/>
      </c>
      <c r="B1270" s="5">
        <f>B515/B514-1</f>
        <v/>
      </c>
      <c r="C1270" s="5">
        <f>C515/C514-1</f>
        <v/>
      </c>
      <c r="D1270" s="5">
        <f>D515/D514-1</f>
        <v/>
      </c>
      <c r="E1270" s="5">
        <f>E515/E514-1</f>
        <v/>
      </c>
      <c r="F1270" s="5">
        <f>F515/F514-1</f>
        <v/>
      </c>
      <c r="G1270" s="5">
        <f>G515/G514-1</f>
        <v/>
      </c>
    </row>
    <row r="1271">
      <c r="A1271" s="2">
        <f>A516</f>
        <v/>
      </c>
      <c r="B1271" s="5">
        <f>B516/B515-1</f>
        <v/>
      </c>
      <c r="C1271" s="5">
        <f>C516/C515-1</f>
        <v/>
      </c>
      <c r="D1271" s="5">
        <f>D516/D515-1</f>
        <v/>
      </c>
      <c r="E1271" s="5">
        <f>E516/E515-1</f>
        <v/>
      </c>
      <c r="F1271" s="5">
        <f>F516/F515-1</f>
        <v/>
      </c>
      <c r="G1271" s="5">
        <f>G516/G515-1</f>
        <v/>
      </c>
    </row>
    <row r="1272">
      <c r="A1272" s="2">
        <f>A517</f>
        <v/>
      </c>
      <c r="B1272" s="5">
        <f>B517/B516-1</f>
        <v/>
      </c>
      <c r="C1272" s="5">
        <f>C517/C516-1</f>
        <v/>
      </c>
      <c r="D1272" s="5">
        <f>D517/D516-1</f>
        <v/>
      </c>
      <c r="E1272" s="5">
        <f>E517/E516-1</f>
        <v/>
      </c>
      <c r="F1272" s="5">
        <f>F517/F516-1</f>
        <v/>
      </c>
      <c r="G1272" s="5">
        <f>G517/G516-1</f>
        <v/>
      </c>
    </row>
    <row r="1273">
      <c r="A1273" s="2">
        <f>A518</f>
        <v/>
      </c>
      <c r="B1273" s="5">
        <f>B518/B517-1</f>
        <v/>
      </c>
      <c r="C1273" s="5">
        <f>C518/C517-1</f>
        <v/>
      </c>
      <c r="D1273" s="5">
        <f>D518/D517-1</f>
        <v/>
      </c>
      <c r="E1273" s="5">
        <f>E518/E517-1</f>
        <v/>
      </c>
      <c r="F1273" s="5">
        <f>F518/F517-1</f>
        <v/>
      </c>
      <c r="G1273" s="5">
        <f>G518/G517-1</f>
        <v/>
      </c>
    </row>
    <row r="1274">
      <c r="A1274" s="2">
        <f>A519</f>
        <v/>
      </c>
      <c r="B1274" s="5">
        <f>B519/B518-1</f>
        <v/>
      </c>
      <c r="C1274" s="5">
        <f>C519/C518-1</f>
        <v/>
      </c>
      <c r="D1274" s="5">
        <f>D519/D518-1</f>
        <v/>
      </c>
      <c r="E1274" s="5">
        <f>E519/E518-1</f>
        <v/>
      </c>
      <c r="F1274" s="5">
        <f>F519/F518-1</f>
        <v/>
      </c>
      <c r="G1274" s="5">
        <f>G519/G518-1</f>
        <v/>
      </c>
    </row>
    <row r="1275">
      <c r="A1275" s="2">
        <f>A520</f>
        <v/>
      </c>
      <c r="B1275" s="5">
        <f>B520/B519-1</f>
        <v/>
      </c>
      <c r="C1275" s="5">
        <f>C520/C519-1</f>
        <v/>
      </c>
      <c r="D1275" s="5">
        <f>D520/D519-1</f>
        <v/>
      </c>
      <c r="E1275" s="5">
        <f>E520/E519-1</f>
        <v/>
      </c>
      <c r="F1275" s="5">
        <f>F520/F519-1</f>
        <v/>
      </c>
      <c r="G1275" s="5">
        <f>G520/G519-1</f>
        <v/>
      </c>
    </row>
    <row r="1276">
      <c r="A1276" s="2">
        <f>A521</f>
        <v/>
      </c>
      <c r="B1276" s="5">
        <f>B521/B520-1</f>
        <v/>
      </c>
      <c r="C1276" s="5">
        <f>C521/C520-1</f>
        <v/>
      </c>
      <c r="D1276" s="5">
        <f>D521/D520-1</f>
        <v/>
      </c>
      <c r="E1276" s="5">
        <f>E521/E520-1</f>
        <v/>
      </c>
      <c r="F1276" s="5">
        <f>F521/F520-1</f>
        <v/>
      </c>
      <c r="G1276" s="5">
        <f>G521/G520-1</f>
        <v/>
      </c>
    </row>
    <row r="1277">
      <c r="A1277" s="2">
        <f>A522</f>
        <v/>
      </c>
      <c r="B1277" s="5">
        <f>B522/B521-1</f>
        <v/>
      </c>
      <c r="C1277" s="5">
        <f>C522/C521-1</f>
        <v/>
      </c>
      <c r="D1277" s="5">
        <f>D522/D521-1</f>
        <v/>
      </c>
      <c r="E1277" s="5">
        <f>E522/E521-1</f>
        <v/>
      </c>
      <c r="F1277" s="5">
        <f>F522/F521-1</f>
        <v/>
      </c>
      <c r="G1277" s="5">
        <f>G522/G521-1</f>
        <v/>
      </c>
    </row>
    <row r="1278">
      <c r="A1278" s="2">
        <f>A523</f>
        <v/>
      </c>
      <c r="B1278" s="5">
        <f>B523/B522-1</f>
        <v/>
      </c>
      <c r="C1278" s="5">
        <f>C523/C522-1</f>
        <v/>
      </c>
      <c r="D1278" s="5">
        <f>D523/D522-1</f>
        <v/>
      </c>
      <c r="E1278" s="5">
        <f>E523/E522-1</f>
        <v/>
      </c>
      <c r="F1278" s="5">
        <f>F523/F522-1</f>
        <v/>
      </c>
      <c r="G1278" s="5">
        <f>G523/G522-1</f>
        <v/>
      </c>
    </row>
    <row r="1279">
      <c r="A1279" s="2">
        <f>A524</f>
        <v/>
      </c>
      <c r="B1279" s="5">
        <f>B524/B523-1</f>
        <v/>
      </c>
      <c r="C1279" s="5">
        <f>C524/C523-1</f>
        <v/>
      </c>
      <c r="D1279" s="5">
        <f>D524/D523-1</f>
        <v/>
      </c>
      <c r="E1279" s="5">
        <f>E524/E523-1</f>
        <v/>
      </c>
      <c r="F1279" s="5">
        <f>F524/F523-1</f>
        <v/>
      </c>
      <c r="G1279" s="5">
        <f>G524/G523-1</f>
        <v/>
      </c>
    </row>
    <row r="1280">
      <c r="A1280" s="2">
        <f>A525</f>
        <v/>
      </c>
      <c r="B1280" s="5">
        <f>B525/B524-1</f>
        <v/>
      </c>
      <c r="C1280" s="5">
        <f>C525/C524-1</f>
        <v/>
      </c>
      <c r="D1280" s="5">
        <f>D525/D524-1</f>
        <v/>
      </c>
      <c r="E1280" s="5">
        <f>E525/E524-1</f>
        <v/>
      </c>
      <c r="F1280" s="5">
        <f>F525/F524-1</f>
        <v/>
      </c>
      <c r="G1280" s="5">
        <f>G525/G524-1</f>
        <v/>
      </c>
    </row>
    <row r="1281">
      <c r="A1281" s="2">
        <f>A526</f>
        <v/>
      </c>
      <c r="B1281" s="5">
        <f>B526/B525-1</f>
        <v/>
      </c>
      <c r="C1281" s="5">
        <f>C526/C525-1</f>
        <v/>
      </c>
      <c r="D1281" s="5">
        <f>D526/D525-1</f>
        <v/>
      </c>
      <c r="E1281" s="5">
        <f>E526/E525-1</f>
        <v/>
      </c>
      <c r="F1281" s="5">
        <f>F526/F525-1</f>
        <v/>
      </c>
      <c r="G1281" s="5">
        <f>G526/G525-1</f>
        <v/>
      </c>
    </row>
    <row r="1282">
      <c r="A1282" s="2">
        <f>A527</f>
        <v/>
      </c>
      <c r="B1282" s="5">
        <f>B527/B526-1</f>
        <v/>
      </c>
      <c r="C1282" s="5">
        <f>C527/C526-1</f>
        <v/>
      </c>
      <c r="D1282" s="5">
        <f>D527/D526-1</f>
        <v/>
      </c>
      <c r="E1282" s="5">
        <f>E527/E526-1</f>
        <v/>
      </c>
      <c r="F1282" s="5">
        <f>F527/F526-1</f>
        <v/>
      </c>
      <c r="G1282" s="5">
        <f>G527/G526-1</f>
        <v/>
      </c>
    </row>
    <row r="1283">
      <c r="A1283" s="2">
        <f>A528</f>
        <v/>
      </c>
      <c r="B1283" s="5">
        <f>B528/B527-1</f>
        <v/>
      </c>
      <c r="C1283" s="5">
        <f>C528/C527-1</f>
        <v/>
      </c>
      <c r="D1283" s="5">
        <f>D528/D527-1</f>
        <v/>
      </c>
      <c r="E1283" s="5">
        <f>E528/E527-1</f>
        <v/>
      </c>
      <c r="F1283" s="5">
        <f>F528/F527-1</f>
        <v/>
      </c>
      <c r="G1283" s="5">
        <f>G528/G527-1</f>
        <v/>
      </c>
    </row>
    <row r="1284">
      <c r="A1284" s="2">
        <f>A529</f>
        <v/>
      </c>
      <c r="B1284" s="5">
        <f>B529/B528-1</f>
        <v/>
      </c>
      <c r="C1284" s="5">
        <f>C529/C528-1</f>
        <v/>
      </c>
      <c r="D1284" s="5">
        <f>D529/D528-1</f>
        <v/>
      </c>
      <c r="E1284" s="5">
        <f>E529/E528-1</f>
        <v/>
      </c>
      <c r="F1284" s="5">
        <f>F529/F528-1</f>
        <v/>
      </c>
      <c r="G1284" s="5">
        <f>G529/G528-1</f>
        <v/>
      </c>
    </row>
    <row r="1285">
      <c r="A1285" s="2">
        <f>A530</f>
        <v/>
      </c>
      <c r="B1285" s="5">
        <f>B530/B529-1</f>
        <v/>
      </c>
      <c r="C1285" s="5">
        <f>C530/C529-1</f>
        <v/>
      </c>
      <c r="D1285" s="5">
        <f>D530/D529-1</f>
        <v/>
      </c>
      <c r="E1285" s="5">
        <f>E530/E529-1</f>
        <v/>
      </c>
      <c r="F1285" s="5">
        <f>F530/F529-1</f>
        <v/>
      </c>
      <c r="G1285" s="5">
        <f>G530/G529-1</f>
        <v/>
      </c>
    </row>
    <row r="1286">
      <c r="A1286" s="2">
        <f>A531</f>
        <v/>
      </c>
      <c r="B1286" s="5">
        <f>B531/B530-1</f>
        <v/>
      </c>
      <c r="C1286" s="5">
        <f>C531/C530-1</f>
        <v/>
      </c>
      <c r="D1286" s="5">
        <f>D531/D530-1</f>
        <v/>
      </c>
      <c r="E1286" s="5">
        <f>E531/E530-1</f>
        <v/>
      </c>
      <c r="F1286" s="5">
        <f>F531/F530-1</f>
        <v/>
      </c>
      <c r="G1286" s="5">
        <f>G531/G530-1</f>
        <v/>
      </c>
    </row>
    <row r="1287">
      <c r="A1287" s="2">
        <f>A532</f>
        <v/>
      </c>
      <c r="B1287" s="5">
        <f>B532/B531-1</f>
        <v/>
      </c>
      <c r="C1287" s="5">
        <f>C532/C531-1</f>
        <v/>
      </c>
      <c r="D1287" s="5">
        <f>D532/D531-1</f>
        <v/>
      </c>
      <c r="E1287" s="5">
        <f>E532/E531-1</f>
        <v/>
      </c>
      <c r="F1287" s="5">
        <f>F532/F531-1</f>
        <v/>
      </c>
      <c r="G1287" s="5">
        <f>G532/G531-1</f>
        <v/>
      </c>
    </row>
    <row r="1288">
      <c r="A1288" s="2">
        <f>A533</f>
        <v/>
      </c>
      <c r="B1288" s="5">
        <f>B533/B532-1</f>
        <v/>
      </c>
      <c r="C1288" s="5">
        <f>C533/C532-1</f>
        <v/>
      </c>
      <c r="D1288" s="5">
        <f>D533/D532-1</f>
        <v/>
      </c>
      <c r="E1288" s="5">
        <f>E533/E532-1</f>
        <v/>
      </c>
      <c r="F1288" s="5">
        <f>F533/F532-1</f>
        <v/>
      </c>
      <c r="G1288" s="5">
        <f>G533/G532-1</f>
        <v/>
      </c>
    </row>
    <row r="1289">
      <c r="A1289" s="2">
        <f>A534</f>
        <v/>
      </c>
      <c r="B1289" s="5">
        <f>B534/B533-1</f>
        <v/>
      </c>
      <c r="C1289" s="5">
        <f>C534/C533-1</f>
        <v/>
      </c>
      <c r="D1289" s="5">
        <f>D534/D533-1</f>
        <v/>
      </c>
      <c r="E1289" s="5">
        <f>E534/E533-1</f>
        <v/>
      </c>
      <c r="F1289" s="5">
        <f>F534/F533-1</f>
        <v/>
      </c>
      <c r="G1289" s="5">
        <f>G534/G533-1</f>
        <v/>
      </c>
    </row>
    <row r="1290">
      <c r="A1290" s="2">
        <f>A535</f>
        <v/>
      </c>
      <c r="B1290" s="5">
        <f>B535/B534-1</f>
        <v/>
      </c>
      <c r="C1290" s="5">
        <f>C535/C534-1</f>
        <v/>
      </c>
      <c r="D1290" s="5">
        <f>D535/D534-1</f>
        <v/>
      </c>
      <c r="E1290" s="5">
        <f>E535/E534-1</f>
        <v/>
      </c>
      <c r="F1290" s="5">
        <f>F535/F534-1</f>
        <v/>
      </c>
      <c r="G1290" s="5">
        <f>G535/G534-1</f>
        <v/>
      </c>
    </row>
    <row r="1291">
      <c r="A1291" s="2">
        <f>A536</f>
        <v/>
      </c>
      <c r="B1291" s="5">
        <f>B536/B535-1</f>
        <v/>
      </c>
      <c r="C1291" s="5">
        <f>C536/C535-1</f>
        <v/>
      </c>
      <c r="D1291" s="5">
        <f>D536/D535-1</f>
        <v/>
      </c>
      <c r="E1291" s="5">
        <f>E536/E535-1</f>
        <v/>
      </c>
      <c r="F1291" s="5">
        <f>F536/F535-1</f>
        <v/>
      </c>
      <c r="G1291" s="5">
        <f>G536/G535-1</f>
        <v/>
      </c>
    </row>
    <row r="1292">
      <c r="A1292" s="2">
        <f>A537</f>
        <v/>
      </c>
      <c r="B1292" s="5">
        <f>B537/B536-1</f>
        <v/>
      </c>
      <c r="C1292" s="5">
        <f>C537/C536-1</f>
        <v/>
      </c>
      <c r="D1292" s="5">
        <f>D537/D536-1</f>
        <v/>
      </c>
      <c r="E1292" s="5">
        <f>E537/E536-1</f>
        <v/>
      </c>
      <c r="F1292" s="5">
        <f>F537/F536-1</f>
        <v/>
      </c>
      <c r="G1292" s="5">
        <f>G537/G536-1</f>
        <v/>
      </c>
    </row>
    <row r="1293">
      <c r="A1293" s="2">
        <f>A538</f>
        <v/>
      </c>
      <c r="B1293" s="5">
        <f>B538/B537-1</f>
        <v/>
      </c>
      <c r="C1293" s="5">
        <f>C538/C537-1</f>
        <v/>
      </c>
      <c r="D1293" s="5">
        <f>D538/D537-1</f>
        <v/>
      </c>
      <c r="E1293" s="5">
        <f>E538/E537-1</f>
        <v/>
      </c>
      <c r="F1293" s="5">
        <f>F538/F537-1</f>
        <v/>
      </c>
      <c r="G1293" s="5">
        <f>G538/G537-1</f>
        <v/>
      </c>
    </row>
    <row r="1294">
      <c r="A1294" s="2">
        <f>A539</f>
        <v/>
      </c>
      <c r="B1294" s="5">
        <f>B539/B538-1</f>
        <v/>
      </c>
      <c r="C1294" s="5">
        <f>C539/C538-1</f>
        <v/>
      </c>
      <c r="D1294" s="5">
        <f>D539/D538-1</f>
        <v/>
      </c>
      <c r="E1294" s="5">
        <f>E539/E538-1</f>
        <v/>
      </c>
      <c r="F1294" s="5">
        <f>F539/F538-1</f>
        <v/>
      </c>
      <c r="G1294" s="5">
        <f>G539/G538-1</f>
        <v/>
      </c>
    </row>
    <row r="1295">
      <c r="A1295" s="2">
        <f>A540</f>
        <v/>
      </c>
      <c r="B1295" s="5">
        <f>B540/B539-1</f>
        <v/>
      </c>
      <c r="C1295" s="5">
        <f>C540/C539-1</f>
        <v/>
      </c>
      <c r="D1295" s="5">
        <f>D540/D539-1</f>
        <v/>
      </c>
      <c r="E1295" s="5">
        <f>E540/E539-1</f>
        <v/>
      </c>
      <c r="F1295" s="5">
        <f>F540/F539-1</f>
        <v/>
      </c>
      <c r="G1295" s="5">
        <f>G540/G539-1</f>
        <v/>
      </c>
    </row>
    <row r="1296">
      <c r="A1296" s="2">
        <f>A541</f>
        <v/>
      </c>
      <c r="B1296" s="5">
        <f>B541/B540-1</f>
        <v/>
      </c>
      <c r="C1296" s="5">
        <f>C541/C540-1</f>
        <v/>
      </c>
      <c r="D1296" s="5">
        <f>D541/D540-1</f>
        <v/>
      </c>
      <c r="E1296" s="5">
        <f>E541/E540-1</f>
        <v/>
      </c>
      <c r="F1296" s="5">
        <f>F541/F540-1</f>
        <v/>
      </c>
      <c r="G1296" s="5">
        <f>G541/G540-1</f>
        <v/>
      </c>
    </row>
    <row r="1297">
      <c r="A1297" s="2">
        <f>A542</f>
        <v/>
      </c>
      <c r="B1297" s="5">
        <f>B542/B541-1</f>
        <v/>
      </c>
      <c r="C1297" s="5">
        <f>C542/C541-1</f>
        <v/>
      </c>
      <c r="D1297" s="5">
        <f>D542/D541-1</f>
        <v/>
      </c>
      <c r="E1297" s="5">
        <f>E542/E541-1</f>
        <v/>
      </c>
      <c r="F1297" s="5">
        <f>F542/F541-1</f>
        <v/>
      </c>
      <c r="G1297" s="5">
        <f>G542/G541-1</f>
        <v/>
      </c>
    </row>
    <row r="1298">
      <c r="A1298" s="2">
        <f>A543</f>
        <v/>
      </c>
      <c r="B1298" s="5">
        <f>B543/B542-1</f>
        <v/>
      </c>
      <c r="C1298" s="5">
        <f>C543/C542-1</f>
        <v/>
      </c>
      <c r="D1298" s="5">
        <f>D543/D542-1</f>
        <v/>
      </c>
      <c r="E1298" s="5">
        <f>E543/E542-1</f>
        <v/>
      </c>
      <c r="F1298" s="5">
        <f>F543/F542-1</f>
        <v/>
      </c>
      <c r="G1298" s="5">
        <f>G543/G542-1</f>
        <v/>
      </c>
    </row>
    <row r="1299">
      <c r="A1299" s="2">
        <f>A544</f>
        <v/>
      </c>
      <c r="B1299" s="5">
        <f>B544/B543-1</f>
        <v/>
      </c>
      <c r="C1299" s="5">
        <f>C544/C543-1</f>
        <v/>
      </c>
      <c r="D1299" s="5">
        <f>D544/D543-1</f>
        <v/>
      </c>
      <c r="E1299" s="5">
        <f>E544/E543-1</f>
        <v/>
      </c>
      <c r="F1299" s="5">
        <f>F544/F543-1</f>
        <v/>
      </c>
      <c r="G1299" s="5">
        <f>G544/G543-1</f>
        <v/>
      </c>
    </row>
    <row r="1300">
      <c r="A1300" s="2">
        <f>A545</f>
        <v/>
      </c>
      <c r="B1300" s="5">
        <f>B545/B544-1</f>
        <v/>
      </c>
      <c r="C1300" s="5">
        <f>C545/C544-1</f>
        <v/>
      </c>
      <c r="D1300" s="5">
        <f>D545/D544-1</f>
        <v/>
      </c>
      <c r="E1300" s="5">
        <f>E545/E544-1</f>
        <v/>
      </c>
      <c r="F1300" s="5">
        <f>F545/F544-1</f>
        <v/>
      </c>
      <c r="G1300" s="5">
        <f>G545/G544-1</f>
        <v/>
      </c>
    </row>
    <row r="1301">
      <c r="A1301" s="2">
        <f>A546</f>
        <v/>
      </c>
      <c r="B1301" s="5">
        <f>B546/B545-1</f>
        <v/>
      </c>
      <c r="C1301" s="5">
        <f>C546/C545-1</f>
        <v/>
      </c>
      <c r="D1301" s="5">
        <f>D546/D545-1</f>
        <v/>
      </c>
      <c r="E1301" s="5">
        <f>E546/E545-1</f>
        <v/>
      </c>
      <c r="F1301" s="5">
        <f>F546/F545-1</f>
        <v/>
      </c>
      <c r="G1301" s="5">
        <f>G546/G545-1</f>
        <v/>
      </c>
    </row>
    <row r="1302">
      <c r="A1302" s="2">
        <f>A547</f>
        <v/>
      </c>
      <c r="B1302" s="5">
        <f>B547/B546-1</f>
        <v/>
      </c>
      <c r="C1302" s="5">
        <f>C547/C546-1</f>
        <v/>
      </c>
      <c r="D1302" s="5">
        <f>D547/D546-1</f>
        <v/>
      </c>
      <c r="E1302" s="5">
        <f>E547/E546-1</f>
        <v/>
      </c>
      <c r="F1302" s="5">
        <f>F547/F546-1</f>
        <v/>
      </c>
      <c r="G1302" s="5">
        <f>G547/G546-1</f>
        <v/>
      </c>
    </row>
    <row r="1303">
      <c r="A1303" s="2">
        <f>A548</f>
        <v/>
      </c>
      <c r="B1303" s="5">
        <f>B548/B547-1</f>
        <v/>
      </c>
      <c r="C1303" s="5">
        <f>C548/C547-1</f>
        <v/>
      </c>
      <c r="D1303" s="5">
        <f>D548/D547-1</f>
        <v/>
      </c>
      <c r="E1303" s="5">
        <f>E548/E547-1</f>
        <v/>
      </c>
      <c r="F1303" s="5">
        <f>F548/F547-1</f>
        <v/>
      </c>
      <c r="G1303" s="5">
        <f>G548/G547-1</f>
        <v/>
      </c>
    </row>
    <row r="1304">
      <c r="A1304" s="2">
        <f>A549</f>
        <v/>
      </c>
      <c r="B1304" s="5">
        <f>B549/B548-1</f>
        <v/>
      </c>
      <c r="C1304" s="5">
        <f>C549/C548-1</f>
        <v/>
      </c>
      <c r="D1304" s="5">
        <f>D549/D548-1</f>
        <v/>
      </c>
      <c r="E1304" s="5">
        <f>E549/E548-1</f>
        <v/>
      </c>
      <c r="F1304" s="5">
        <f>F549/F548-1</f>
        <v/>
      </c>
      <c r="G1304" s="5">
        <f>G549/G548-1</f>
        <v/>
      </c>
    </row>
    <row r="1305">
      <c r="A1305" s="2">
        <f>A550</f>
        <v/>
      </c>
      <c r="B1305" s="5">
        <f>B550/B549-1</f>
        <v/>
      </c>
      <c r="C1305" s="5">
        <f>C550/C549-1</f>
        <v/>
      </c>
      <c r="D1305" s="5">
        <f>D550/D549-1</f>
        <v/>
      </c>
      <c r="E1305" s="5">
        <f>E550/E549-1</f>
        <v/>
      </c>
      <c r="F1305" s="5">
        <f>F550/F549-1</f>
        <v/>
      </c>
      <c r="G1305" s="5">
        <f>G550/G549-1</f>
        <v/>
      </c>
    </row>
    <row r="1306">
      <c r="A1306" s="2">
        <f>A551</f>
        <v/>
      </c>
      <c r="B1306" s="5">
        <f>B551/B550-1</f>
        <v/>
      </c>
      <c r="C1306" s="5">
        <f>C551/C550-1</f>
        <v/>
      </c>
      <c r="D1306" s="5">
        <f>D551/D550-1</f>
        <v/>
      </c>
      <c r="E1306" s="5">
        <f>E551/E550-1</f>
        <v/>
      </c>
      <c r="F1306" s="5">
        <f>F551/F550-1</f>
        <v/>
      </c>
      <c r="G1306" s="5">
        <f>G551/G550-1</f>
        <v/>
      </c>
    </row>
    <row r="1307">
      <c r="A1307" s="2">
        <f>A552</f>
        <v/>
      </c>
      <c r="B1307" s="5">
        <f>B552/B551-1</f>
        <v/>
      </c>
      <c r="C1307" s="5">
        <f>C552/C551-1</f>
        <v/>
      </c>
      <c r="D1307" s="5">
        <f>D552/D551-1</f>
        <v/>
      </c>
      <c r="E1307" s="5">
        <f>E552/E551-1</f>
        <v/>
      </c>
      <c r="F1307" s="5">
        <f>F552/F551-1</f>
        <v/>
      </c>
      <c r="G1307" s="5">
        <f>G552/G551-1</f>
        <v/>
      </c>
    </row>
    <row r="1308">
      <c r="A1308" s="2">
        <f>A553</f>
        <v/>
      </c>
      <c r="B1308" s="5">
        <f>B553/B552-1</f>
        <v/>
      </c>
      <c r="C1308" s="5">
        <f>C553/C552-1</f>
        <v/>
      </c>
      <c r="D1308" s="5">
        <f>D553/D552-1</f>
        <v/>
      </c>
      <c r="E1308" s="5">
        <f>E553/E552-1</f>
        <v/>
      </c>
      <c r="F1308" s="5">
        <f>F553/F552-1</f>
        <v/>
      </c>
      <c r="G1308" s="5">
        <f>G553/G552-1</f>
        <v/>
      </c>
    </row>
    <row r="1309">
      <c r="A1309" s="2">
        <f>A554</f>
        <v/>
      </c>
      <c r="B1309" s="5">
        <f>B554/B553-1</f>
        <v/>
      </c>
      <c r="C1309" s="5">
        <f>C554/C553-1</f>
        <v/>
      </c>
      <c r="D1309" s="5">
        <f>D554/D553-1</f>
        <v/>
      </c>
      <c r="E1309" s="5">
        <f>E554/E553-1</f>
        <v/>
      </c>
      <c r="F1309" s="5">
        <f>F554/F553-1</f>
        <v/>
      </c>
      <c r="G1309" s="5">
        <f>G554/G553-1</f>
        <v/>
      </c>
    </row>
    <row r="1310">
      <c r="A1310" s="2">
        <f>A555</f>
        <v/>
      </c>
      <c r="B1310" s="5">
        <f>B555/B554-1</f>
        <v/>
      </c>
      <c r="C1310" s="5">
        <f>C555/C554-1</f>
        <v/>
      </c>
      <c r="D1310" s="5">
        <f>D555/D554-1</f>
        <v/>
      </c>
      <c r="E1310" s="5">
        <f>E555/E554-1</f>
        <v/>
      </c>
      <c r="F1310" s="5">
        <f>F555/F554-1</f>
        <v/>
      </c>
      <c r="G1310" s="5">
        <f>G555/G554-1</f>
        <v/>
      </c>
    </row>
    <row r="1311">
      <c r="A1311" s="2">
        <f>A556</f>
        <v/>
      </c>
      <c r="B1311" s="5">
        <f>B556/B555-1</f>
        <v/>
      </c>
      <c r="C1311" s="5">
        <f>C556/C555-1</f>
        <v/>
      </c>
      <c r="D1311" s="5">
        <f>D556/D555-1</f>
        <v/>
      </c>
      <c r="E1311" s="5">
        <f>E556/E555-1</f>
        <v/>
      </c>
      <c r="F1311" s="5">
        <f>F556/F555-1</f>
        <v/>
      </c>
      <c r="G1311" s="5">
        <f>G556/G555-1</f>
        <v/>
      </c>
    </row>
    <row r="1312">
      <c r="A1312" s="2">
        <f>A557</f>
        <v/>
      </c>
      <c r="B1312" s="5">
        <f>B557/B556-1</f>
        <v/>
      </c>
      <c r="C1312" s="5">
        <f>C557/C556-1</f>
        <v/>
      </c>
      <c r="D1312" s="5">
        <f>D557/D556-1</f>
        <v/>
      </c>
      <c r="E1312" s="5">
        <f>E557/E556-1</f>
        <v/>
      </c>
      <c r="F1312" s="5">
        <f>F557/F556-1</f>
        <v/>
      </c>
      <c r="G1312" s="5">
        <f>G557/G556-1</f>
        <v/>
      </c>
    </row>
    <row r="1313">
      <c r="A1313" s="2">
        <f>A558</f>
        <v/>
      </c>
      <c r="B1313" s="5">
        <f>B558/B557-1</f>
        <v/>
      </c>
      <c r="C1313" s="5">
        <f>C558/C557-1</f>
        <v/>
      </c>
      <c r="D1313" s="5">
        <f>D558/D557-1</f>
        <v/>
      </c>
      <c r="E1313" s="5">
        <f>E558/E557-1</f>
        <v/>
      </c>
      <c r="F1313" s="5">
        <f>F558/F557-1</f>
        <v/>
      </c>
      <c r="G1313" s="5">
        <f>G558/G557-1</f>
        <v/>
      </c>
    </row>
    <row r="1314">
      <c r="A1314" s="2">
        <f>A559</f>
        <v/>
      </c>
      <c r="B1314" s="5">
        <f>B559/B558-1</f>
        <v/>
      </c>
      <c r="C1314" s="5">
        <f>C559/C558-1</f>
        <v/>
      </c>
      <c r="D1314" s="5">
        <f>D559/D558-1</f>
        <v/>
      </c>
      <c r="E1314" s="5">
        <f>E559/E558-1</f>
        <v/>
      </c>
      <c r="F1314" s="5">
        <f>F559/F558-1</f>
        <v/>
      </c>
      <c r="G1314" s="5">
        <f>G559/G558-1</f>
        <v/>
      </c>
    </row>
    <row r="1315">
      <c r="A1315" s="2">
        <f>A560</f>
        <v/>
      </c>
      <c r="B1315" s="5">
        <f>B560/B559-1</f>
        <v/>
      </c>
      <c r="C1315" s="5">
        <f>C560/C559-1</f>
        <v/>
      </c>
      <c r="D1315" s="5">
        <f>D560/D559-1</f>
        <v/>
      </c>
      <c r="E1315" s="5">
        <f>E560/E559-1</f>
        <v/>
      </c>
      <c r="F1315" s="5">
        <f>F560/F559-1</f>
        <v/>
      </c>
      <c r="G1315" s="5">
        <f>G560/G559-1</f>
        <v/>
      </c>
    </row>
    <row r="1316">
      <c r="A1316" s="2">
        <f>A561</f>
        <v/>
      </c>
      <c r="B1316" s="5">
        <f>B561/B560-1</f>
        <v/>
      </c>
      <c r="C1316" s="5">
        <f>C561/C560-1</f>
        <v/>
      </c>
      <c r="D1316" s="5">
        <f>D561/D560-1</f>
        <v/>
      </c>
      <c r="E1316" s="5">
        <f>E561/E560-1</f>
        <v/>
      </c>
      <c r="F1316" s="5">
        <f>F561/F560-1</f>
        <v/>
      </c>
      <c r="G1316" s="5">
        <f>G561/G560-1</f>
        <v/>
      </c>
    </row>
    <row r="1317">
      <c r="A1317" s="2">
        <f>A562</f>
        <v/>
      </c>
      <c r="B1317" s="5">
        <f>B562/B561-1</f>
        <v/>
      </c>
      <c r="C1317" s="5">
        <f>C562/C561-1</f>
        <v/>
      </c>
      <c r="D1317" s="5">
        <f>D562/D561-1</f>
        <v/>
      </c>
      <c r="E1317" s="5">
        <f>E562/E561-1</f>
        <v/>
      </c>
      <c r="F1317" s="5">
        <f>F562/F561-1</f>
        <v/>
      </c>
      <c r="G1317" s="5">
        <f>G562/G561-1</f>
        <v/>
      </c>
    </row>
    <row r="1318">
      <c r="A1318" s="2">
        <f>A563</f>
        <v/>
      </c>
      <c r="B1318" s="5">
        <f>B563/B562-1</f>
        <v/>
      </c>
      <c r="C1318" s="5">
        <f>C563/C562-1</f>
        <v/>
      </c>
      <c r="D1318" s="5">
        <f>D563/D562-1</f>
        <v/>
      </c>
      <c r="E1318" s="5">
        <f>E563/E562-1</f>
        <v/>
      </c>
      <c r="F1318" s="5">
        <f>F563/F562-1</f>
        <v/>
      </c>
      <c r="G1318" s="5">
        <f>G563/G562-1</f>
        <v/>
      </c>
    </row>
    <row r="1319">
      <c r="A1319" s="2">
        <f>A564</f>
        <v/>
      </c>
      <c r="B1319" s="5">
        <f>B564/B563-1</f>
        <v/>
      </c>
      <c r="C1319" s="5">
        <f>C564/C563-1</f>
        <v/>
      </c>
      <c r="D1319" s="5">
        <f>D564/D563-1</f>
        <v/>
      </c>
      <c r="E1319" s="5">
        <f>E564/E563-1</f>
        <v/>
      </c>
      <c r="F1319" s="5">
        <f>F564/F563-1</f>
        <v/>
      </c>
      <c r="G1319" s="5">
        <f>G564/G563-1</f>
        <v/>
      </c>
    </row>
    <row r="1320">
      <c r="A1320" s="2">
        <f>A565</f>
        <v/>
      </c>
      <c r="B1320" s="5">
        <f>B565/B564-1</f>
        <v/>
      </c>
      <c r="C1320" s="5">
        <f>C565/C564-1</f>
        <v/>
      </c>
      <c r="D1320" s="5">
        <f>D565/D564-1</f>
        <v/>
      </c>
      <c r="E1320" s="5">
        <f>E565/E564-1</f>
        <v/>
      </c>
      <c r="F1320" s="5">
        <f>F565/F564-1</f>
        <v/>
      </c>
      <c r="G1320" s="5">
        <f>G565/G564-1</f>
        <v/>
      </c>
    </row>
    <row r="1321">
      <c r="A1321" s="2">
        <f>A566</f>
        <v/>
      </c>
      <c r="B1321" s="5">
        <f>B566/B565-1</f>
        <v/>
      </c>
      <c r="C1321" s="5">
        <f>C566/C565-1</f>
        <v/>
      </c>
      <c r="D1321" s="5">
        <f>D566/D565-1</f>
        <v/>
      </c>
      <c r="E1321" s="5">
        <f>E566/E565-1</f>
        <v/>
      </c>
      <c r="F1321" s="5">
        <f>F566/F565-1</f>
        <v/>
      </c>
      <c r="G1321" s="5">
        <f>G566/G565-1</f>
        <v/>
      </c>
    </row>
    <row r="1322">
      <c r="A1322" s="2">
        <f>A567</f>
        <v/>
      </c>
      <c r="B1322" s="5">
        <f>B567/B566-1</f>
        <v/>
      </c>
      <c r="C1322" s="5">
        <f>C567/C566-1</f>
        <v/>
      </c>
      <c r="D1322" s="5">
        <f>D567/D566-1</f>
        <v/>
      </c>
      <c r="E1322" s="5">
        <f>E567/E566-1</f>
        <v/>
      </c>
      <c r="F1322" s="5">
        <f>F567/F566-1</f>
        <v/>
      </c>
      <c r="G1322" s="5">
        <f>G567/G566-1</f>
        <v/>
      </c>
    </row>
    <row r="1323">
      <c r="A1323" s="2">
        <f>A568</f>
        <v/>
      </c>
      <c r="B1323" s="5">
        <f>B568/B567-1</f>
        <v/>
      </c>
      <c r="C1323" s="5">
        <f>C568/C567-1</f>
        <v/>
      </c>
      <c r="D1323" s="5">
        <f>D568/D567-1</f>
        <v/>
      </c>
      <c r="E1323" s="5">
        <f>E568/E567-1</f>
        <v/>
      </c>
      <c r="F1323" s="5">
        <f>F568/F567-1</f>
        <v/>
      </c>
      <c r="G1323" s="5">
        <f>G568/G567-1</f>
        <v/>
      </c>
    </row>
    <row r="1324">
      <c r="A1324" s="2">
        <f>A569</f>
        <v/>
      </c>
      <c r="B1324" s="5">
        <f>B569/B568-1</f>
        <v/>
      </c>
      <c r="C1324" s="5">
        <f>C569/C568-1</f>
        <v/>
      </c>
      <c r="D1324" s="5">
        <f>D569/D568-1</f>
        <v/>
      </c>
      <c r="E1324" s="5">
        <f>E569/E568-1</f>
        <v/>
      </c>
      <c r="F1324" s="5">
        <f>F569/F568-1</f>
        <v/>
      </c>
      <c r="G1324" s="5">
        <f>G569/G568-1</f>
        <v/>
      </c>
    </row>
    <row r="1325">
      <c r="A1325" s="2">
        <f>A570</f>
        <v/>
      </c>
      <c r="B1325" s="5">
        <f>B570/B569-1</f>
        <v/>
      </c>
      <c r="C1325" s="5">
        <f>C570/C569-1</f>
        <v/>
      </c>
      <c r="D1325" s="5">
        <f>D570/D569-1</f>
        <v/>
      </c>
      <c r="E1325" s="5">
        <f>E570/E569-1</f>
        <v/>
      </c>
      <c r="F1325" s="5">
        <f>F570/F569-1</f>
        <v/>
      </c>
      <c r="G1325" s="5">
        <f>G570/G569-1</f>
        <v/>
      </c>
    </row>
    <row r="1326">
      <c r="A1326" s="2">
        <f>A571</f>
        <v/>
      </c>
      <c r="B1326" s="5">
        <f>B571/B570-1</f>
        <v/>
      </c>
      <c r="C1326" s="5">
        <f>C571/C570-1</f>
        <v/>
      </c>
      <c r="D1326" s="5">
        <f>D571/D570-1</f>
        <v/>
      </c>
      <c r="E1326" s="5">
        <f>E571/E570-1</f>
        <v/>
      </c>
      <c r="F1326" s="5">
        <f>F571/F570-1</f>
        <v/>
      </c>
      <c r="G1326" s="5">
        <f>G571/G570-1</f>
        <v/>
      </c>
    </row>
    <row r="1327">
      <c r="A1327" s="2">
        <f>A572</f>
        <v/>
      </c>
      <c r="B1327" s="5">
        <f>B572/B571-1</f>
        <v/>
      </c>
      <c r="C1327" s="5">
        <f>C572/C571-1</f>
        <v/>
      </c>
      <c r="D1327" s="5">
        <f>D572/D571-1</f>
        <v/>
      </c>
      <c r="E1327" s="5">
        <f>E572/E571-1</f>
        <v/>
      </c>
      <c r="F1327" s="5">
        <f>F572/F571-1</f>
        <v/>
      </c>
      <c r="G1327" s="5">
        <f>G572/G571-1</f>
        <v/>
      </c>
    </row>
    <row r="1328">
      <c r="A1328" s="2">
        <f>A573</f>
        <v/>
      </c>
      <c r="B1328" s="5">
        <f>B573/B572-1</f>
        <v/>
      </c>
      <c r="C1328" s="5">
        <f>C573/C572-1</f>
        <v/>
      </c>
      <c r="D1328" s="5">
        <f>D573/D572-1</f>
        <v/>
      </c>
      <c r="E1328" s="5">
        <f>E573/E572-1</f>
        <v/>
      </c>
      <c r="F1328" s="5">
        <f>F573/F572-1</f>
        <v/>
      </c>
      <c r="G1328" s="5">
        <f>G573/G572-1</f>
        <v/>
      </c>
    </row>
    <row r="1329">
      <c r="A1329" s="2">
        <f>A574</f>
        <v/>
      </c>
      <c r="B1329" s="5">
        <f>B574/B573-1</f>
        <v/>
      </c>
      <c r="C1329" s="5">
        <f>C574/C573-1</f>
        <v/>
      </c>
      <c r="D1329" s="5">
        <f>D574/D573-1</f>
        <v/>
      </c>
      <c r="E1329" s="5">
        <f>E574/E573-1</f>
        <v/>
      </c>
      <c r="F1329" s="5">
        <f>F574/F573-1</f>
        <v/>
      </c>
      <c r="G1329" s="5">
        <f>G574/G573-1</f>
        <v/>
      </c>
    </row>
    <row r="1330">
      <c r="A1330" s="2">
        <f>A575</f>
        <v/>
      </c>
      <c r="B1330" s="5">
        <f>B575/B574-1</f>
        <v/>
      </c>
      <c r="C1330" s="5">
        <f>C575/C574-1</f>
        <v/>
      </c>
      <c r="D1330" s="5">
        <f>D575/D574-1</f>
        <v/>
      </c>
      <c r="E1330" s="5">
        <f>E575/E574-1</f>
        <v/>
      </c>
      <c r="F1330" s="5">
        <f>F575/F574-1</f>
        <v/>
      </c>
      <c r="G1330" s="5">
        <f>G575/G574-1</f>
        <v/>
      </c>
    </row>
    <row r="1331">
      <c r="A1331" s="2">
        <f>A576</f>
        <v/>
      </c>
      <c r="B1331" s="5">
        <f>B576/B575-1</f>
        <v/>
      </c>
      <c r="C1331" s="5">
        <f>C576/C575-1</f>
        <v/>
      </c>
      <c r="D1331" s="5">
        <f>D576/D575-1</f>
        <v/>
      </c>
      <c r="E1331" s="5">
        <f>E576/E575-1</f>
        <v/>
      </c>
      <c r="F1331" s="5">
        <f>F576/F575-1</f>
        <v/>
      </c>
      <c r="G1331" s="5">
        <f>G576/G575-1</f>
        <v/>
      </c>
    </row>
    <row r="1332">
      <c r="A1332" s="2">
        <f>A577</f>
        <v/>
      </c>
      <c r="B1332" s="5">
        <f>B577/B576-1</f>
        <v/>
      </c>
      <c r="C1332" s="5">
        <f>C577/C576-1</f>
        <v/>
      </c>
      <c r="D1332" s="5">
        <f>D577/D576-1</f>
        <v/>
      </c>
      <c r="E1332" s="5">
        <f>E577/E576-1</f>
        <v/>
      </c>
      <c r="F1332" s="5">
        <f>F577/F576-1</f>
        <v/>
      </c>
      <c r="G1332" s="5">
        <f>G577/G576-1</f>
        <v/>
      </c>
    </row>
    <row r="1333">
      <c r="A1333" s="2">
        <f>A578</f>
        <v/>
      </c>
      <c r="B1333" s="5">
        <f>B578/B577-1</f>
        <v/>
      </c>
      <c r="C1333" s="5">
        <f>C578/C577-1</f>
        <v/>
      </c>
      <c r="D1333" s="5">
        <f>D578/D577-1</f>
        <v/>
      </c>
      <c r="E1333" s="5">
        <f>E578/E577-1</f>
        <v/>
      </c>
      <c r="F1333" s="5">
        <f>F578/F577-1</f>
        <v/>
      </c>
      <c r="G1333" s="5">
        <f>G578/G577-1</f>
        <v/>
      </c>
    </row>
    <row r="1334">
      <c r="A1334" s="2">
        <f>A579</f>
        <v/>
      </c>
      <c r="B1334" s="5">
        <f>B579/B578-1</f>
        <v/>
      </c>
      <c r="C1334" s="5">
        <f>C579/C578-1</f>
        <v/>
      </c>
      <c r="D1334" s="5">
        <f>D579/D578-1</f>
        <v/>
      </c>
      <c r="E1334" s="5">
        <f>E579/E578-1</f>
        <v/>
      </c>
      <c r="F1334" s="5">
        <f>F579/F578-1</f>
        <v/>
      </c>
      <c r="G1334" s="5">
        <f>G579/G578-1</f>
        <v/>
      </c>
    </row>
    <row r="1335">
      <c r="A1335" s="2">
        <f>A580</f>
        <v/>
      </c>
      <c r="B1335" s="5">
        <f>B580/B579-1</f>
        <v/>
      </c>
      <c r="C1335" s="5">
        <f>C580/C579-1</f>
        <v/>
      </c>
      <c r="D1335" s="5">
        <f>D580/D579-1</f>
        <v/>
      </c>
      <c r="E1335" s="5">
        <f>E580/E579-1</f>
        <v/>
      </c>
      <c r="F1335" s="5">
        <f>F580/F579-1</f>
        <v/>
      </c>
      <c r="G1335" s="5">
        <f>G580/G579-1</f>
        <v/>
      </c>
    </row>
    <row r="1336">
      <c r="A1336" s="2">
        <f>A581</f>
        <v/>
      </c>
      <c r="B1336" s="5">
        <f>B581/B580-1</f>
        <v/>
      </c>
      <c r="C1336" s="5">
        <f>C581/C580-1</f>
        <v/>
      </c>
      <c r="D1336" s="5">
        <f>D581/D580-1</f>
        <v/>
      </c>
      <c r="E1336" s="5">
        <f>E581/E580-1</f>
        <v/>
      </c>
      <c r="F1336" s="5">
        <f>F581/F580-1</f>
        <v/>
      </c>
      <c r="G1336" s="5">
        <f>G581/G580-1</f>
        <v/>
      </c>
    </row>
    <row r="1337">
      <c r="A1337" s="2">
        <f>A582</f>
        <v/>
      </c>
      <c r="B1337" s="5">
        <f>B582/B581-1</f>
        <v/>
      </c>
      <c r="C1337" s="5">
        <f>C582/C581-1</f>
        <v/>
      </c>
      <c r="D1337" s="5">
        <f>D582/D581-1</f>
        <v/>
      </c>
      <c r="E1337" s="5">
        <f>E582/E581-1</f>
        <v/>
      </c>
      <c r="F1337" s="5">
        <f>F582/F581-1</f>
        <v/>
      </c>
      <c r="G1337" s="5">
        <f>G582/G581-1</f>
        <v/>
      </c>
    </row>
    <row r="1338">
      <c r="A1338" s="2">
        <f>A583</f>
        <v/>
      </c>
      <c r="B1338" s="5">
        <f>B583/B582-1</f>
        <v/>
      </c>
      <c r="C1338" s="5">
        <f>C583/C582-1</f>
        <v/>
      </c>
      <c r="D1338" s="5">
        <f>D583/D582-1</f>
        <v/>
      </c>
      <c r="E1338" s="5">
        <f>E583/E582-1</f>
        <v/>
      </c>
      <c r="F1338" s="5">
        <f>F583/F582-1</f>
        <v/>
      </c>
      <c r="G1338" s="5">
        <f>G583/G582-1</f>
        <v/>
      </c>
    </row>
    <row r="1339">
      <c r="A1339" s="2">
        <f>A584</f>
        <v/>
      </c>
      <c r="B1339" s="5">
        <f>B584/B583-1</f>
        <v/>
      </c>
      <c r="C1339" s="5">
        <f>C584/C583-1</f>
        <v/>
      </c>
      <c r="D1339" s="5">
        <f>D584/D583-1</f>
        <v/>
      </c>
      <c r="E1339" s="5">
        <f>E584/E583-1</f>
        <v/>
      </c>
      <c r="F1339" s="5">
        <f>F584/F583-1</f>
        <v/>
      </c>
      <c r="G1339" s="5">
        <f>G584/G583-1</f>
        <v/>
      </c>
    </row>
    <row r="1340">
      <c r="A1340" s="2">
        <f>A585</f>
        <v/>
      </c>
      <c r="B1340" s="5">
        <f>B585/B584-1</f>
        <v/>
      </c>
      <c r="C1340" s="5">
        <f>C585/C584-1</f>
        <v/>
      </c>
      <c r="D1340" s="5">
        <f>D585/D584-1</f>
        <v/>
      </c>
      <c r="E1340" s="5">
        <f>E585/E584-1</f>
        <v/>
      </c>
      <c r="F1340" s="5">
        <f>F585/F584-1</f>
        <v/>
      </c>
      <c r="G1340" s="5">
        <f>G585/G584-1</f>
        <v/>
      </c>
    </row>
    <row r="1341">
      <c r="A1341" s="2">
        <f>A586</f>
        <v/>
      </c>
      <c r="B1341" s="5">
        <f>B586/B585-1</f>
        <v/>
      </c>
      <c r="C1341" s="5">
        <f>C586/C585-1</f>
        <v/>
      </c>
      <c r="D1341" s="5">
        <f>D586/D585-1</f>
        <v/>
      </c>
      <c r="E1341" s="5">
        <f>E586/E585-1</f>
        <v/>
      </c>
      <c r="F1341" s="5">
        <f>F586/F585-1</f>
        <v/>
      </c>
      <c r="G1341" s="5">
        <f>G586/G585-1</f>
        <v/>
      </c>
    </row>
    <row r="1342">
      <c r="A1342" s="2">
        <f>A587</f>
        <v/>
      </c>
      <c r="B1342" s="5">
        <f>B587/B586-1</f>
        <v/>
      </c>
      <c r="C1342" s="5">
        <f>C587/C586-1</f>
        <v/>
      </c>
      <c r="D1342" s="5">
        <f>D587/D586-1</f>
        <v/>
      </c>
      <c r="E1342" s="5">
        <f>E587/E586-1</f>
        <v/>
      </c>
      <c r="F1342" s="5">
        <f>F587/F586-1</f>
        <v/>
      </c>
      <c r="G1342" s="5">
        <f>G587/G586-1</f>
        <v/>
      </c>
    </row>
    <row r="1343">
      <c r="A1343" s="2">
        <f>A588</f>
        <v/>
      </c>
      <c r="B1343" s="5">
        <f>B588/B587-1</f>
        <v/>
      </c>
      <c r="C1343" s="5">
        <f>C588/C587-1</f>
        <v/>
      </c>
      <c r="D1343" s="5">
        <f>D588/D587-1</f>
        <v/>
      </c>
      <c r="E1343" s="5">
        <f>E588/E587-1</f>
        <v/>
      </c>
      <c r="F1343" s="5">
        <f>F588/F587-1</f>
        <v/>
      </c>
      <c r="G1343" s="5">
        <f>G588/G587-1</f>
        <v/>
      </c>
    </row>
    <row r="1344">
      <c r="A1344" s="2">
        <f>A589</f>
        <v/>
      </c>
      <c r="B1344" s="5">
        <f>B589/B588-1</f>
        <v/>
      </c>
      <c r="C1344" s="5">
        <f>C589/C588-1</f>
        <v/>
      </c>
      <c r="D1344" s="5">
        <f>D589/D588-1</f>
        <v/>
      </c>
      <c r="E1344" s="5">
        <f>E589/E588-1</f>
        <v/>
      </c>
      <c r="F1344" s="5">
        <f>F589/F588-1</f>
        <v/>
      </c>
      <c r="G1344" s="5">
        <f>G589/G588-1</f>
        <v/>
      </c>
    </row>
    <row r="1345">
      <c r="A1345" s="2">
        <f>A590</f>
        <v/>
      </c>
      <c r="B1345" s="5">
        <f>B590/B589-1</f>
        <v/>
      </c>
      <c r="C1345" s="5">
        <f>C590/C589-1</f>
        <v/>
      </c>
      <c r="D1345" s="5">
        <f>D590/D589-1</f>
        <v/>
      </c>
      <c r="E1345" s="5">
        <f>E590/E589-1</f>
        <v/>
      </c>
      <c r="F1345" s="5">
        <f>F590/F589-1</f>
        <v/>
      </c>
      <c r="G1345" s="5">
        <f>G590/G589-1</f>
        <v/>
      </c>
    </row>
    <row r="1346">
      <c r="A1346" s="2">
        <f>A591</f>
        <v/>
      </c>
      <c r="B1346" s="5">
        <f>B591/B590-1</f>
        <v/>
      </c>
      <c r="C1346" s="5">
        <f>C591/C590-1</f>
        <v/>
      </c>
      <c r="D1346" s="5">
        <f>D591/D590-1</f>
        <v/>
      </c>
      <c r="E1346" s="5">
        <f>E591/E590-1</f>
        <v/>
      </c>
      <c r="F1346" s="5">
        <f>F591/F590-1</f>
        <v/>
      </c>
      <c r="G1346" s="5">
        <f>G591/G590-1</f>
        <v/>
      </c>
    </row>
    <row r="1347">
      <c r="A1347" s="2">
        <f>A592</f>
        <v/>
      </c>
      <c r="B1347" s="5">
        <f>B592/B591-1</f>
        <v/>
      </c>
      <c r="C1347" s="5">
        <f>C592/C591-1</f>
        <v/>
      </c>
      <c r="D1347" s="5">
        <f>D592/D591-1</f>
        <v/>
      </c>
      <c r="E1347" s="5">
        <f>E592/E591-1</f>
        <v/>
      </c>
      <c r="F1347" s="5">
        <f>F592/F591-1</f>
        <v/>
      </c>
      <c r="G1347" s="5">
        <f>G592/G591-1</f>
        <v/>
      </c>
    </row>
    <row r="1348">
      <c r="A1348" s="2">
        <f>A593</f>
        <v/>
      </c>
      <c r="B1348" s="5">
        <f>B593/B592-1</f>
        <v/>
      </c>
      <c r="C1348" s="5">
        <f>C593/C592-1</f>
        <v/>
      </c>
      <c r="D1348" s="5">
        <f>D593/D592-1</f>
        <v/>
      </c>
      <c r="E1348" s="5">
        <f>E593/E592-1</f>
        <v/>
      </c>
      <c r="F1348" s="5">
        <f>F593/F592-1</f>
        <v/>
      </c>
      <c r="G1348" s="5">
        <f>G593/G592-1</f>
        <v/>
      </c>
    </row>
    <row r="1349">
      <c r="A1349" s="2">
        <f>A594</f>
        <v/>
      </c>
      <c r="B1349" s="5">
        <f>B594/B593-1</f>
        <v/>
      </c>
      <c r="C1349" s="5">
        <f>C594/C593-1</f>
        <v/>
      </c>
      <c r="D1349" s="5">
        <f>D594/D593-1</f>
        <v/>
      </c>
      <c r="E1349" s="5">
        <f>E594/E593-1</f>
        <v/>
      </c>
      <c r="F1349" s="5">
        <f>F594/F593-1</f>
        <v/>
      </c>
      <c r="G1349" s="5">
        <f>G594/G593-1</f>
        <v/>
      </c>
    </row>
    <row r="1350">
      <c r="A1350" s="2">
        <f>A595</f>
        <v/>
      </c>
      <c r="B1350" s="5">
        <f>B595/B594-1</f>
        <v/>
      </c>
      <c r="C1350" s="5">
        <f>C595/C594-1</f>
        <v/>
      </c>
      <c r="D1350" s="5">
        <f>D595/D594-1</f>
        <v/>
      </c>
      <c r="E1350" s="5">
        <f>E595/E594-1</f>
        <v/>
      </c>
      <c r="F1350" s="5">
        <f>F595/F594-1</f>
        <v/>
      </c>
      <c r="G1350" s="5">
        <f>G595/G594-1</f>
        <v/>
      </c>
    </row>
    <row r="1351">
      <c r="A1351" s="2">
        <f>A596</f>
        <v/>
      </c>
      <c r="B1351" s="5">
        <f>B596/B595-1</f>
        <v/>
      </c>
      <c r="C1351" s="5">
        <f>C596/C595-1</f>
        <v/>
      </c>
      <c r="D1351" s="5">
        <f>D596/D595-1</f>
        <v/>
      </c>
      <c r="E1351" s="5">
        <f>E596/E595-1</f>
        <v/>
      </c>
      <c r="F1351" s="5">
        <f>F596/F595-1</f>
        <v/>
      </c>
      <c r="G1351" s="5">
        <f>G596/G595-1</f>
        <v/>
      </c>
    </row>
    <row r="1352">
      <c r="A1352" s="2">
        <f>A597</f>
        <v/>
      </c>
      <c r="B1352" s="5">
        <f>B597/B596-1</f>
        <v/>
      </c>
      <c r="C1352" s="5">
        <f>C597/C596-1</f>
        <v/>
      </c>
      <c r="D1352" s="5">
        <f>D597/D596-1</f>
        <v/>
      </c>
      <c r="E1352" s="5">
        <f>E597/E596-1</f>
        <v/>
      </c>
      <c r="F1352" s="5">
        <f>F597/F596-1</f>
        <v/>
      </c>
      <c r="G1352" s="5">
        <f>G597/G596-1</f>
        <v/>
      </c>
    </row>
    <row r="1353">
      <c r="A1353" s="2">
        <f>A598</f>
        <v/>
      </c>
      <c r="B1353" s="5">
        <f>B598/B597-1</f>
        <v/>
      </c>
      <c r="C1353" s="5">
        <f>C598/C597-1</f>
        <v/>
      </c>
      <c r="D1353" s="5">
        <f>D598/D597-1</f>
        <v/>
      </c>
      <c r="E1353" s="5">
        <f>E598/E597-1</f>
        <v/>
      </c>
      <c r="F1353" s="5">
        <f>F598/F597-1</f>
        <v/>
      </c>
      <c r="G1353" s="5">
        <f>G598/G597-1</f>
        <v/>
      </c>
    </row>
    <row r="1354">
      <c r="A1354" s="2">
        <f>A599</f>
        <v/>
      </c>
      <c r="B1354" s="5">
        <f>B599/B598-1</f>
        <v/>
      </c>
      <c r="C1354" s="5">
        <f>C599/C598-1</f>
        <v/>
      </c>
      <c r="D1354" s="5">
        <f>D599/D598-1</f>
        <v/>
      </c>
      <c r="E1354" s="5">
        <f>E599/E598-1</f>
        <v/>
      </c>
      <c r="F1354" s="5">
        <f>F599/F598-1</f>
        <v/>
      </c>
      <c r="G1354" s="5">
        <f>G599/G598-1</f>
        <v/>
      </c>
    </row>
    <row r="1355">
      <c r="A1355" s="2">
        <f>A600</f>
        <v/>
      </c>
      <c r="B1355" s="5">
        <f>B600/B599-1</f>
        <v/>
      </c>
      <c r="C1355" s="5">
        <f>C600/C599-1</f>
        <v/>
      </c>
      <c r="D1355" s="5">
        <f>D600/D599-1</f>
        <v/>
      </c>
      <c r="E1355" s="5">
        <f>E600/E599-1</f>
        <v/>
      </c>
      <c r="F1355" s="5">
        <f>F600/F599-1</f>
        <v/>
      </c>
      <c r="G1355" s="5">
        <f>G600/G599-1</f>
        <v/>
      </c>
    </row>
    <row r="1356">
      <c r="A1356" s="2">
        <f>A601</f>
        <v/>
      </c>
      <c r="B1356" s="5">
        <f>B601/B600-1</f>
        <v/>
      </c>
      <c r="C1356" s="5">
        <f>C601/C600-1</f>
        <v/>
      </c>
      <c r="D1356" s="5">
        <f>D601/D600-1</f>
        <v/>
      </c>
      <c r="E1356" s="5">
        <f>E601/E600-1</f>
        <v/>
      </c>
      <c r="F1356" s="5">
        <f>F601/F600-1</f>
        <v/>
      </c>
      <c r="G1356" s="5">
        <f>G601/G600-1</f>
        <v/>
      </c>
    </row>
    <row r="1357">
      <c r="A1357" s="2">
        <f>A602</f>
        <v/>
      </c>
      <c r="B1357" s="5">
        <f>B602/B601-1</f>
        <v/>
      </c>
      <c r="C1357" s="5">
        <f>C602/C601-1</f>
        <v/>
      </c>
      <c r="D1357" s="5">
        <f>D602/D601-1</f>
        <v/>
      </c>
      <c r="E1357" s="5">
        <f>E602/E601-1</f>
        <v/>
      </c>
      <c r="F1357" s="5">
        <f>F602/F601-1</f>
        <v/>
      </c>
      <c r="G1357" s="5">
        <f>G602/G601-1</f>
        <v/>
      </c>
    </row>
    <row r="1358">
      <c r="A1358" s="2">
        <f>A603</f>
        <v/>
      </c>
      <c r="B1358" s="5">
        <f>B603/B602-1</f>
        <v/>
      </c>
      <c r="C1358" s="5">
        <f>C603/C602-1</f>
        <v/>
      </c>
      <c r="D1358" s="5">
        <f>D603/D602-1</f>
        <v/>
      </c>
      <c r="E1358" s="5">
        <f>E603/E602-1</f>
        <v/>
      </c>
      <c r="F1358" s="5">
        <f>F603/F602-1</f>
        <v/>
      </c>
      <c r="G1358" s="5">
        <f>G603/G602-1</f>
        <v/>
      </c>
    </row>
    <row r="1359">
      <c r="A1359" s="2">
        <f>A604</f>
        <v/>
      </c>
      <c r="B1359" s="5">
        <f>B604/B603-1</f>
        <v/>
      </c>
      <c r="C1359" s="5">
        <f>C604/C603-1</f>
        <v/>
      </c>
      <c r="D1359" s="5">
        <f>D604/D603-1</f>
        <v/>
      </c>
      <c r="E1359" s="5">
        <f>E604/E603-1</f>
        <v/>
      </c>
      <c r="F1359" s="5">
        <f>F604/F603-1</f>
        <v/>
      </c>
      <c r="G1359" s="5">
        <f>G604/G603-1</f>
        <v/>
      </c>
    </row>
    <row r="1360">
      <c r="A1360" s="2">
        <f>A605</f>
        <v/>
      </c>
      <c r="B1360" s="5">
        <f>B605/B604-1</f>
        <v/>
      </c>
      <c r="C1360" s="5">
        <f>C605/C604-1</f>
        <v/>
      </c>
      <c r="D1360" s="5">
        <f>D605/D604-1</f>
        <v/>
      </c>
      <c r="E1360" s="5">
        <f>E605/E604-1</f>
        <v/>
      </c>
      <c r="F1360" s="5">
        <f>F605/F604-1</f>
        <v/>
      </c>
      <c r="G1360" s="5">
        <f>G605/G604-1</f>
        <v/>
      </c>
    </row>
    <row r="1361">
      <c r="A1361" s="2">
        <f>A606</f>
        <v/>
      </c>
      <c r="B1361" s="5">
        <f>B606/B605-1</f>
        <v/>
      </c>
      <c r="C1361" s="5">
        <f>C606/C605-1</f>
        <v/>
      </c>
      <c r="D1361" s="5">
        <f>D606/D605-1</f>
        <v/>
      </c>
      <c r="E1361" s="5">
        <f>E606/E605-1</f>
        <v/>
      </c>
      <c r="F1361" s="5">
        <f>F606/F605-1</f>
        <v/>
      </c>
      <c r="G1361" s="5">
        <f>G606/G605-1</f>
        <v/>
      </c>
    </row>
    <row r="1362">
      <c r="A1362" s="2">
        <f>A607</f>
        <v/>
      </c>
      <c r="B1362" s="5">
        <f>B607/B606-1</f>
        <v/>
      </c>
      <c r="C1362" s="5">
        <f>C607/C606-1</f>
        <v/>
      </c>
      <c r="D1362" s="5">
        <f>D607/D606-1</f>
        <v/>
      </c>
      <c r="E1362" s="5">
        <f>E607/E606-1</f>
        <v/>
      </c>
      <c r="F1362" s="5">
        <f>F607/F606-1</f>
        <v/>
      </c>
      <c r="G1362" s="5">
        <f>G607/G606-1</f>
        <v/>
      </c>
    </row>
    <row r="1363">
      <c r="A1363" s="2">
        <f>A608</f>
        <v/>
      </c>
      <c r="B1363" s="5">
        <f>B608/B607-1</f>
        <v/>
      </c>
      <c r="C1363" s="5">
        <f>C608/C607-1</f>
        <v/>
      </c>
      <c r="D1363" s="5">
        <f>D608/D607-1</f>
        <v/>
      </c>
      <c r="E1363" s="5">
        <f>E608/E607-1</f>
        <v/>
      </c>
      <c r="F1363" s="5">
        <f>F608/F607-1</f>
        <v/>
      </c>
      <c r="G1363" s="5">
        <f>G608/G607-1</f>
        <v/>
      </c>
    </row>
    <row r="1364">
      <c r="A1364" s="2">
        <f>A609</f>
        <v/>
      </c>
      <c r="B1364" s="5">
        <f>B609/B608-1</f>
        <v/>
      </c>
      <c r="C1364" s="5">
        <f>C609/C608-1</f>
        <v/>
      </c>
      <c r="D1364" s="5">
        <f>D609/D608-1</f>
        <v/>
      </c>
      <c r="E1364" s="5">
        <f>E609/E608-1</f>
        <v/>
      </c>
      <c r="F1364" s="5">
        <f>F609/F608-1</f>
        <v/>
      </c>
      <c r="G1364" s="5">
        <f>G609/G608-1</f>
        <v/>
      </c>
    </row>
    <row r="1365">
      <c r="A1365" s="2">
        <f>A610</f>
        <v/>
      </c>
      <c r="B1365" s="5">
        <f>B610/B609-1</f>
        <v/>
      </c>
      <c r="C1365" s="5">
        <f>C610/C609-1</f>
        <v/>
      </c>
      <c r="D1365" s="5">
        <f>D610/D609-1</f>
        <v/>
      </c>
      <c r="E1365" s="5">
        <f>E610/E609-1</f>
        <v/>
      </c>
      <c r="F1365" s="5">
        <f>F610/F609-1</f>
        <v/>
      </c>
      <c r="G1365" s="5">
        <f>G610/G609-1</f>
        <v/>
      </c>
    </row>
    <row r="1366">
      <c r="A1366" s="2">
        <f>A611</f>
        <v/>
      </c>
      <c r="B1366" s="5">
        <f>B611/B610-1</f>
        <v/>
      </c>
      <c r="C1366" s="5">
        <f>C611/C610-1</f>
        <v/>
      </c>
      <c r="D1366" s="5">
        <f>D611/D610-1</f>
        <v/>
      </c>
      <c r="E1366" s="5">
        <f>E611/E610-1</f>
        <v/>
      </c>
      <c r="F1366" s="5">
        <f>F611/F610-1</f>
        <v/>
      </c>
      <c r="G1366" s="5">
        <f>G611/G610-1</f>
        <v/>
      </c>
    </row>
    <row r="1367">
      <c r="A1367" s="2">
        <f>A612</f>
        <v/>
      </c>
      <c r="B1367" s="5">
        <f>B612/B611-1</f>
        <v/>
      </c>
      <c r="C1367" s="5">
        <f>C612/C611-1</f>
        <v/>
      </c>
      <c r="D1367" s="5">
        <f>D612/D611-1</f>
        <v/>
      </c>
      <c r="E1367" s="5">
        <f>E612/E611-1</f>
        <v/>
      </c>
      <c r="F1367" s="5">
        <f>F612/F611-1</f>
        <v/>
      </c>
      <c r="G1367" s="5">
        <f>G612/G611-1</f>
        <v/>
      </c>
    </row>
    <row r="1368">
      <c r="A1368" s="2">
        <f>A613</f>
        <v/>
      </c>
      <c r="B1368" s="5">
        <f>B613/B612-1</f>
        <v/>
      </c>
      <c r="C1368" s="5">
        <f>C613/C612-1</f>
        <v/>
      </c>
      <c r="D1368" s="5">
        <f>D613/D612-1</f>
        <v/>
      </c>
      <c r="E1368" s="5">
        <f>E613/E612-1</f>
        <v/>
      </c>
      <c r="F1368" s="5">
        <f>F613/F612-1</f>
        <v/>
      </c>
      <c r="G1368" s="5">
        <f>G613/G612-1</f>
        <v/>
      </c>
    </row>
    <row r="1369">
      <c r="A1369" s="2">
        <f>A614</f>
        <v/>
      </c>
      <c r="B1369" s="5">
        <f>B614/B613-1</f>
        <v/>
      </c>
      <c r="C1369" s="5">
        <f>C614/C613-1</f>
        <v/>
      </c>
      <c r="D1369" s="5">
        <f>D614/D613-1</f>
        <v/>
      </c>
      <c r="E1369" s="5">
        <f>E614/E613-1</f>
        <v/>
      </c>
      <c r="F1369" s="5">
        <f>F614/F613-1</f>
        <v/>
      </c>
      <c r="G1369" s="5">
        <f>G614/G613-1</f>
        <v/>
      </c>
    </row>
    <row r="1370">
      <c r="A1370" s="2">
        <f>A615</f>
        <v/>
      </c>
      <c r="B1370" s="5">
        <f>B615/B614-1</f>
        <v/>
      </c>
      <c r="C1370" s="5">
        <f>C615/C614-1</f>
        <v/>
      </c>
      <c r="D1370" s="5">
        <f>D615/D614-1</f>
        <v/>
      </c>
      <c r="E1370" s="5">
        <f>E615/E614-1</f>
        <v/>
      </c>
      <c r="F1370" s="5">
        <f>F615/F614-1</f>
        <v/>
      </c>
      <c r="G1370" s="5">
        <f>G615/G614-1</f>
        <v/>
      </c>
    </row>
    <row r="1371">
      <c r="A1371" s="2">
        <f>A616</f>
        <v/>
      </c>
      <c r="B1371" s="5">
        <f>B616/B615-1</f>
        <v/>
      </c>
      <c r="C1371" s="5">
        <f>C616/C615-1</f>
        <v/>
      </c>
      <c r="D1371" s="5">
        <f>D616/D615-1</f>
        <v/>
      </c>
      <c r="E1371" s="5">
        <f>E616/E615-1</f>
        <v/>
      </c>
      <c r="F1371" s="5">
        <f>F616/F615-1</f>
        <v/>
      </c>
      <c r="G1371" s="5">
        <f>G616/G615-1</f>
        <v/>
      </c>
    </row>
    <row r="1372">
      <c r="A1372" s="2">
        <f>A617</f>
        <v/>
      </c>
      <c r="B1372" s="5">
        <f>B617/B616-1</f>
        <v/>
      </c>
      <c r="C1372" s="5">
        <f>C617/C616-1</f>
        <v/>
      </c>
      <c r="D1372" s="5">
        <f>D617/D616-1</f>
        <v/>
      </c>
      <c r="E1372" s="5">
        <f>E617/E616-1</f>
        <v/>
      </c>
      <c r="F1372" s="5">
        <f>F617/F616-1</f>
        <v/>
      </c>
      <c r="G1372" s="5">
        <f>G617/G616-1</f>
        <v/>
      </c>
    </row>
    <row r="1373">
      <c r="A1373" s="2">
        <f>A618</f>
        <v/>
      </c>
      <c r="B1373" s="5">
        <f>B618/B617-1</f>
        <v/>
      </c>
      <c r="C1373" s="5">
        <f>C618/C617-1</f>
        <v/>
      </c>
      <c r="D1373" s="5">
        <f>D618/D617-1</f>
        <v/>
      </c>
      <c r="E1373" s="5">
        <f>E618/E617-1</f>
        <v/>
      </c>
      <c r="F1373" s="5">
        <f>F618/F617-1</f>
        <v/>
      </c>
      <c r="G1373" s="5">
        <f>G618/G617-1</f>
        <v/>
      </c>
    </row>
    <row r="1374">
      <c r="A1374" s="2">
        <f>A619</f>
        <v/>
      </c>
      <c r="B1374" s="5">
        <f>B619/B618-1</f>
        <v/>
      </c>
      <c r="C1374" s="5">
        <f>C619/C618-1</f>
        <v/>
      </c>
      <c r="D1374" s="5">
        <f>D619/D618-1</f>
        <v/>
      </c>
      <c r="E1374" s="5">
        <f>E619/E618-1</f>
        <v/>
      </c>
      <c r="F1374" s="5">
        <f>F619/F618-1</f>
        <v/>
      </c>
      <c r="G1374" s="5">
        <f>G619/G618-1</f>
        <v/>
      </c>
    </row>
    <row r="1375">
      <c r="A1375" s="2">
        <f>A620</f>
        <v/>
      </c>
      <c r="B1375" s="5">
        <f>B620/B619-1</f>
        <v/>
      </c>
      <c r="C1375" s="5">
        <f>C620/C619-1</f>
        <v/>
      </c>
      <c r="D1375" s="5">
        <f>D620/D619-1</f>
        <v/>
      </c>
      <c r="E1375" s="5">
        <f>E620/E619-1</f>
        <v/>
      </c>
      <c r="F1375" s="5">
        <f>F620/F619-1</f>
        <v/>
      </c>
      <c r="G1375" s="5">
        <f>G620/G619-1</f>
        <v/>
      </c>
    </row>
    <row r="1376">
      <c r="A1376" s="2">
        <f>A621</f>
        <v/>
      </c>
      <c r="B1376" s="5">
        <f>B621/B620-1</f>
        <v/>
      </c>
      <c r="C1376" s="5">
        <f>C621/C620-1</f>
        <v/>
      </c>
      <c r="D1376" s="5">
        <f>D621/D620-1</f>
        <v/>
      </c>
      <c r="E1376" s="5">
        <f>E621/E620-1</f>
        <v/>
      </c>
      <c r="F1376" s="5">
        <f>F621/F620-1</f>
        <v/>
      </c>
      <c r="G1376" s="5">
        <f>G621/G620-1</f>
        <v/>
      </c>
    </row>
    <row r="1377">
      <c r="A1377" s="2">
        <f>A622</f>
        <v/>
      </c>
      <c r="B1377" s="5">
        <f>B622/B621-1</f>
        <v/>
      </c>
      <c r="C1377" s="5">
        <f>C622/C621-1</f>
        <v/>
      </c>
      <c r="D1377" s="5">
        <f>D622/D621-1</f>
        <v/>
      </c>
      <c r="E1377" s="5">
        <f>E622/E621-1</f>
        <v/>
      </c>
      <c r="F1377" s="5">
        <f>F622/F621-1</f>
        <v/>
      </c>
      <c r="G1377" s="5">
        <f>G622/G621-1</f>
        <v/>
      </c>
    </row>
    <row r="1378">
      <c r="A1378" s="2">
        <f>A623</f>
        <v/>
      </c>
      <c r="B1378" s="5">
        <f>B623/B622-1</f>
        <v/>
      </c>
      <c r="C1378" s="5">
        <f>C623/C622-1</f>
        <v/>
      </c>
      <c r="D1378" s="5">
        <f>D623/D622-1</f>
        <v/>
      </c>
      <c r="E1378" s="5">
        <f>E623/E622-1</f>
        <v/>
      </c>
      <c r="F1378" s="5">
        <f>F623/F622-1</f>
        <v/>
      </c>
      <c r="G1378" s="5">
        <f>G623/G622-1</f>
        <v/>
      </c>
    </row>
    <row r="1379">
      <c r="A1379" s="2">
        <f>A624</f>
        <v/>
      </c>
      <c r="B1379" s="5">
        <f>B624/B623-1</f>
        <v/>
      </c>
      <c r="C1379" s="5">
        <f>C624/C623-1</f>
        <v/>
      </c>
      <c r="D1379" s="5">
        <f>D624/D623-1</f>
        <v/>
      </c>
      <c r="E1379" s="5">
        <f>E624/E623-1</f>
        <v/>
      </c>
      <c r="F1379" s="5">
        <f>F624/F623-1</f>
        <v/>
      </c>
      <c r="G1379" s="5">
        <f>G624/G623-1</f>
        <v/>
      </c>
    </row>
    <row r="1380">
      <c r="A1380" s="2">
        <f>A625</f>
        <v/>
      </c>
      <c r="B1380" s="5">
        <f>B625/B624-1</f>
        <v/>
      </c>
      <c r="C1380" s="5">
        <f>C625/C624-1</f>
        <v/>
      </c>
      <c r="D1380" s="5">
        <f>D625/D624-1</f>
        <v/>
      </c>
      <c r="E1380" s="5">
        <f>E625/E624-1</f>
        <v/>
      </c>
      <c r="F1380" s="5">
        <f>F625/F624-1</f>
        <v/>
      </c>
      <c r="G1380" s="5">
        <f>G625/G624-1</f>
        <v/>
      </c>
    </row>
    <row r="1381">
      <c r="A1381" s="2">
        <f>A626</f>
        <v/>
      </c>
      <c r="B1381" s="5">
        <f>B626/B625-1</f>
        <v/>
      </c>
      <c r="C1381" s="5">
        <f>C626/C625-1</f>
        <v/>
      </c>
      <c r="D1381" s="5">
        <f>D626/D625-1</f>
        <v/>
      </c>
      <c r="E1381" s="5">
        <f>E626/E625-1</f>
        <v/>
      </c>
      <c r="F1381" s="5">
        <f>F626/F625-1</f>
        <v/>
      </c>
      <c r="G1381" s="5">
        <f>G626/G625-1</f>
        <v/>
      </c>
    </row>
    <row r="1382">
      <c r="A1382" s="2">
        <f>A627</f>
        <v/>
      </c>
      <c r="B1382" s="5">
        <f>B627/B626-1</f>
        <v/>
      </c>
      <c r="C1382" s="5">
        <f>C627/C626-1</f>
        <v/>
      </c>
      <c r="D1382" s="5">
        <f>D627/D626-1</f>
        <v/>
      </c>
      <c r="E1382" s="5">
        <f>E627/E626-1</f>
        <v/>
      </c>
      <c r="F1382" s="5">
        <f>F627/F626-1</f>
        <v/>
      </c>
      <c r="G1382" s="5">
        <f>G627/G626-1</f>
        <v/>
      </c>
    </row>
    <row r="1383">
      <c r="A1383" s="2">
        <f>A628</f>
        <v/>
      </c>
      <c r="B1383" s="5">
        <f>B628/B627-1</f>
        <v/>
      </c>
      <c r="C1383" s="5">
        <f>C628/C627-1</f>
        <v/>
      </c>
      <c r="D1383" s="5">
        <f>D628/D627-1</f>
        <v/>
      </c>
      <c r="E1383" s="5">
        <f>E628/E627-1</f>
        <v/>
      </c>
      <c r="F1383" s="5">
        <f>F628/F627-1</f>
        <v/>
      </c>
      <c r="G1383" s="5">
        <f>G628/G627-1</f>
        <v/>
      </c>
    </row>
    <row r="1384">
      <c r="A1384" s="2">
        <f>A629</f>
        <v/>
      </c>
      <c r="B1384" s="5">
        <f>B629/B628-1</f>
        <v/>
      </c>
      <c r="C1384" s="5">
        <f>C629/C628-1</f>
        <v/>
      </c>
      <c r="D1384" s="5">
        <f>D629/D628-1</f>
        <v/>
      </c>
      <c r="E1384" s="5">
        <f>E629/E628-1</f>
        <v/>
      </c>
      <c r="F1384" s="5">
        <f>F629/F628-1</f>
        <v/>
      </c>
      <c r="G1384" s="5">
        <f>G629/G628-1</f>
        <v/>
      </c>
    </row>
    <row r="1385">
      <c r="A1385" s="2">
        <f>A630</f>
        <v/>
      </c>
      <c r="B1385" s="5">
        <f>B630/B629-1</f>
        <v/>
      </c>
      <c r="C1385" s="5">
        <f>C630/C629-1</f>
        <v/>
      </c>
      <c r="D1385" s="5">
        <f>D630/D629-1</f>
        <v/>
      </c>
      <c r="E1385" s="5">
        <f>E630/E629-1</f>
        <v/>
      </c>
      <c r="F1385" s="5">
        <f>F630/F629-1</f>
        <v/>
      </c>
      <c r="G1385" s="5">
        <f>G630/G629-1</f>
        <v/>
      </c>
    </row>
    <row r="1386">
      <c r="A1386" s="2">
        <f>A631</f>
        <v/>
      </c>
      <c r="B1386" s="5">
        <f>B631/B630-1</f>
        <v/>
      </c>
      <c r="C1386" s="5">
        <f>C631/C630-1</f>
        <v/>
      </c>
      <c r="D1386" s="5">
        <f>D631/D630-1</f>
        <v/>
      </c>
      <c r="E1386" s="5">
        <f>E631/E630-1</f>
        <v/>
      </c>
      <c r="F1386" s="5">
        <f>F631/F630-1</f>
        <v/>
      </c>
      <c r="G1386" s="5">
        <f>G631/G630-1</f>
        <v/>
      </c>
    </row>
    <row r="1387">
      <c r="A1387" s="2">
        <f>A632</f>
        <v/>
      </c>
      <c r="B1387" s="5">
        <f>B632/B631-1</f>
        <v/>
      </c>
      <c r="C1387" s="5">
        <f>C632/C631-1</f>
        <v/>
      </c>
      <c r="D1387" s="5">
        <f>D632/D631-1</f>
        <v/>
      </c>
      <c r="E1387" s="5">
        <f>E632/E631-1</f>
        <v/>
      </c>
      <c r="F1387" s="5">
        <f>F632/F631-1</f>
        <v/>
      </c>
      <c r="G1387" s="5">
        <f>G632/G631-1</f>
        <v/>
      </c>
    </row>
    <row r="1388">
      <c r="A1388" s="2">
        <f>A633</f>
        <v/>
      </c>
      <c r="B1388" s="5">
        <f>B633/B632-1</f>
        <v/>
      </c>
      <c r="C1388" s="5">
        <f>C633/C632-1</f>
        <v/>
      </c>
      <c r="D1388" s="5">
        <f>D633/D632-1</f>
        <v/>
      </c>
      <c r="E1388" s="5">
        <f>E633/E632-1</f>
        <v/>
      </c>
      <c r="F1388" s="5">
        <f>F633/F632-1</f>
        <v/>
      </c>
      <c r="G1388" s="5">
        <f>G633/G632-1</f>
        <v/>
      </c>
    </row>
    <row r="1389">
      <c r="A1389" s="2">
        <f>A634</f>
        <v/>
      </c>
      <c r="B1389" s="5">
        <f>B634/B633-1</f>
        <v/>
      </c>
      <c r="C1389" s="5">
        <f>C634/C633-1</f>
        <v/>
      </c>
      <c r="D1389" s="5">
        <f>D634/D633-1</f>
        <v/>
      </c>
      <c r="E1389" s="5">
        <f>E634/E633-1</f>
        <v/>
      </c>
      <c r="F1389" s="5">
        <f>F634/F633-1</f>
        <v/>
      </c>
      <c r="G1389" s="5">
        <f>G634/G633-1</f>
        <v/>
      </c>
    </row>
    <row r="1390">
      <c r="A1390" s="2">
        <f>A635</f>
        <v/>
      </c>
      <c r="B1390" s="5">
        <f>B635/B634-1</f>
        <v/>
      </c>
      <c r="C1390" s="5">
        <f>C635/C634-1</f>
        <v/>
      </c>
      <c r="D1390" s="5">
        <f>D635/D634-1</f>
        <v/>
      </c>
      <c r="E1390" s="5">
        <f>E635/E634-1</f>
        <v/>
      </c>
      <c r="F1390" s="5">
        <f>F635/F634-1</f>
        <v/>
      </c>
      <c r="G1390" s="5">
        <f>G635/G634-1</f>
        <v/>
      </c>
    </row>
    <row r="1391">
      <c r="A1391" s="2">
        <f>A636</f>
        <v/>
      </c>
      <c r="B1391" s="5">
        <f>B636/B635-1</f>
        <v/>
      </c>
      <c r="C1391" s="5">
        <f>C636/C635-1</f>
        <v/>
      </c>
      <c r="D1391" s="5">
        <f>D636/D635-1</f>
        <v/>
      </c>
      <c r="E1391" s="5">
        <f>E636/E635-1</f>
        <v/>
      </c>
      <c r="F1391" s="5">
        <f>F636/F635-1</f>
        <v/>
      </c>
      <c r="G1391" s="5">
        <f>G636/G635-1</f>
        <v/>
      </c>
    </row>
    <row r="1392">
      <c r="A1392" s="2">
        <f>A637</f>
        <v/>
      </c>
      <c r="B1392" s="5">
        <f>B637/B636-1</f>
        <v/>
      </c>
      <c r="C1392" s="5">
        <f>C637/C636-1</f>
        <v/>
      </c>
      <c r="D1392" s="5">
        <f>D637/D636-1</f>
        <v/>
      </c>
      <c r="E1392" s="5">
        <f>E637/E636-1</f>
        <v/>
      </c>
      <c r="F1392" s="5">
        <f>F637/F636-1</f>
        <v/>
      </c>
      <c r="G1392" s="5">
        <f>G637/G636-1</f>
        <v/>
      </c>
    </row>
    <row r="1393">
      <c r="A1393" s="2">
        <f>A638</f>
        <v/>
      </c>
      <c r="B1393" s="5">
        <f>B638/B637-1</f>
        <v/>
      </c>
      <c r="C1393" s="5">
        <f>C638/C637-1</f>
        <v/>
      </c>
      <c r="D1393" s="5">
        <f>D638/D637-1</f>
        <v/>
      </c>
      <c r="E1393" s="5">
        <f>E638/E637-1</f>
        <v/>
      </c>
      <c r="F1393" s="5">
        <f>F638/F637-1</f>
        <v/>
      </c>
      <c r="G1393" s="5">
        <f>G638/G637-1</f>
        <v/>
      </c>
    </row>
    <row r="1394">
      <c r="A1394" s="2">
        <f>A639</f>
        <v/>
      </c>
      <c r="B1394" s="5">
        <f>B639/B638-1</f>
        <v/>
      </c>
      <c r="C1394" s="5">
        <f>C639/C638-1</f>
        <v/>
      </c>
      <c r="D1394" s="5">
        <f>D639/D638-1</f>
        <v/>
      </c>
      <c r="E1394" s="5">
        <f>E639/E638-1</f>
        <v/>
      </c>
      <c r="F1394" s="5">
        <f>F639/F638-1</f>
        <v/>
      </c>
      <c r="G1394" s="5">
        <f>G639/G638-1</f>
        <v/>
      </c>
    </row>
    <row r="1395">
      <c r="A1395" s="2">
        <f>A640</f>
        <v/>
      </c>
      <c r="B1395" s="5">
        <f>B640/B639-1</f>
        <v/>
      </c>
      <c r="C1395" s="5">
        <f>C640/C639-1</f>
        <v/>
      </c>
      <c r="D1395" s="5">
        <f>D640/D639-1</f>
        <v/>
      </c>
      <c r="E1395" s="5">
        <f>E640/E639-1</f>
        <v/>
      </c>
      <c r="F1395" s="5">
        <f>F640/F639-1</f>
        <v/>
      </c>
      <c r="G1395" s="5">
        <f>G640/G639-1</f>
        <v/>
      </c>
    </row>
    <row r="1396">
      <c r="A1396" s="2">
        <f>A641</f>
        <v/>
      </c>
      <c r="B1396" s="5">
        <f>B641/B640-1</f>
        <v/>
      </c>
      <c r="C1396" s="5">
        <f>C641/C640-1</f>
        <v/>
      </c>
      <c r="D1396" s="5">
        <f>D641/D640-1</f>
        <v/>
      </c>
      <c r="E1396" s="5">
        <f>E641/E640-1</f>
        <v/>
      </c>
      <c r="F1396" s="5">
        <f>F641/F640-1</f>
        <v/>
      </c>
      <c r="G1396" s="5">
        <f>G641/G640-1</f>
        <v/>
      </c>
    </row>
    <row r="1397">
      <c r="A1397" s="2">
        <f>A642</f>
        <v/>
      </c>
      <c r="B1397" s="5">
        <f>B642/B641-1</f>
        <v/>
      </c>
      <c r="C1397" s="5">
        <f>C642/C641-1</f>
        <v/>
      </c>
      <c r="D1397" s="5">
        <f>D642/D641-1</f>
        <v/>
      </c>
      <c r="E1397" s="5">
        <f>E642/E641-1</f>
        <v/>
      </c>
      <c r="F1397" s="5">
        <f>F642/F641-1</f>
        <v/>
      </c>
      <c r="G1397" s="5">
        <f>G642/G641-1</f>
        <v/>
      </c>
    </row>
    <row r="1398">
      <c r="A1398" s="2">
        <f>A643</f>
        <v/>
      </c>
      <c r="B1398" s="5">
        <f>B643/B642-1</f>
        <v/>
      </c>
      <c r="C1398" s="5">
        <f>C643/C642-1</f>
        <v/>
      </c>
      <c r="D1398" s="5">
        <f>D643/D642-1</f>
        <v/>
      </c>
      <c r="E1398" s="5">
        <f>E643/E642-1</f>
        <v/>
      </c>
      <c r="F1398" s="5">
        <f>F643/F642-1</f>
        <v/>
      </c>
      <c r="G1398" s="5">
        <f>G643/G642-1</f>
        <v/>
      </c>
    </row>
    <row r="1399">
      <c r="A1399" s="2">
        <f>A644</f>
        <v/>
      </c>
      <c r="B1399" s="5">
        <f>B644/B643-1</f>
        <v/>
      </c>
      <c r="C1399" s="5">
        <f>C644/C643-1</f>
        <v/>
      </c>
      <c r="D1399" s="5">
        <f>D644/D643-1</f>
        <v/>
      </c>
      <c r="E1399" s="5">
        <f>E644/E643-1</f>
        <v/>
      </c>
      <c r="F1399" s="5">
        <f>F644/F643-1</f>
        <v/>
      </c>
      <c r="G1399" s="5">
        <f>G644/G643-1</f>
        <v/>
      </c>
    </row>
    <row r="1400">
      <c r="A1400" s="2">
        <f>A645</f>
        <v/>
      </c>
      <c r="B1400" s="5">
        <f>B645/B644-1</f>
        <v/>
      </c>
      <c r="C1400" s="5">
        <f>C645/C644-1</f>
        <v/>
      </c>
      <c r="D1400" s="5">
        <f>D645/D644-1</f>
        <v/>
      </c>
      <c r="E1400" s="5">
        <f>E645/E644-1</f>
        <v/>
      </c>
      <c r="F1400" s="5">
        <f>F645/F644-1</f>
        <v/>
      </c>
      <c r="G1400" s="5">
        <f>G645/G644-1</f>
        <v/>
      </c>
    </row>
    <row r="1401">
      <c r="A1401" s="2">
        <f>A646</f>
        <v/>
      </c>
      <c r="B1401" s="5">
        <f>B646/B645-1</f>
        <v/>
      </c>
      <c r="C1401" s="5">
        <f>C646/C645-1</f>
        <v/>
      </c>
      <c r="D1401" s="5">
        <f>D646/D645-1</f>
        <v/>
      </c>
      <c r="E1401" s="5">
        <f>E646/E645-1</f>
        <v/>
      </c>
      <c r="F1401" s="5">
        <f>F646/F645-1</f>
        <v/>
      </c>
      <c r="G1401" s="5">
        <f>G646/G645-1</f>
        <v/>
      </c>
    </row>
    <row r="1402">
      <c r="A1402" s="2">
        <f>A647</f>
        <v/>
      </c>
      <c r="B1402" s="5">
        <f>B647/B646-1</f>
        <v/>
      </c>
      <c r="C1402" s="5">
        <f>C647/C646-1</f>
        <v/>
      </c>
      <c r="D1402" s="5">
        <f>D647/D646-1</f>
        <v/>
      </c>
      <c r="E1402" s="5">
        <f>E647/E646-1</f>
        <v/>
      </c>
      <c r="F1402" s="5">
        <f>F647/F646-1</f>
        <v/>
      </c>
      <c r="G1402" s="5">
        <f>G647/G646-1</f>
        <v/>
      </c>
    </row>
    <row r="1403">
      <c r="A1403" s="2">
        <f>A648</f>
        <v/>
      </c>
      <c r="B1403" s="5">
        <f>B648/B647-1</f>
        <v/>
      </c>
      <c r="C1403" s="5">
        <f>C648/C647-1</f>
        <v/>
      </c>
      <c r="D1403" s="5">
        <f>D648/D647-1</f>
        <v/>
      </c>
      <c r="E1403" s="5">
        <f>E648/E647-1</f>
        <v/>
      </c>
      <c r="F1403" s="5">
        <f>F648/F647-1</f>
        <v/>
      </c>
      <c r="G1403" s="5">
        <f>G648/G647-1</f>
        <v/>
      </c>
    </row>
    <row r="1404">
      <c r="A1404" s="2">
        <f>A649</f>
        <v/>
      </c>
      <c r="B1404" s="5">
        <f>B649/B648-1</f>
        <v/>
      </c>
      <c r="C1404" s="5">
        <f>C649/C648-1</f>
        <v/>
      </c>
      <c r="D1404" s="5">
        <f>D649/D648-1</f>
        <v/>
      </c>
      <c r="E1404" s="5">
        <f>E649/E648-1</f>
        <v/>
      </c>
      <c r="F1404" s="5">
        <f>F649/F648-1</f>
        <v/>
      </c>
      <c r="G1404" s="5">
        <f>G649/G648-1</f>
        <v/>
      </c>
    </row>
    <row r="1405">
      <c r="A1405" s="2">
        <f>A650</f>
        <v/>
      </c>
      <c r="B1405" s="5">
        <f>B650/B649-1</f>
        <v/>
      </c>
      <c r="C1405" s="5">
        <f>C650/C649-1</f>
        <v/>
      </c>
      <c r="D1405" s="5">
        <f>D650/D649-1</f>
        <v/>
      </c>
      <c r="E1405" s="5">
        <f>E650/E649-1</f>
        <v/>
      </c>
      <c r="F1405" s="5">
        <f>F650/F649-1</f>
        <v/>
      </c>
      <c r="G1405" s="5">
        <f>G650/G649-1</f>
        <v/>
      </c>
    </row>
    <row r="1406">
      <c r="A1406" s="2">
        <f>A651</f>
        <v/>
      </c>
      <c r="B1406" s="5">
        <f>B651/B650-1</f>
        <v/>
      </c>
      <c r="C1406" s="5">
        <f>C651/C650-1</f>
        <v/>
      </c>
      <c r="D1406" s="5">
        <f>D651/D650-1</f>
        <v/>
      </c>
      <c r="E1406" s="5">
        <f>E651/E650-1</f>
        <v/>
      </c>
      <c r="F1406" s="5">
        <f>F651/F650-1</f>
        <v/>
      </c>
      <c r="G1406" s="5">
        <f>G651/G650-1</f>
        <v/>
      </c>
    </row>
    <row r="1407">
      <c r="A1407" s="2">
        <f>A652</f>
        <v/>
      </c>
      <c r="B1407" s="5">
        <f>B652/B651-1</f>
        <v/>
      </c>
      <c r="C1407" s="5">
        <f>C652/C651-1</f>
        <v/>
      </c>
      <c r="D1407" s="5">
        <f>D652/D651-1</f>
        <v/>
      </c>
      <c r="E1407" s="5">
        <f>E652/E651-1</f>
        <v/>
      </c>
      <c r="F1407" s="5">
        <f>F652/F651-1</f>
        <v/>
      </c>
      <c r="G1407" s="5">
        <f>G652/G651-1</f>
        <v/>
      </c>
    </row>
    <row r="1408">
      <c r="A1408" s="2">
        <f>A653</f>
        <v/>
      </c>
      <c r="B1408" s="5">
        <f>B653/B652-1</f>
        <v/>
      </c>
      <c r="C1408" s="5">
        <f>C653/C652-1</f>
        <v/>
      </c>
      <c r="D1408" s="5">
        <f>D653/D652-1</f>
        <v/>
      </c>
      <c r="E1408" s="5">
        <f>E653/E652-1</f>
        <v/>
      </c>
      <c r="F1408" s="5">
        <f>F653/F652-1</f>
        <v/>
      </c>
      <c r="G1408" s="5">
        <f>G653/G652-1</f>
        <v/>
      </c>
    </row>
    <row r="1409">
      <c r="A1409" s="2">
        <f>A654</f>
        <v/>
      </c>
      <c r="B1409" s="5">
        <f>B654/B653-1</f>
        <v/>
      </c>
      <c r="C1409" s="5">
        <f>C654/C653-1</f>
        <v/>
      </c>
      <c r="D1409" s="5">
        <f>D654/D653-1</f>
        <v/>
      </c>
      <c r="E1409" s="5">
        <f>E654/E653-1</f>
        <v/>
      </c>
      <c r="F1409" s="5">
        <f>F654/F653-1</f>
        <v/>
      </c>
      <c r="G1409" s="5">
        <f>G654/G653-1</f>
        <v/>
      </c>
    </row>
    <row r="1410">
      <c r="A1410" s="2">
        <f>A655</f>
        <v/>
      </c>
      <c r="B1410" s="5">
        <f>B655/B654-1</f>
        <v/>
      </c>
      <c r="C1410" s="5">
        <f>C655/C654-1</f>
        <v/>
      </c>
      <c r="D1410" s="5">
        <f>D655/D654-1</f>
        <v/>
      </c>
      <c r="E1410" s="5">
        <f>E655/E654-1</f>
        <v/>
      </c>
      <c r="F1410" s="5">
        <f>F655/F654-1</f>
        <v/>
      </c>
      <c r="G1410" s="5">
        <f>G655/G654-1</f>
        <v/>
      </c>
    </row>
    <row r="1411">
      <c r="A1411" s="2">
        <f>A656</f>
        <v/>
      </c>
      <c r="B1411" s="5">
        <f>B656/B655-1</f>
        <v/>
      </c>
      <c r="C1411" s="5">
        <f>C656/C655-1</f>
        <v/>
      </c>
      <c r="D1411" s="5">
        <f>D656/D655-1</f>
        <v/>
      </c>
      <c r="E1411" s="5">
        <f>E656/E655-1</f>
        <v/>
      </c>
      <c r="F1411" s="5">
        <f>F656/F655-1</f>
        <v/>
      </c>
      <c r="G1411" s="5">
        <f>G656/G655-1</f>
        <v/>
      </c>
    </row>
    <row r="1412">
      <c r="A1412" s="2">
        <f>A657</f>
        <v/>
      </c>
      <c r="B1412" s="5">
        <f>B657/B656-1</f>
        <v/>
      </c>
      <c r="C1412" s="5">
        <f>C657/C656-1</f>
        <v/>
      </c>
      <c r="D1412" s="5">
        <f>D657/D656-1</f>
        <v/>
      </c>
      <c r="E1412" s="5">
        <f>E657/E656-1</f>
        <v/>
      </c>
      <c r="F1412" s="5">
        <f>F657/F656-1</f>
        <v/>
      </c>
      <c r="G1412" s="5">
        <f>G657/G656-1</f>
        <v/>
      </c>
    </row>
    <row r="1413">
      <c r="A1413" s="2">
        <f>A658</f>
        <v/>
      </c>
      <c r="B1413" s="5">
        <f>B658/B657-1</f>
        <v/>
      </c>
      <c r="C1413" s="5">
        <f>C658/C657-1</f>
        <v/>
      </c>
      <c r="D1413" s="5">
        <f>D658/D657-1</f>
        <v/>
      </c>
      <c r="E1413" s="5">
        <f>E658/E657-1</f>
        <v/>
      </c>
      <c r="F1413" s="5">
        <f>F658/F657-1</f>
        <v/>
      </c>
      <c r="G1413" s="5">
        <f>G658/G657-1</f>
        <v/>
      </c>
    </row>
    <row r="1414">
      <c r="A1414" s="2">
        <f>A659</f>
        <v/>
      </c>
      <c r="B1414" s="5">
        <f>B659/B658-1</f>
        <v/>
      </c>
      <c r="C1414" s="5">
        <f>C659/C658-1</f>
        <v/>
      </c>
      <c r="D1414" s="5">
        <f>D659/D658-1</f>
        <v/>
      </c>
      <c r="E1414" s="5">
        <f>E659/E658-1</f>
        <v/>
      </c>
      <c r="F1414" s="5">
        <f>F659/F658-1</f>
        <v/>
      </c>
      <c r="G1414" s="5">
        <f>G659/G658-1</f>
        <v/>
      </c>
    </row>
    <row r="1415">
      <c r="A1415" s="2">
        <f>A660</f>
        <v/>
      </c>
      <c r="B1415" s="5">
        <f>B660/B659-1</f>
        <v/>
      </c>
      <c r="C1415" s="5">
        <f>C660/C659-1</f>
        <v/>
      </c>
      <c r="D1415" s="5">
        <f>D660/D659-1</f>
        <v/>
      </c>
      <c r="E1415" s="5">
        <f>E660/E659-1</f>
        <v/>
      </c>
      <c r="F1415" s="5">
        <f>F660/F659-1</f>
        <v/>
      </c>
      <c r="G1415" s="5">
        <f>G660/G659-1</f>
        <v/>
      </c>
    </row>
    <row r="1416">
      <c r="A1416" s="2">
        <f>A661</f>
        <v/>
      </c>
      <c r="B1416" s="5">
        <f>B661/B660-1</f>
        <v/>
      </c>
      <c r="C1416" s="5">
        <f>C661/C660-1</f>
        <v/>
      </c>
      <c r="D1416" s="5">
        <f>D661/D660-1</f>
        <v/>
      </c>
      <c r="E1416" s="5">
        <f>E661/E660-1</f>
        <v/>
      </c>
      <c r="F1416" s="5">
        <f>F661/F660-1</f>
        <v/>
      </c>
      <c r="G1416" s="5">
        <f>G661/G660-1</f>
        <v/>
      </c>
    </row>
    <row r="1417">
      <c r="A1417" s="2">
        <f>A662</f>
        <v/>
      </c>
      <c r="B1417" s="5">
        <f>B662/B661-1</f>
        <v/>
      </c>
      <c r="C1417" s="5">
        <f>C662/C661-1</f>
        <v/>
      </c>
      <c r="D1417" s="5">
        <f>D662/D661-1</f>
        <v/>
      </c>
      <c r="E1417" s="5">
        <f>E662/E661-1</f>
        <v/>
      </c>
      <c r="F1417" s="5">
        <f>F662/F661-1</f>
        <v/>
      </c>
      <c r="G1417" s="5">
        <f>G662/G661-1</f>
        <v/>
      </c>
    </row>
    <row r="1418">
      <c r="A1418" s="2">
        <f>A663</f>
        <v/>
      </c>
      <c r="B1418" s="5">
        <f>B663/B662-1</f>
        <v/>
      </c>
      <c r="C1418" s="5">
        <f>C663/C662-1</f>
        <v/>
      </c>
      <c r="D1418" s="5">
        <f>D663/D662-1</f>
        <v/>
      </c>
      <c r="E1418" s="5">
        <f>E663/E662-1</f>
        <v/>
      </c>
      <c r="F1418" s="5">
        <f>F663/F662-1</f>
        <v/>
      </c>
      <c r="G1418" s="5">
        <f>G663/G662-1</f>
        <v/>
      </c>
    </row>
    <row r="1419">
      <c r="A1419" s="2">
        <f>A664</f>
        <v/>
      </c>
      <c r="B1419" s="5">
        <f>B664/B663-1</f>
        <v/>
      </c>
      <c r="C1419" s="5">
        <f>C664/C663-1</f>
        <v/>
      </c>
      <c r="D1419" s="5">
        <f>D664/D663-1</f>
        <v/>
      </c>
      <c r="E1419" s="5">
        <f>E664/E663-1</f>
        <v/>
      </c>
      <c r="F1419" s="5">
        <f>F664/F663-1</f>
        <v/>
      </c>
      <c r="G1419" s="5">
        <f>G664/G663-1</f>
        <v/>
      </c>
    </row>
    <row r="1420">
      <c r="A1420" s="2">
        <f>A665</f>
        <v/>
      </c>
      <c r="B1420" s="5">
        <f>B665/B664-1</f>
        <v/>
      </c>
      <c r="C1420" s="5">
        <f>C665/C664-1</f>
        <v/>
      </c>
      <c r="D1420" s="5">
        <f>D665/D664-1</f>
        <v/>
      </c>
      <c r="E1420" s="5">
        <f>E665/E664-1</f>
        <v/>
      </c>
      <c r="F1420" s="5">
        <f>F665/F664-1</f>
        <v/>
      </c>
      <c r="G1420" s="5">
        <f>G665/G664-1</f>
        <v/>
      </c>
    </row>
    <row r="1421">
      <c r="A1421" s="2">
        <f>A666</f>
        <v/>
      </c>
      <c r="B1421" s="5">
        <f>B666/B665-1</f>
        <v/>
      </c>
      <c r="C1421" s="5">
        <f>C666/C665-1</f>
        <v/>
      </c>
      <c r="D1421" s="5">
        <f>D666/D665-1</f>
        <v/>
      </c>
      <c r="E1421" s="5">
        <f>E666/E665-1</f>
        <v/>
      </c>
      <c r="F1421" s="5">
        <f>F666/F665-1</f>
        <v/>
      </c>
      <c r="G1421" s="5">
        <f>G666/G665-1</f>
        <v/>
      </c>
    </row>
    <row r="1422">
      <c r="A1422" s="2">
        <f>A667</f>
        <v/>
      </c>
      <c r="B1422" s="5">
        <f>B667/B666-1</f>
        <v/>
      </c>
      <c r="C1422" s="5">
        <f>C667/C666-1</f>
        <v/>
      </c>
      <c r="D1422" s="5">
        <f>D667/D666-1</f>
        <v/>
      </c>
      <c r="E1422" s="5">
        <f>E667/E666-1</f>
        <v/>
      </c>
      <c r="F1422" s="5">
        <f>F667/F666-1</f>
        <v/>
      </c>
      <c r="G1422" s="5">
        <f>G667/G666-1</f>
        <v/>
      </c>
    </row>
    <row r="1423">
      <c r="A1423" s="2">
        <f>A668</f>
        <v/>
      </c>
      <c r="B1423" s="5">
        <f>B668/B667-1</f>
        <v/>
      </c>
      <c r="C1423" s="5">
        <f>C668/C667-1</f>
        <v/>
      </c>
      <c r="D1423" s="5">
        <f>D668/D667-1</f>
        <v/>
      </c>
      <c r="E1423" s="5">
        <f>E668/E667-1</f>
        <v/>
      </c>
      <c r="F1423" s="5">
        <f>F668/F667-1</f>
        <v/>
      </c>
      <c r="G1423" s="5">
        <f>G668/G667-1</f>
        <v/>
      </c>
    </row>
    <row r="1424">
      <c r="A1424" s="2">
        <f>A669</f>
        <v/>
      </c>
      <c r="B1424" s="5">
        <f>B669/B668-1</f>
        <v/>
      </c>
      <c r="C1424" s="5">
        <f>C669/C668-1</f>
        <v/>
      </c>
      <c r="D1424" s="5">
        <f>D669/D668-1</f>
        <v/>
      </c>
      <c r="E1424" s="5">
        <f>E669/E668-1</f>
        <v/>
      </c>
      <c r="F1424" s="5">
        <f>F669/F668-1</f>
        <v/>
      </c>
      <c r="G1424" s="5">
        <f>G669/G668-1</f>
        <v/>
      </c>
    </row>
    <row r="1425">
      <c r="A1425" s="2">
        <f>A670</f>
        <v/>
      </c>
      <c r="B1425" s="5">
        <f>B670/B669-1</f>
        <v/>
      </c>
      <c r="C1425" s="5">
        <f>C670/C669-1</f>
        <v/>
      </c>
      <c r="D1425" s="5">
        <f>D670/D669-1</f>
        <v/>
      </c>
      <c r="E1425" s="5">
        <f>E670/E669-1</f>
        <v/>
      </c>
      <c r="F1425" s="5">
        <f>F670/F669-1</f>
        <v/>
      </c>
      <c r="G1425" s="5">
        <f>G670/G669-1</f>
        <v/>
      </c>
    </row>
    <row r="1426">
      <c r="A1426" s="2">
        <f>A671</f>
        <v/>
      </c>
      <c r="B1426" s="5">
        <f>B671/B670-1</f>
        <v/>
      </c>
      <c r="C1426" s="5">
        <f>C671/C670-1</f>
        <v/>
      </c>
      <c r="D1426" s="5">
        <f>D671/D670-1</f>
        <v/>
      </c>
      <c r="E1426" s="5">
        <f>E671/E670-1</f>
        <v/>
      </c>
      <c r="F1426" s="5">
        <f>F671/F670-1</f>
        <v/>
      </c>
      <c r="G1426" s="5">
        <f>G671/G670-1</f>
        <v/>
      </c>
    </row>
    <row r="1427">
      <c r="A1427" s="2">
        <f>A672</f>
        <v/>
      </c>
      <c r="B1427" s="5">
        <f>B672/B671-1</f>
        <v/>
      </c>
      <c r="C1427" s="5">
        <f>C672/C671-1</f>
        <v/>
      </c>
      <c r="D1427" s="5">
        <f>D672/D671-1</f>
        <v/>
      </c>
      <c r="E1427" s="5">
        <f>E672/E671-1</f>
        <v/>
      </c>
      <c r="F1427" s="5">
        <f>F672/F671-1</f>
        <v/>
      </c>
      <c r="G1427" s="5">
        <f>G672/G671-1</f>
        <v/>
      </c>
    </row>
    <row r="1428">
      <c r="A1428" s="2">
        <f>A673</f>
        <v/>
      </c>
      <c r="B1428" s="5">
        <f>B673/B672-1</f>
        <v/>
      </c>
      <c r="C1428" s="5">
        <f>C673/C672-1</f>
        <v/>
      </c>
      <c r="D1428" s="5">
        <f>D673/D672-1</f>
        <v/>
      </c>
      <c r="E1428" s="5">
        <f>E673/E672-1</f>
        <v/>
      </c>
      <c r="F1428" s="5">
        <f>F673/F672-1</f>
        <v/>
      </c>
      <c r="G1428" s="5">
        <f>G673/G672-1</f>
        <v/>
      </c>
    </row>
    <row r="1429">
      <c r="A1429" s="2">
        <f>A674</f>
        <v/>
      </c>
      <c r="B1429" s="5">
        <f>B674/B673-1</f>
        <v/>
      </c>
      <c r="C1429" s="5">
        <f>C674/C673-1</f>
        <v/>
      </c>
      <c r="D1429" s="5">
        <f>D674/D673-1</f>
        <v/>
      </c>
      <c r="E1429" s="5">
        <f>E674/E673-1</f>
        <v/>
      </c>
      <c r="F1429" s="5">
        <f>F674/F673-1</f>
        <v/>
      </c>
      <c r="G1429" s="5">
        <f>G674/G673-1</f>
        <v/>
      </c>
    </row>
    <row r="1430">
      <c r="A1430" s="2">
        <f>A675</f>
        <v/>
      </c>
      <c r="B1430" s="5">
        <f>B675/B674-1</f>
        <v/>
      </c>
      <c r="C1430" s="5">
        <f>C675/C674-1</f>
        <v/>
      </c>
      <c r="D1430" s="5">
        <f>D675/D674-1</f>
        <v/>
      </c>
      <c r="E1430" s="5">
        <f>E675/E674-1</f>
        <v/>
      </c>
      <c r="F1430" s="5">
        <f>F675/F674-1</f>
        <v/>
      </c>
      <c r="G1430" s="5">
        <f>G675/G674-1</f>
        <v/>
      </c>
    </row>
    <row r="1431">
      <c r="A1431" s="2">
        <f>A676</f>
        <v/>
      </c>
      <c r="B1431" s="5">
        <f>B676/B675-1</f>
        <v/>
      </c>
      <c r="C1431" s="5">
        <f>C676/C675-1</f>
        <v/>
      </c>
      <c r="D1431" s="5">
        <f>D676/D675-1</f>
        <v/>
      </c>
      <c r="E1431" s="5">
        <f>E676/E675-1</f>
        <v/>
      </c>
      <c r="F1431" s="5">
        <f>F676/F675-1</f>
        <v/>
      </c>
      <c r="G1431" s="5">
        <f>G676/G675-1</f>
        <v/>
      </c>
    </row>
    <row r="1432">
      <c r="A1432" s="2">
        <f>A677</f>
        <v/>
      </c>
      <c r="B1432" s="5">
        <f>B677/B676-1</f>
        <v/>
      </c>
      <c r="C1432" s="5">
        <f>C677/C676-1</f>
        <v/>
      </c>
      <c r="D1432" s="5">
        <f>D677/D676-1</f>
        <v/>
      </c>
      <c r="E1432" s="5">
        <f>E677/E676-1</f>
        <v/>
      </c>
      <c r="F1432" s="5">
        <f>F677/F676-1</f>
        <v/>
      </c>
      <c r="G1432" s="5">
        <f>G677/G676-1</f>
        <v/>
      </c>
    </row>
    <row r="1433">
      <c r="A1433" s="2">
        <f>A678</f>
        <v/>
      </c>
      <c r="B1433" s="5">
        <f>B678/B677-1</f>
        <v/>
      </c>
      <c r="C1433" s="5">
        <f>C678/C677-1</f>
        <v/>
      </c>
      <c r="D1433" s="5">
        <f>D678/D677-1</f>
        <v/>
      </c>
      <c r="E1433" s="5">
        <f>E678/E677-1</f>
        <v/>
      </c>
      <c r="F1433" s="5">
        <f>F678/F677-1</f>
        <v/>
      </c>
      <c r="G1433" s="5">
        <f>G678/G677-1</f>
        <v/>
      </c>
    </row>
    <row r="1434">
      <c r="A1434" s="2">
        <f>A679</f>
        <v/>
      </c>
      <c r="B1434" s="5">
        <f>B679/B678-1</f>
        <v/>
      </c>
      <c r="C1434" s="5">
        <f>C679/C678-1</f>
        <v/>
      </c>
      <c r="D1434" s="5">
        <f>D679/D678-1</f>
        <v/>
      </c>
      <c r="E1434" s="5">
        <f>E679/E678-1</f>
        <v/>
      </c>
      <c r="F1434" s="5">
        <f>F679/F678-1</f>
        <v/>
      </c>
      <c r="G1434" s="5">
        <f>G679/G678-1</f>
        <v/>
      </c>
    </row>
    <row r="1435">
      <c r="A1435" s="2">
        <f>A680</f>
        <v/>
      </c>
      <c r="B1435" s="5">
        <f>B680/B679-1</f>
        <v/>
      </c>
      <c r="C1435" s="5">
        <f>C680/C679-1</f>
        <v/>
      </c>
      <c r="D1435" s="5">
        <f>D680/D679-1</f>
        <v/>
      </c>
      <c r="E1435" s="5">
        <f>E680/E679-1</f>
        <v/>
      </c>
      <c r="F1435" s="5">
        <f>F680/F679-1</f>
        <v/>
      </c>
      <c r="G1435" s="5">
        <f>G680/G679-1</f>
        <v/>
      </c>
    </row>
    <row r="1436">
      <c r="A1436" s="2">
        <f>A681</f>
        <v/>
      </c>
      <c r="B1436" s="5">
        <f>B681/B680-1</f>
        <v/>
      </c>
      <c r="C1436" s="5">
        <f>C681/C680-1</f>
        <v/>
      </c>
      <c r="D1436" s="5">
        <f>D681/D680-1</f>
        <v/>
      </c>
      <c r="E1436" s="5">
        <f>E681/E680-1</f>
        <v/>
      </c>
      <c r="F1436" s="5">
        <f>F681/F680-1</f>
        <v/>
      </c>
      <c r="G1436" s="5">
        <f>G681/G680-1</f>
        <v/>
      </c>
    </row>
    <row r="1437">
      <c r="A1437" s="2">
        <f>A682</f>
        <v/>
      </c>
      <c r="B1437" s="5">
        <f>B682/B681-1</f>
        <v/>
      </c>
      <c r="C1437" s="5">
        <f>C682/C681-1</f>
        <v/>
      </c>
      <c r="D1437" s="5">
        <f>D682/D681-1</f>
        <v/>
      </c>
      <c r="E1437" s="5">
        <f>E682/E681-1</f>
        <v/>
      </c>
      <c r="F1437" s="5">
        <f>F682/F681-1</f>
        <v/>
      </c>
      <c r="G1437" s="5">
        <f>G682/G681-1</f>
        <v/>
      </c>
    </row>
    <row r="1438">
      <c r="A1438" s="2">
        <f>A683</f>
        <v/>
      </c>
      <c r="B1438" s="5">
        <f>B683/B682-1</f>
        <v/>
      </c>
      <c r="C1438" s="5">
        <f>C683/C682-1</f>
        <v/>
      </c>
      <c r="D1438" s="5">
        <f>D683/D682-1</f>
        <v/>
      </c>
      <c r="E1438" s="5">
        <f>E683/E682-1</f>
        <v/>
      </c>
      <c r="F1438" s="5">
        <f>F683/F682-1</f>
        <v/>
      </c>
      <c r="G1438" s="5">
        <f>G683/G682-1</f>
        <v/>
      </c>
    </row>
    <row r="1439">
      <c r="A1439" s="2">
        <f>A684</f>
        <v/>
      </c>
      <c r="B1439" s="5">
        <f>B684/B683-1</f>
        <v/>
      </c>
      <c r="C1439" s="5">
        <f>C684/C683-1</f>
        <v/>
      </c>
      <c r="D1439" s="5">
        <f>D684/D683-1</f>
        <v/>
      </c>
      <c r="E1439" s="5">
        <f>E684/E683-1</f>
        <v/>
      </c>
      <c r="F1439" s="5">
        <f>F684/F683-1</f>
        <v/>
      </c>
      <c r="G1439" s="5">
        <f>G684/G683-1</f>
        <v/>
      </c>
    </row>
    <row r="1440">
      <c r="A1440" s="2">
        <f>A685</f>
        <v/>
      </c>
      <c r="B1440" s="5">
        <f>B685/B684-1</f>
        <v/>
      </c>
      <c r="C1440" s="5">
        <f>C685/C684-1</f>
        <v/>
      </c>
      <c r="D1440" s="5">
        <f>D685/D684-1</f>
        <v/>
      </c>
      <c r="E1440" s="5">
        <f>E685/E684-1</f>
        <v/>
      </c>
      <c r="F1440" s="5">
        <f>F685/F684-1</f>
        <v/>
      </c>
      <c r="G1440" s="5">
        <f>G685/G684-1</f>
        <v/>
      </c>
    </row>
    <row r="1441">
      <c r="A1441" s="2">
        <f>A686</f>
        <v/>
      </c>
      <c r="B1441" s="5">
        <f>B686/B685-1</f>
        <v/>
      </c>
      <c r="C1441" s="5">
        <f>C686/C685-1</f>
        <v/>
      </c>
      <c r="D1441" s="5">
        <f>D686/D685-1</f>
        <v/>
      </c>
      <c r="E1441" s="5">
        <f>E686/E685-1</f>
        <v/>
      </c>
      <c r="F1441" s="5">
        <f>F686/F685-1</f>
        <v/>
      </c>
      <c r="G1441" s="5">
        <f>G686/G685-1</f>
        <v/>
      </c>
    </row>
    <row r="1442">
      <c r="A1442" s="2">
        <f>A687</f>
        <v/>
      </c>
      <c r="B1442" s="5">
        <f>B687/B686-1</f>
        <v/>
      </c>
      <c r="C1442" s="5">
        <f>C687/C686-1</f>
        <v/>
      </c>
      <c r="D1442" s="5">
        <f>D687/D686-1</f>
        <v/>
      </c>
      <c r="E1442" s="5">
        <f>E687/E686-1</f>
        <v/>
      </c>
      <c r="F1442" s="5">
        <f>F687/F686-1</f>
        <v/>
      </c>
      <c r="G1442" s="5">
        <f>G687/G686-1</f>
        <v/>
      </c>
    </row>
    <row r="1443">
      <c r="A1443" s="2">
        <f>A688</f>
        <v/>
      </c>
      <c r="B1443" s="5">
        <f>B688/B687-1</f>
        <v/>
      </c>
      <c r="C1443" s="5">
        <f>C688/C687-1</f>
        <v/>
      </c>
      <c r="D1443" s="5">
        <f>D688/D687-1</f>
        <v/>
      </c>
      <c r="E1443" s="5">
        <f>E688/E687-1</f>
        <v/>
      </c>
      <c r="F1443" s="5">
        <f>F688/F687-1</f>
        <v/>
      </c>
      <c r="G1443" s="5">
        <f>G688/G687-1</f>
        <v/>
      </c>
    </row>
    <row r="1444">
      <c r="A1444" s="2">
        <f>A689</f>
        <v/>
      </c>
      <c r="B1444" s="5">
        <f>B689/B688-1</f>
        <v/>
      </c>
      <c r="C1444" s="5">
        <f>C689/C688-1</f>
        <v/>
      </c>
      <c r="D1444" s="5">
        <f>D689/D688-1</f>
        <v/>
      </c>
      <c r="E1444" s="5">
        <f>E689/E688-1</f>
        <v/>
      </c>
      <c r="F1444" s="5">
        <f>F689/F688-1</f>
        <v/>
      </c>
      <c r="G1444" s="5">
        <f>G689/G688-1</f>
        <v/>
      </c>
    </row>
    <row r="1445">
      <c r="A1445" s="2">
        <f>A690</f>
        <v/>
      </c>
      <c r="B1445" s="5">
        <f>B690/B689-1</f>
        <v/>
      </c>
      <c r="C1445" s="5">
        <f>C690/C689-1</f>
        <v/>
      </c>
      <c r="D1445" s="5">
        <f>D690/D689-1</f>
        <v/>
      </c>
      <c r="E1445" s="5">
        <f>E690/E689-1</f>
        <v/>
      </c>
      <c r="F1445" s="5">
        <f>F690/F689-1</f>
        <v/>
      </c>
      <c r="G1445" s="5">
        <f>G690/G689-1</f>
        <v/>
      </c>
    </row>
    <row r="1446">
      <c r="A1446" s="2">
        <f>A691</f>
        <v/>
      </c>
      <c r="B1446" s="5">
        <f>B691/B690-1</f>
        <v/>
      </c>
      <c r="C1446" s="5">
        <f>C691/C690-1</f>
        <v/>
      </c>
      <c r="D1446" s="5">
        <f>D691/D690-1</f>
        <v/>
      </c>
      <c r="E1446" s="5">
        <f>E691/E690-1</f>
        <v/>
      </c>
      <c r="F1446" s="5">
        <f>F691/F690-1</f>
        <v/>
      </c>
      <c r="G1446" s="5">
        <f>G691/G690-1</f>
        <v/>
      </c>
    </row>
    <row r="1447">
      <c r="A1447" s="2">
        <f>A692</f>
        <v/>
      </c>
      <c r="B1447" s="5">
        <f>B692/B691-1</f>
        <v/>
      </c>
      <c r="C1447" s="5">
        <f>C692/C691-1</f>
        <v/>
      </c>
      <c r="D1447" s="5">
        <f>D692/D691-1</f>
        <v/>
      </c>
      <c r="E1447" s="5">
        <f>E692/E691-1</f>
        <v/>
      </c>
      <c r="F1447" s="5">
        <f>F692/F691-1</f>
        <v/>
      </c>
      <c r="G1447" s="5">
        <f>G692/G691-1</f>
        <v/>
      </c>
    </row>
    <row r="1448">
      <c r="A1448" s="2">
        <f>A693</f>
        <v/>
      </c>
      <c r="B1448" s="5">
        <f>B693/B692-1</f>
        <v/>
      </c>
      <c r="C1448" s="5">
        <f>C693/C692-1</f>
        <v/>
      </c>
      <c r="D1448" s="5">
        <f>D693/D692-1</f>
        <v/>
      </c>
      <c r="E1448" s="5">
        <f>E693/E692-1</f>
        <v/>
      </c>
      <c r="F1448" s="5">
        <f>F693/F692-1</f>
        <v/>
      </c>
      <c r="G1448" s="5">
        <f>G693/G692-1</f>
        <v/>
      </c>
    </row>
    <row r="1449">
      <c r="A1449" s="2">
        <f>A694</f>
        <v/>
      </c>
      <c r="B1449" s="5">
        <f>B694/B693-1</f>
        <v/>
      </c>
      <c r="C1449" s="5">
        <f>C694/C693-1</f>
        <v/>
      </c>
      <c r="D1449" s="5">
        <f>D694/D693-1</f>
        <v/>
      </c>
      <c r="E1449" s="5">
        <f>E694/E693-1</f>
        <v/>
      </c>
      <c r="F1449" s="5">
        <f>F694/F693-1</f>
        <v/>
      </c>
      <c r="G1449" s="5">
        <f>G694/G693-1</f>
        <v/>
      </c>
    </row>
    <row r="1450">
      <c r="A1450" s="2">
        <f>A695</f>
        <v/>
      </c>
      <c r="B1450" s="5">
        <f>B695/B694-1</f>
        <v/>
      </c>
      <c r="C1450" s="5">
        <f>C695/C694-1</f>
        <v/>
      </c>
      <c r="D1450" s="5">
        <f>D695/D694-1</f>
        <v/>
      </c>
      <c r="E1450" s="5">
        <f>E695/E694-1</f>
        <v/>
      </c>
      <c r="F1450" s="5">
        <f>F695/F694-1</f>
        <v/>
      </c>
      <c r="G1450" s="5">
        <f>G695/G694-1</f>
        <v/>
      </c>
    </row>
    <row r="1451">
      <c r="A1451" s="2">
        <f>A696</f>
        <v/>
      </c>
      <c r="B1451" s="5">
        <f>B696/B695-1</f>
        <v/>
      </c>
      <c r="C1451" s="5">
        <f>C696/C695-1</f>
        <v/>
      </c>
      <c r="D1451" s="5">
        <f>D696/D695-1</f>
        <v/>
      </c>
      <c r="E1451" s="5">
        <f>E696/E695-1</f>
        <v/>
      </c>
      <c r="F1451" s="5">
        <f>F696/F695-1</f>
        <v/>
      </c>
      <c r="G1451" s="5">
        <f>G696/G695-1</f>
        <v/>
      </c>
    </row>
    <row r="1452">
      <c r="A1452" s="2">
        <f>A697</f>
        <v/>
      </c>
      <c r="B1452" s="5">
        <f>B697/B696-1</f>
        <v/>
      </c>
      <c r="C1452" s="5">
        <f>C697/C696-1</f>
        <v/>
      </c>
      <c r="D1452" s="5">
        <f>D697/D696-1</f>
        <v/>
      </c>
      <c r="E1452" s="5">
        <f>E697/E696-1</f>
        <v/>
      </c>
      <c r="F1452" s="5">
        <f>F697/F696-1</f>
        <v/>
      </c>
      <c r="G1452" s="5">
        <f>G697/G696-1</f>
        <v/>
      </c>
    </row>
    <row r="1453">
      <c r="A1453" s="2">
        <f>A698</f>
        <v/>
      </c>
      <c r="B1453" s="5">
        <f>B698/B697-1</f>
        <v/>
      </c>
      <c r="C1453" s="5">
        <f>C698/C697-1</f>
        <v/>
      </c>
      <c r="D1453" s="5">
        <f>D698/D697-1</f>
        <v/>
      </c>
      <c r="E1453" s="5">
        <f>E698/E697-1</f>
        <v/>
      </c>
      <c r="F1453" s="5">
        <f>F698/F697-1</f>
        <v/>
      </c>
      <c r="G1453" s="5">
        <f>G698/G697-1</f>
        <v/>
      </c>
    </row>
    <row r="1454">
      <c r="A1454" s="2">
        <f>A699</f>
        <v/>
      </c>
      <c r="B1454" s="5">
        <f>B699/B698-1</f>
        <v/>
      </c>
      <c r="C1454" s="5">
        <f>C699/C698-1</f>
        <v/>
      </c>
      <c r="D1454" s="5">
        <f>D699/D698-1</f>
        <v/>
      </c>
      <c r="E1454" s="5">
        <f>E699/E698-1</f>
        <v/>
      </c>
      <c r="F1454" s="5">
        <f>F699/F698-1</f>
        <v/>
      </c>
      <c r="G1454" s="5">
        <f>G699/G698-1</f>
        <v/>
      </c>
    </row>
    <row r="1455">
      <c r="A1455" s="2">
        <f>A700</f>
        <v/>
      </c>
      <c r="B1455" s="5">
        <f>B700/B699-1</f>
        <v/>
      </c>
      <c r="C1455" s="5">
        <f>C700/C699-1</f>
        <v/>
      </c>
      <c r="D1455" s="5">
        <f>D700/D699-1</f>
        <v/>
      </c>
      <c r="E1455" s="5">
        <f>E700/E699-1</f>
        <v/>
      </c>
      <c r="F1455" s="5">
        <f>F700/F699-1</f>
        <v/>
      </c>
      <c r="G1455" s="5">
        <f>G700/G699-1</f>
        <v/>
      </c>
    </row>
    <row r="1456">
      <c r="A1456" s="2">
        <f>A701</f>
        <v/>
      </c>
      <c r="B1456" s="5">
        <f>B701/B700-1</f>
        <v/>
      </c>
      <c r="C1456" s="5">
        <f>C701/C700-1</f>
        <v/>
      </c>
      <c r="D1456" s="5">
        <f>D701/D700-1</f>
        <v/>
      </c>
      <c r="E1456" s="5">
        <f>E701/E700-1</f>
        <v/>
      </c>
      <c r="F1456" s="5">
        <f>F701/F700-1</f>
        <v/>
      </c>
      <c r="G1456" s="5">
        <f>G701/G700-1</f>
        <v/>
      </c>
    </row>
    <row r="1457">
      <c r="A1457" s="2">
        <f>A702</f>
        <v/>
      </c>
      <c r="B1457" s="5">
        <f>B702/B701-1</f>
        <v/>
      </c>
      <c r="C1457" s="5">
        <f>C702/C701-1</f>
        <v/>
      </c>
      <c r="D1457" s="5">
        <f>D702/D701-1</f>
        <v/>
      </c>
      <c r="E1457" s="5">
        <f>E702/E701-1</f>
        <v/>
      </c>
      <c r="F1457" s="5">
        <f>F702/F701-1</f>
        <v/>
      </c>
      <c r="G1457" s="5">
        <f>G702/G701-1</f>
        <v/>
      </c>
    </row>
    <row r="1458">
      <c r="A1458" s="2">
        <f>A703</f>
        <v/>
      </c>
      <c r="B1458" s="5">
        <f>B703/B702-1</f>
        <v/>
      </c>
      <c r="C1458" s="5">
        <f>C703/C702-1</f>
        <v/>
      </c>
      <c r="D1458" s="5">
        <f>D703/D702-1</f>
        <v/>
      </c>
      <c r="E1458" s="5">
        <f>E703/E702-1</f>
        <v/>
      </c>
      <c r="F1458" s="5">
        <f>F703/F702-1</f>
        <v/>
      </c>
      <c r="G1458" s="5">
        <f>G703/G702-1</f>
        <v/>
      </c>
    </row>
    <row r="1459">
      <c r="A1459" s="2">
        <f>A704</f>
        <v/>
      </c>
      <c r="B1459" s="5">
        <f>B704/B703-1</f>
        <v/>
      </c>
      <c r="C1459" s="5">
        <f>C704/C703-1</f>
        <v/>
      </c>
      <c r="D1459" s="5">
        <f>D704/D703-1</f>
        <v/>
      </c>
      <c r="E1459" s="5">
        <f>E704/E703-1</f>
        <v/>
      </c>
      <c r="F1459" s="5">
        <f>F704/F703-1</f>
        <v/>
      </c>
      <c r="G1459" s="5">
        <f>G704/G703-1</f>
        <v/>
      </c>
    </row>
    <row r="1460">
      <c r="A1460" s="2">
        <f>A705</f>
        <v/>
      </c>
      <c r="B1460" s="5">
        <f>B705/B704-1</f>
        <v/>
      </c>
      <c r="C1460" s="5">
        <f>C705/C704-1</f>
        <v/>
      </c>
      <c r="D1460" s="5">
        <f>D705/D704-1</f>
        <v/>
      </c>
      <c r="E1460" s="5">
        <f>E705/E704-1</f>
        <v/>
      </c>
      <c r="F1460" s="5">
        <f>F705/F704-1</f>
        <v/>
      </c>
      <c r="G1460" s="5">
        <f>G705/G704-1</f>
        <v/>
      </c>
    </row>
    <row r="1461">
      <c r="A1461" s="2">
        <f>A706</f>
        <v/>
      </c>
      <c r="B1461" s="5">
        <f>B706/B705-1</f>
        <v/>
      </c>
      <c r="C1461" s="5">
        <f>C706/C705-1</f>
        <v/>
      </c>
      <c r="D1461" s="5">
        <f>D706/D705-1</f>
        <v/>
      </c>
      <c r="E1461" s="5">
        <f>E706/E705-1</f>
        <v/>
      </c>
      <c r="F1461" s="5">
        <f>F706/F705-1</f>
        <v/>
      </c>
      <c r="G1461" s="5">
        <f>G706/G705-1</f>
        <v/>
      </c>
    </row>
    <row r="1462">
      <c r="A1462" s="2">
        <f>A707</f>
        <v/>
      </c>
      <c r="B1462" s="5">
        <f>B707/B706-1</f>
        <v/>
      </c>
      <c r="C1462" s="5">
        <f>C707/C706-1</f>
        <v/>
      </c>
      <c r="D1462" s="5">
        <f>D707/D706-1</f>
        <v/>
      </c>
      <c r="E1462" s="5">
        <f>E707/E706-1</f>
        <v/>
      </c>
      <c r="F1462" s="5">
        <f>F707/F706-1</f>
        <v/>
      </c>
      <c r="G1462" s="5">
        <f>G707/G706-1</f>
        <v/>
      </c>
    </row>
    <row r="1463">
      <c r="A1463" s="2">
        <f>A708</f>
        <v/>
      </c>
      <c r="B1463" s="5">
        <f>B708/B707-1</f>
        <v/>
      </c>
      <c r="C1463" s="5">
        <f>C708/C707-1</f>
        <v/>
      </c>
      <c r="D1463" s="5">
        <f>D708/D707-1</f>
        <v/>
      </c>
      <c r="E1463" s="5">
        <f>E708/E707-1</f>
        <v/>
      </c>
      <c r="F1463" s="5">
        <f>F708/F707-1</f>
        <v/>
      </c>
      <c r="G1463" s="5">
        <f>G708/G707-1</f>
        <v/>
      </c>
    </row>
    <row r="1464">
      <c r="A1464" s="2">
        <f>A709</f>
        <v/>
      </c>
      <c r="B1464" s="5">
        <f>B709/B708-1</f>
        <v/>
      </c>
      <c r="C1464" s="5">
        <f>C709/C708-1</f>
        <v/>
      </c>
      <c r="D1464" s="5">
        <f>D709/D708-1</f>
        <v/>
      </c>
      <c r="E1464" s="5">
        <f>E709/E708-1</f>
        <v/>
      </c>
      <c r="F1464" s="5">
        <f>F709/F708-1</f>
        <v/>
      </c>
      <c r="G1464" s="5">
        <f>G709/G708-1</f>
        <v/>
      </c>
    </row>
    <row r="1465">
      <c r="A1465" s="2">
        <f>A710</f>
        <v/>
      </c>
      <c r="B1465" s="5">
        <f>B710/B709-1</f>
        <v/>
      </c>
      <c r="C1465" s="5">
        <f>C710/C709-1</f>
        <v/>
      </c>
      <c r="D1465" s="5">
        <f>D710/D709-1</f>
        <v/>
      </c>
      <c r="E1465" s="5">
        <f>E710/E709-1</f>
        <v/>
      </c>
      <c r="F1465" s="5">
        <f>F710/F709-1</f>
        <v/>
      </c>
      <c r="G1465" s="5">
        <f>G710/G709-1</f>
        <v/>
      </c>
    </row>
    <row r="1466">
      <c r="A1466" s="2">
        <f>A711</f>
        <v/>
      </c>
      <c r="B1466" s="5">
        <f>B711/B710-1</f>
        <v/>
      </c>
      <c r="C1466" s="5">
        <f>C711/C710-1</f>
        <v/>
      </c>
      <c r="D1466" s="5">
        <f>D711/D710-1</f>
        <v/>
      </c>
      <c r="E1466" s="5">
        <f>E711/E710-1</f>
        <v/>
      </c>
      <c r="F1466" s="5">
        <f>F711/F710-1</f>
        <v/>
      </c>
      <c r="G1466" s="5">
        <f>G711/G710-1</f>
        <v/>
      </c>
    </row>
    <row r="1467">
      <c r="A1467" s="2">
        <f>A712</f>
        <v/>
      </c>
      <c r="B1467" s="5">
        <f>B712/B711-1</f>
        <v/>
      </c>
      <c r="C1467" s="5">
        <f>C712/C711-1</f>
        <v/>
      </c>
      <c r="D1467" s="5">
        <f>D712/D711-1</f>
        <v/>
      </c>
      <c r="E1467" s="5">
        <f>E712/E711-1</f>
        <v/>
      </c>
      <c r="F1467" s="5">
        <f>F712/F711-1</f>
        <v/>
      </c>
      <c r="G1467" s="5">
        <f>G712/G711-1</f>
        <v/>
      </c>
    </row>
    <row r="1468">
      <c r="A1468" s="2">
        <f>A713</f>
        <v/>
      </c>
      <c r="B1468" s="5">
        <f>B713/B712-1</f>
        <v/>
      </c>
      <c r="C1468" s="5">
        <f>C713/C712-1</f>
        <v/>
      </c>
      <c r="D1468" s="5">
        <f>D713/D712-1</f>
        <v/>
      </c>
      <c r="E1468" s="5">
        <f>E713/E712-1</f>
        <v/>
      </c>
      <c r="F1468" s="5">
        <f>F713/F712-1</f>
        <v/>
      </c>
      <c r="G1468" s="5">
        <f>G713/G712-1</f>
        <v/>
      </c>
    </row>
    <row r="1469">
      <c r="A1469" s="2">
        <f>A714</f>
        <v/>
      </c>
      <c r="B1469" s="5">
        <f>B714/B713-1</f>
        <v/>
      </c>
      <c r="C1469" s="5">
        <f>C714/C713-1</f>
        <v/>
      </c>
      <c r="D1469" s="5">
        <f>D714/D713-1</f>
        <v/>
      </c>
      <c r="E1469" s="5">
        <f>E714/E713-1</f>
        <v/>
      </c>
      <c r="F1469" s="5">
        <f>F714/F713-1</f>
        <v/>
      </c>
      <c r="G1469" s="5">
        <f>G714/G713-1</f>
        <v/>
      </c>
    </row>
    <row r="1470">
      <c r="A1470" s="2">
        <f>A715</f>
        <v/>
      </c>
      <c r="B1470" s="5">
        <f>B715/B714-1</f>
        <v/>
      </c>
      <c r="C1470" s="5">
        <f>C715/C714-1</f>
        <v/>
      </c>
      <c r="D1470" s="5">
        <f>D715/D714-1</f>
        <v/>
      </c>
      <c r="E1470" s="5">
        <f>E715/E714-1</f>
        <v/>
      </c>
      <c r="F1470" s="5">
        <f>F715/F714-1</f>
        <v/>
      </c>
      <c r="G1470" s="5">
        <f>G715/G714-1</f>
        <v/>
      </c>
    </row>
    <row r="1471">
      <c r="A1471" s="2">
        <f>A716</f>
        <v/>
      </c>
      <c r="B1471" s="5">
        <f>B716/B715-1</f>
        <v/>
      </c>
      <c r="C1471" s="5">
        <f>C716/C715-1</f>
        <v/>
      </c>
      <c r="D1471" s="5">
        <f>D716/D715-1</f>
        <v/>
      </c>
      <c r="E1471" s="5">
        <f>E716/E715-1</f>
        <v/>
      </c>
      <c r="F1471" s="5">
        <f>F716/F715-1</f>
        <v/>
      </c>
      <c r="G1471" s="5">
        <f>G716/G715-1</f>
        <v/>
      </c>
    </row>
    <row r="1472">
      <c r="A1472" s="2">
        <f>A717</f>
        <v/>
      </c>
      <c r="B1472" s="5">
        <f>B717/B716-1</f>
        <v/>
      </c>
      <c r="C1472" s="5">
        <f>C717/C716-1</f>
        <v/>
      </c>
      <c r="D1472" s="5">
        <f>D717/D716-1</f>
        <v/>
      </c>
      <c r="E1472" s="5">
        <f>E717/E716-1</f>
        <v/>
      </c>
      <c r="F1472" s="5">
        <f>F717/F716-1</f>
        <v/>
      </c>
      <c r="G1472" s="5">
        <f>G717/G716-1</f>
        <v/>
      </c>
    </row>
    <row r="1473">
      <c r="A1473" s="2">
        <f>A718</f>
        <v/>
      </c>
      <c r="B1473" s="5">
        <f>B718/B717-1</f>
        <v/>
      </c>
      <c r="C1473" s="5">
        <f>C718/C717-1</f>
        <v/>
      </c>
      <c r="D1473" s="5">
        <f>D718/D717-1</f>
        <v/>
      </c>
      <c r="E1473" s="5">
        <f>E718/E717-1</f>
        <v/>
      </c>
      <c r="F1473" s="5">
        <f>F718/F717-1</f>
        <v/>
      </c>
      <c r="G1473" s="5">
        <f>G718/G717-1</f>
        <v/>
      </c>
    </row>
    <row r="1474">
      <c r="A1474" s="2">
        <f>A719</f>
        <v/>
      </c>
      <c r="B1474" s="5">
        <f>B719/B718-1</f>
        <v/>
      </c>
      <c r="C1474" s="5">
        <f>C719/C718-1</f>
        <v/>
      </c>
      <c r="D1474" s="5">
        <f>D719/D718-1</f>
        <v/>
      </c>
      <c r="E1474" s="5">
        <f>E719/E718-1</f>
        <v/>
      </c>
      <c r="F1474" s="5">
        <f>F719/F718-1</f>
        <v/>
      </c>
      <c r="G1474" s="5">
        <f>G719/G718-1</f>
        <v/>
      </c>
    </row>
    <row r="1475">
      <c r="A1475" s="2">
        <f>A720</f>
        <v/>
      </c>
      <c r="B1475" s="5">
        <f>B720/B719-1</f>
        <v/>
      </c>
      <c r="C1475" s="5">
        <f>C720/C719-1</f>
        <v/>
      </c>
      <c r="D1475" s="5">
        <f>D720/D719-1</f>
        <v/>
      </c>
      <c r="E1475" s="5">
        <f>E720/E719-1</f>
        <v/>
      </c>
      <c r="F1475" s="5">
        <f>F720/F719-1</f>
        <v/>
      </c>
      <c r="G1475" s="5">
        <f>G720/G719-1</f>
        <v/>
      </c>
    </row>
    <row r="1476">
      <c r="A1476" s="2">
        <f>A721</f>
        <v/>
      </c>
      <c r="B1476" s="5">
        <f>B721/B720-1</f>
        <v/>
      </c>
      <c r="C1476" s="5">
        <f>C721/C720-1</f>
        <v/>
      </c>
      <c r="D1476" s="5">
        <f>D721/D720-1</f>
        <v/>
      </c>
      <c r="E1476" s="5">
        <f>E721/E720-1</f>
        <v/>
      </c>
      <c r="F1476" s="5">
        <f>F721/F720-1</f>
        <v/>
      </c>
      <c r="G1476" s="5">
        <f>G721/G720-1</f>
        <v/>
      </c>
    </row>
    <row r="1477">
      <c r="A1477" s="2">
        <f>A722</f>
        <v/>
      </c>
      <c r="B1477" s="5">
        <f>B722/B721-1</f>
        <v/>
      </c>
      <c r="C1477" s="5">
        <f>C722/C721-1</f>
        <v/>
      </c>
      <c r="D1477" s="5">
        <f>D722/D721-1</f>
        <v/>
      </c>
      <c r="E1477" s="5">
        <f>E722/E721-1</f>
        <v/>
      </c>
      <c r="F1477" s="5">
        <f>F722/F721-1</f>
        <v/>
      </c>
      <c r="G1477" s="5">
        <f>G722/G721-1</f>
        <v/>
      </c>
    </row>
    <row r="1478">
      <c r="A1478" s="2">
        <f>A723</f>
        <v/>
      </c>
      <c r="B1478" s="5">
        <f>B723/B722-1</f>
        <v/>
      </c>
      <c r="C1478" s="5">
        <f>C723/C722-1</f>
        <v/>
      </c>
      <c r="D1478" s="5">
        <f>D723/D722-1</f>
        <v/>
      </c>
      <c r="E1478" s="5">
        <f>E723/E722-1</f>
        <v/>
      </c>
      <c r="F1478" s="5">
        <f>F723/F722-1</f>
        <v/>
      </c>
      <c r="G1478" s="5">
        <f>G723/G722-1</f>
        <v/>
      </c>
    </row>
    <row r="1479">
      <c r="A1479" s="2">
        <f>A724</f>
        <v/>
      </c>
      <c r="B1479" s="5">
        <f>B724/B723-1</f>
        <v/>
      </c>
      <c r="C1479" s="5">
        <f>C724/C723-1</f>
        <v/>
      </c>
      <c r="D1479" s="5">
        <f>D724/D723-1</f>
        <v/>
      </c>
      <c r="E1479" s="5">
        <f>E724/E723-1</f>
        <v/>
      </c>
      <c r="F1479" s="5">
        <f>F724/F723-1</f>
        <v/>
      </c>
      <c r="G1479" s="5">
        <f>G724/G723-1</f>
        <v/>
      </c>
    </row>
    <row r="1480">
      <c r="A1480" s="2">
        <f>A725</f>
        <v/>
      </c>
      <c r="B1480" s="5">
        <f>B725/B724-1</f>
        <v/>
      </c>
      <c r="C1480" s="5">
        <f>C725/C724-1</f>
        <v/>
      </c>
      <c r="D1480" s="5">
        <f>D725/D724-1</f>
        <v/>
      </c>
      <c r="E1480" s="5">
        <f>E725/E724-1</f>
        <v/>
      </c>
      <c r="F1480" s="5">
        <f>F725/F724-1</f>
        <v/>
      </c>
      <c r="G1480" s="5">
        <f>G725/G724-1</f>
        <v/>
      </c>
    </row>
    <row r="1481">
      <c r="A1481" s="2">
        <f>A726</f>
        <v/>
      </c>
      <c r="B1481" s="5">
        <f>B726/B725-1</f>
        <v/>
      </c>
      <c r="C1481" s="5">
        <f>C726/C725-1</f>
        <v/>
      </c>
      <c r="D1481" s="5">
        <f>D726/D725-1</f>
        <v/>
      </c>
      <c r="E1481" s="5">
        <f>E726/E725-1</f>
        <v/>
      </c>
      <c r="F1481" s="5">
        <f>F726/F725-1</f>
        <v/>
      </c>
      <c r="G1481" s="5">
        <f>G726/G725-1</f>
        <v/>
      </c>
    </row>
    <row r="1482">
      <c r="A1482" s="2">
        <f>A727</f>
        <v/>
      </c>
      <c r="B1482" s="5">
        <f>B727/B726-1</f>
        <v/>
      </c>
      <c r="C1482" s="5">
        <f>C727/C726-1</f>
        <v/>
      </c>
      <c r="D1482" s="5">
        <f>D727/D726-1</f>
        <v/>
      </c>
      <c r="E1482" s="5">
        <f>E727/E726-1</f>
        <v/>
      </c>
      <c r="F1482" s="5">
        <f>F727/F726-1</f>
        <v/>
      </c>
      <c r="G1482" s="5">
        <f>G727/G726-1</f>
        <v/>
      </c>
    </row>
    <row r="1483">
      <c r="A1483" s="2">
        <f>A728</f>
        <v/>
      </c>
      <c r="B1483" s="5">
        <f>B728/B727-1</f>
        <v/>
      </c>
      <c r="C1483" s="5">
        <f>C728/C727-1</f>
        <v/>
      </c>
      <c r="D1483" s="5">
        <f>D728/D727-1</f>
        <v/>
      </c>
      <c r="E1483" s="5">
        <f>E728/E727-1</f>
        <v/>
      </c>
      <c r="F1483" s="5">
        <f>F728/F727-1</f>
        <v/>
      </c>
      <c r="G1483" s="5">
        <f>G728/G727-1</f>
        <v/>
      </c>
    </row>
    <row r="1484">
      <c r="A1484" s="2">
        <f>A729</f>
        <v/>
      </c>
      <c r="B1484" s="5">
        <f>B729/B728-1</f>
        <v/>
      </c>
      <c r="C1484" s="5">
        <f>C729/C728-1</f>
        <v/>
      </c>
      <c r="D1484" s="5">
        <f>D729/D728-1</f>
        <v/>
      </c>
      <c r="E1484" s="5">
        <f>E729/E728-1</f>
        <v/>
      </c>
      <c r="F1484" s="5">
        <f>F729/F728-1</f>
        <v/>
      </c>
      <c r="G1484" s="5">
        <f>G729/G728-1</f>
        <v/>
      </c>
    </row>
    <row r="1485">
      <c r="A1485" s="2">
        <f>A730</f>
        <v/>
      </c>
      <c r="B1485" s="5">
        <f>B730/B729-1</f>
        <v/>
      </c>
      <c r="C1485" s="5">
        <f>C730/C729-1</f>
        <v/>
      </c>
      <c r="D1485" s="5">
        <f>D730/D729-1</f>
        <v/>
      </c>
      <c r="E1485" s="5">
        <f>E730/E729-1</f>
        <v/>
      </c>
      <c r="F1485" s="5">
        <f>F730/F729-1</f>
        <v/>
      </c>
      <c r="G1485" s="5">
        <f>G730/G729-1</f>
        <v/>
      </c>
    </row>
    <row r="1486">
      <c r="A1486" s="2">
        <f>A731</f>
        <v/>
      </c>
      <c r="B1486" s="5">
        <f>B731/B730-1</f>
        <v/>
      </c>
      <c r="C1486" s="5">
        <f>C731/C730-1</f>
        <v/>
      </c>
      <c r="D1486" s="5">
        <f>D731/D730-1</f>
        <v/>
      </c>
      <c r="E1486" s="5">
        <f>E731/E730-1</f>
        <v/>
      </c>
      <c r="F1486" s="5">
        <f>F731/F730-1</f>
        <v/>
      </c>
      <c r="G1486" s="5">
        <f>G731/G730-1</f>
        <v/>
      </c>
    </row>
    <row r="1487">
      <c r="A1487" s="2">
        <f>A732</f>
        <v/>
      </c>
      <c r="B1487" s="5">
        <f>B732/B731-1</f>
        <v/>
      </c>
      <c r="C1487" s="5">
        <f>C732/C731-1</f>
        <v/>
      </c>
      <c r="D1487" s="5">
        <f>D732/D731-1</f>
        <v/>
      </c>
      <c r="E1487" s="5">
        <f>E732/E731-1</f>
        <v/>
      </c>
      <c r="F1487" s="5">
        <f>F732/F731-1</f>
        <v/>
      </c>
      <c r="G1487" s="5">
        <f>G732/G731-1</f>
        <v/>
      </c>
    </row>
    <row r="1488">
      <c r="A1488" s="2">
        <f>A733</f>
        <v/>
      </c>
      <c r="B1488" s="5">
        <f>B733/B732-1</f>
        <v/>
      </c>
      <c r="C1488" s="5">
        <f>C733/C732-1</f>
        <v/>
      </c>
      <c r="D1488" s="5">
        <f>D733/D732-1</f>
        <v/>
      </c>
      <c r="E1488" s="5">
        <f>E733/E732-1</f>
        <v/>
      </c>
      <c r="F1488" s="5">
        <f>F733/F732-1</f>
        <v/>
      </c>
      <c r="G1488" s="5">
        <f>G733/G732-1</f>
        <v/>
      </c>
    </row>
    <row r="1489">
      <c r="A1489" s="2">
        <f>A734</f>
        <v/>
      </c>
      <c r="B1489" s="5">
        <f>B734/B733-1</f>
        <v/>
      </c>
      <c r="C1489" s="5">
        <f>C734/C733-1</f>
        <v/>
      </c>
      <c r="D1489" s="5">
        <f>D734/D733-1</f>
        <v/>
      </c>
      <c r="E1489" s="5">
        <f>E734/E733-1</f>
        <v/>
      </c>
      <c r="F1489" s="5">
        <f>F734/F733-1</f>
        <v/>
      </c>
      <c r="G1489" s="5">
        <f>G734/G733-1</f>
        <v/>
      </c>
    </row>
    <row r="1490">
      <c r="A1490" s="2">
        <f>A735</f>
        <v/>
      </c>
      <c r="B1490" s="5">
        <f>B735/B734-1</f>
        <v/>
      </c>
      <c r="C1490" s="5">
        <f>C735/C734-1</f>
        <v/>
      </c>
      <c r="D1490" s="5">
        <f>D735/D734-1</f>
        <v/>
      </c>
      <c r="E1490" s="5">
        <f>E735/E734-1</f>
        <v/>
      </c>
      <c r="F1490" s="5">
        <f>F735/F734-1</f>
        <v/>
      </c>
      <c r="G1490" s="5">
        <f>G735/G734-1</f>
        <v/>
      </c>
    </row>
    <row r="1491">
      <c r="A1491" s="2">
        <f>A736</f>
        <v/>
      </c>
      <c r="B1491" s="5">
        <f>B736/B735-1</f>
        <v/>
      </c>
      <c r="C1491" s="5">
        <f>C736/C735-1</f>
        <v/>
      </c>
      <c r="D1491" s="5">
        <f>D736/D735-1</f>
        <v/>
      </c>
      <c r="E1491" s="5">
        <f>E736/E735-1</f>
        <v/>
      </c>
      <c r="F1491" s="5">
        <f>F736/F735-1</f>
        <v/>
      </c>
      <c r="G1491" s="5">
        <f>G736/G735-1</f>
        <v/>
      </c>
    </row>
    <row r="1492">
      <c r="A1492" s="2">
        <f>A737</f>
        <v/>
      </c>
      <c r="B1492" s="5">
        <f>B737/B736-1</f>
        <v/>
      </c>
      <c r="C1492" s="5">
        <f>C737/C736-1</f>
        <v/>
      </c>
      <c r="D1492" s="5">
        <f>D737/D736-1</f>
        <v/>
      </c>
      <c r="E1492" s="5">
        <f>E737/E736-1</f>
        <v/>
      </c>
      <c r="F1492" s="5">
        <f>F737/F736-1</f>
        <v/>
      </c>
      <c r="G1492" s="5">
        <f>G737/G736-1</f>
        <v/>
      </c>
    </row>
    <row r="1493">
      <c r="A1493" s="2">
        <f>A738</f>
        <v/>
      </c>
      <c r="B1493" s="5">
        <f>B738/B737-1</f>
        <v/>
      </c>
      <c r="C1493" s="5">
        <f>C738/C737-1</f>
        <v/>
      </c>
      <c r="D1493" s="5">
        <f>D738/D737-1</f>
        <v/>
      </c>
      <c r="E1493" s="5">
        <f>E738/E737-1</f>
        <v/>
      </c>
      <c r="F1493" s="5">
        <f>F738/F737-1</f>
        <v/>
      </c>
      <c r="G1493" s="5">
        <f>G738/G737-1</f>
        <v/>
      </c>
    </row>
    <row r="1494">
      <c r="A1494" s="2">
        <f>A739</f>
        <v/>
      </c>
      <c r="B1494" s="5">
        <f>B739/B738-1</f>
        <v/>
      </c>
      <c r="C1494" s="5">
        <f>C739/C738-1</f>
        <v/>
      </c>
      <c r="D1494" s="5">
        <f>D739/D738-1</f>
        <v/>
      </c>
      <c r="E1494" s="5">
        <f>E739/E738-1</f>
        <v/>
      </c>
      <c r="F1494" s="5">
        <f>F739/F738-1</f>
        <v/>
      </c>
      <c r="G1494" s="5">
        <f>G739/G738-1</f>
        <v/>
      </c>
    </row>
    <row r="1495">
      <c r="A1495" s="2">
        <f>A740</f>
        <v/>
      </c>
      <c r="B1495" s="5">
        <f>B740/B739-1</f>
        <v/>
      </c>
      <c r="C1495" s="5">
        <f>C740/C739-1</f>
        <v/>
      </c>
      <c r="D1495" s="5">
        <f>D740/D739-1</f>
        <v/>
      </c>
      <c r="E1495" s="5">
        <f>E740/E739-1</f>
        <v/>
      </c>
      <c r="F1495" s="5">
        <f>F740/F739-1</f>
        <v/>
      </c>
      <c r="G1495" s="5">
        <f>G740/G739-1</f>
        <v/>
      </c>
    </row>
    <row r="1496">
      <c r="A1496" s="2">
        <f>A741</f>
        <v/>
      </c>
      <c r="B1496" s="5">
        <f>B741/B740-1</f>
        <v/>
      </c>
      <c r="C1496" s="5">
        <f>C741/C740-1</f>
        <v/>
      </c>
      <c r="D1496" s="5">
        <f>D741/D740-1</f>
        <v/>
      </c>
      <c r="E1496" s="5">
        <f>E741/E740-1</f>
        <v/>
      </c>
      <c r="F1496" s="5">
        <f>F741/F740-1</f>
        <v/>
      </c>
      <c r="G1496" s="5">
        <f>G741/G740-1</f>
        <v/>
      </c>
    </row>
    <row r="1497">
      <c r="A1497" s="2">
        <f>A742</f>
        <v/>
      </c>
      <c r="B1497" s="5">
        <f>B742/B741-1</f>
        <v/>
      </c>
      <c r="C1497" s="5">
        <f>C742/C741-1</f>
        <v/>
      </c>
      <c r="D1497" s="5">
        <f>D742/D741-1</f>
        <v/>
      </c>
      <c r="E1497" s="5">
        <f>E742/E741-1</f>
        <v/>
      </c>
      <c r="F1497" s="5">
        <f>F742/F741-1</f>
        <v/>
      </c>
      <c r="G1497" s="5">
        <f>G742/G741-1</f>
        <v/>
      </c>
    </row>
    <row r="1498">
      <c r="A1498" s="2">
        <f>A743</f>
        <v/>
      </c>
      <c r="B1498" s="5">
        <f>B743/B742-1</f>
        <v/>
      </c>
      <c r="C1498" s="5">
        <f>C743/C742-1</f>
        <v/>
      </c>
      <c r="D1498" s="5">
        <f>D743/D742-1</f>
        <v/>
      </c>
      <c r="E1498" s="5">
        <f>E743/E742-1</f>
        <v/>
      </c>
      <c r="F1498" s="5">
        <f>F743/F742-1</f>
        <v/>
      </c>
      <c r="G1498" s="5">
        <f>G743/G742-1</f>
        <v/>
      </c>
    </row>
    <row r="1499">
      <c r="A1499" s="2">
        <f>A744</f>
        <v/>
      </c>
      <c r="B1499" s="5">
        <f>B744/B743-1</f>
        <v/>
      </c>
      <c r="C1499" s="5">
        <f>C744/C743-1</f>
        <v/>
      </c>
      <c r="D1499" s="5">
        <f>D744/D743-1</f>
        <v/>
      </c>
      <c r="E1499" s="5">
        <f>E744/E743-1</f>
        <v/>
      </c>
      <c r="F1499" s="5">
        <f>F744/F743-1</f>
        <v/>
      </c>
      <c r="G1499" s="5">
        <f>G744/G743-1</f>
        <v/>
      </c>
    </row>
    <row r="1500">
      <c r="A1500" s="2">
        <f>A745</f>
        <v/>
      </c>
      <c r="B1500" s="5">
        <f>B745/B744-1</f>
        <v/>
      </c>
      <c r="C1500" s="5">
        <f>C745/C744-1</f>
        <v/>
      </c>
      <c r="D1500" s="5">
        <f>D745/D744-1</f>
        <v/>
      </c>
      <c r="E1500" s="5">
        <f>E745/E744-1</f>
        <v/>
      </c>
      <c r="F1500" s="5">
        <f>F745/F744-1</f>
        <v/>
      </c>
      <c r="G1500" s="5">
        <f>G745/G744-1</f>
        <v/>
      </c>
    </row>
    <row r="1501">
      <c r="A1501" s="2">
        <f>A746</f>
        <v/>
      </c>
      <c r="B1501" s="5">
        <f>B746/B745-1</f>
        <v/>
      </c>
      <c r="C1501" s="5">
        <f>C746/C745-1</f>
        <v/>
      </c>
      <c r="D1501" s="5">
        <f>D746/D745-1</f>
        <v/>
      </c>
      <c r="E1501" s="5">
        <f>E746/E745-1</f>
        <v/>
      </c>
      <c r="F1501" s="5">
        <f>F746/F745-1</f>
        <v/>
      </c>
      <c r="G1501" s="5">
        <f>G746/G745-1</f>
        <v/>
      </c>
    </row>
    <row r="1502">
      <c r="A1502" s="2">
        <f>A747</f>
        <v/>
      </c>
      <c r="B1502" s="5">
        <f>B747/B746-1</f>
        <v/>
      </c>
      <c r="C1502" s="5">
        <f>C747/C746-1</f>
        <v/>
      </c>
      <c r="D1502" s="5">
        <f>D747/D746-1</f>
        <v/>
      </c>
      <c r="E1502" s="5">
        <f>E747/E746-1</f>
        <v/>
      </c>
      <c r="F1502" s="5">
        <f>F747/F746-1</f>
        <v/>
      </c>
      <c r="G1502" s="5">
        <f>G747/G746-1</f>
        <v/>
      </c>
    </row>
    <row r="1503">
      <c r="A1503" s="2">
        <f>A748</f>
        <v/>
      </c>
      <c r="B1503" s="5">
        <f>B748/B747-1</f>
        <v/>
      </c>
      <c r="C1503" s="5">
        <f>C748/C747-1</f>
        <v/>
      </c>
      <c r="D1503" s="5">
        <f>D748/D747-1</f>
        <v/>
      </c>
      <c r="E1503" s="5">
        <f>E748/E747-1</f>
        <v/>
      </c>
      <c r="F1503" s="5">
        <f>F748/F747-1</f>
        <v/>
      </c>
      <c r="G1503" s="5">
        <f>G748/G747-1</f>
        <v/>
      </c>
    </row>
    <row r="1504">
      <c r="A1504" s="2">
        <f>A749</f>
        <v/>
      </c>
      <c r="B1504" s="5">
        <f>B749/B748-1</f>
        <v/>
      </c>
      <c r="C1504" s="5">
        <f>C749/C748-1</f>
        <v/>
      </c>
      <c r="D1504" s="5">
        <f>D749/D748-1</f>
        <v/>
      </c>
      <c r="E1504" s="5">
        <f>E749/E748-1</f>
        <v/>
      </c>
      <c r="F1504" s="5">
        <f>F749/F748-1</f>
        <v/>
      </c>
      <c r="G1504" s="5">
        <f>G749/G748-1</f>
        <v/>
      </c>
    </row>
    <row r="1505">
      <c r="A1505" s="2">
        <f>A750</f>
        <v/>
      </c>
      <c r="B1505" s="5">
        <f>B750/B749-1</f>
        <v/>
      </c>
      <c r="C1505" s="5">
        <f>C750/C749-1</f>
        <v/>
      </c>
      <c r="D1505" s="5">
        <f>D750/D749-1</f>
        <v/>
      </c>
      <c r="E1505" s="5">
        <f>E750/E749-1</f>
        <v/>
      </c>
      <c r="F1505" s="5">
        <f>F750/F749-1</f>
        <v/>
      </c>
      <c r="G1505" s="5">
        <f>G750/G749-1</f>
        <v/>
      </c>
    </row>
    <row r="1506">
      <c r="A1506" s="2">
        <f>A751</f>
        <v/>
      </c>
      <c r="B1506" s="5">
        <f>B751/B750-1</f>
        <v/>
      </c>
      <c r="C1506" s="5">
        <f>C751/C750-1</f>
        <v/>
      </c>
      <c r="D1506" s="5">
        <f>D751/D750-1</f>
        <v/>
      </c>
      <c r="E1506" s="5">
        <f>E751/E750-1</f>
        <v/>
      </c>
      <c r="F1506" s="5">
        <f>F751/F750-1</f>
        <v/>
      </c>
      <c r="G1506" s="5">
        <f>G751/G750-1</f>
        <v/>
      </c>
    </row>
    <row r="1507">
      <c r="A1507" s="2">
        <f>A752</f>
        <v/>
      </c>
      <c r="B1507" s="5">
        <f>B752/B751-1</f>
        <v/>
      </c>
      <c r="C1507" s="5">
        <f>C752/C751-1</f>
        <v/>
      </c>
      <c r="D1507" s="5">
        <f>D752/D751-1</f>
        <v/>
      </c>
      <c r="E1507" s="5">
        <f>E752/E751-1</f>
        <v/>
      </c>
      <c r="F1507" s="5">
        <f>F752/F751-1</f>
        <v/>
      </c>
      <c r="G1507" s="5">
        <f>G752/G751-1</f>
        <v/>
      </c>
    </row>
    <row r="1508">
      <c r="A1508" s="2">
        <f>A753</f>
        <v/>
      </c>
      <c r="B1508" s="5">
        <f>B753/B752-1</f>
        <v/>
      </c>
      <c r="C1508" s="5">
        <f>C753/C752-1</f>
        <v/>
      </c>
      <c r="D1508" s="5">
        <f>D753/D752-1</f>
        <v/>
      </c>
      <c r="E1508" s="5">
        <f>E753/E752-1</f>
        <v/>
      </c>
      <c r="F1508" s="5">
        <f>F753/F752-1</f>
        <v/>
      </c>
      <c r="G1508" s="5">
        <f>G753/G752-1</f>
        <v/>
      </c>
    </row>
    <row r="1509">
      <c r="A1509" s="2">
        <f>A754</f>
        <v/>
      </c>
      <c r="B1509" s="5">
        <f>B754/B753-1</f>
        <v/>
      </c>
      <c r="C1509" s="5">
        <f>C754/C753-1</f>
        <v/>
      </c>
      <c r="D1509" s="5">
        <f>D754/D753-1</f>
        <v/>
      </c>
      <c r="E1509" s="5">
        <f>E754/E753-1</f>
        <v/>
      </c>
      <c r="F1509" s="5">
        <f>F754/F753-1</f>
        <v/>
      </c>
      <c r="G1509" s="5">
        <f>G754/G753-1</f>
        <v/>
      </c>
    </row>
    <row r="1511">
      <c r="A1511" s="4" t="inlineStr">
        <is>
          <t>RETURN METRICS</t>
        </is>
      </c>
      <c r="B1511" s="4" t="n"/>
      <c r="C1511" s="4" t="n"/>
      <c r="D1511" s="4" t="n"/>
      <c r="E1511" s="4" t="n"/>
      <c r="F1511" s="4" t="n"/>
      <c r="G1511" s="4" t="n"/>
    </row>
    <row r="1512">
      <c r="A1512" s="6" t="inlineStr">
        <is>
          <t>Total Return</t>
        </is>
      </c>
      <c r="B1512" s="5">
        <f>(B754-B2)/B2</f>
        <v/>
      </c>
      <c r="C1512" s="5">
        <f>(C754-C2)/C2</f>
        <v/>
      </c>
      <c r="D1512" s="5">
        <f>(D754-D2)/D2</f>
        <v/>
      </c>
      <c r="E1512" s="5">
        <f>(E754-E2)/E2</f>
        <v/>
      </c>
      <c r="F1512" s="5">
        <f>(F754-F2)/F2</f>
        <v/>
      </c>
      <c r="G1512" s="5">
        <f>(G754-G2)/G2</f>
        <v/>
      </c>
    </row>
    <row r="1513">
      <c r="A1513" s="6" t="inlineStr">
        <is>
          <t>CAGR</t>
        </is>
      </c>
      <c r="B1513" s="5">
        <f>(B754/B2)^(252/(ROWS(B2:B754)-1))-1</f>
        <v/>
      </c>
      <c r="C1513" s="5">
        <f>(C754/C2)^(252/(ROWS(C2:C754)-1))-1</f>
        <v/>
      </c>
      <c r="D1513" s="5">
        <f>(D754/D2)^(252/(ROWS(D2:D754)-1))-1</f>
        <v/>
      </c>
      <c r="E1513" s="5">
        <f>(E754/E2)^(252/(ROWS(E2:E754)-1))-1</f>
        <v/>
      </c>
      <c r="F1513" s="5">
        <f>(F754/F2)^(252/(ROWS(F2:F754)-1))-1</f>
        <v/>
      </c>
      <c r="G1513" s="5">
        <f>(G754/G2)^(252/(ROWS(G2:G754)-1))-1</f>
        <v/>
      </c>
    </row>
    <row r="1514">
      <c r="A1514" s="6" t="inlineStr">
        <is>
          <t>Annualized Return</t>
        </is>
      </c>
      <c r="B1514" s="5">
        <f>AVERAGE(B758:B1509)*252</f>
        <v/>
      </c>
      <c r="C1514" s="5">
        <f>AVERAGE(C758:C1509)*252</f>
        <v/>
      </c>
      <c r="D1514" s="5">
        <f>AVERAGE(D758:D1509)*252</f>
        <v/>
      </c>
      <c r="E1514" s="5">
        <f>AVERAGE(E758:E1509)*252</f>
        <v/>
      </c>
      <c r="F1514" s="5">
        <f>AVERAGE(F758:F1509)*252</f>
        <v/>
      </c>
      <c r="G1514" s="5">
        <f>AVERAGE(G758:G1509)*252</f>
        <v/>
      </c>
    </row>
    <row r="1515">
      <c r="A1515" s="6" t="inlineStr">
        <is>
          <t>Annualized Volatility</t>
        </is>
      </c>
      <c r="B1515" s="5">
        <f>STDEV(B758:B1509)*SQRT(252)</f>
        <v/>
      </c>
      <c r="C1515" s="5">
        <f>STDEV(C758:C1509)*SQRT(252)</f>
        <v/>
      </c>
      <c r="D1515" s="5">
        <f>STDEV(D758:D1509)*SQRT(252)</f>
        <v/>
      </c>
      <c r="E1515" s="5">
        <f>STDEV(E758:E1509)*SQRT(252)</f>
        <v/>
      </c>
      <c r="F1515" s="5">
        <f>STDEV(F758:F1509)*SQRT(252)</f>
        <v/>
      </c>
      <c r="G1515" s="5">
        <f>STDEV(G758:G1509)*SQRT(252)</f>
        <v/>
      </c>
    </row>
    <row r="1517">
      <c r="A1517" s="4" t="inlineStr">
        <is>
          <t>RISK METRICS  (95% confidence)</t>
        </is>
      </c>
      <c r="B1517" s="4" t="n"/>
      <c r="C1517" s="4" t="n"/>
      <c r="D1517" s="4" t="n"/>
      <c r="E1517" s="4" t="n"/>
      <c r="F1517" s="4" t="n"/>
      <c r="G1517" s="4" t="n"/>
    </row>
    <row r="1518">
      <c r="A1518" s="6" t="inlineStr">
        <is>
          <t>Max Drawdown *</t>
        </is>
      </c>
      <c r="B1518" s="5" t="n">
        <v>-0.1875566842009794</v>
      </c>
      <c r="C1518" s="5" t="n">
        <v>-0.1932501155802127</v>
      </c>
      <c r="D1518" s="5" t="n">
        <v>-0.2796754910333049</v>
      </c>
      <c r="E1518" s="5" t="n">
        <v>-0.2419193602132623</v>
      </c>
      <c r="F1518" s="5" t="n">
        <v>-0.00376535869996032</v>
      </c>
      <c r="G1518" s="5" t="n">
        <v>-0.1890191304234605</v>
      </c>
    </row>
    <row r="1519">
      <c r="A1519" s="6" t="inlineStr">
        <is>
          <t>VaR 95% Daily</t>
        </is>
      </c>
      <c r="B1519" s="5">
        <f>-PERCENTILE(B758:B1509,0.05)</f>
        <v/>
      </c>
      <c r="C1519" s="5">
        <f>-PERCENTILE(C758:C1509,0.05)</f>
        <v/>
      </c>
      <c r="D1519" s="5">
        <f>-PERCENTILE(D758:D1509,0.05)</f>
        <v/>
      </c>
      <c r="E1519" s="5">
        <f>-PERCENTILE(E758:E1509,0.05)</f>
        <v/>
      </c>
      <c r="F1519" s="5">
        <f>-PERCENTILE(F758:F1509,0.05)</f>
        <v/>
      </c>
      <c r="G1519" s="5">
        <f>-PERCENTILE(G758:G1509,0.05)</f>
        <v/>
      </c>
    </row>
    <row r="1520">
      <c r="A1520" s="6" t="inlineStr">
        <is>
          <t>ES 95% Daily</t>
        </is>
      </c>
      <c r="B1520" s="5">
        <f>-AVERAGEIF(B758:B1509,"&lt;="&amp;PERCENTILE(B758:B1509,0.05))</f>
        <v/>
      </c>
      <c r="C1520" s="5">
        <f>-AVERAGEIF(C758:C1509,"&lt;="&amp;PERCENTILE(C758:C1509,0.05))</f>
        <v/>
      </c>
      <c r="D1520" s="5">
        <f>-AVERAGEIF(D758:D1509,"&lt;="&amp;PERCENTILE(D758:D1509,0.05))</f>
        <v/>
      </c>
      <c r="E1520" s="5">
        <f>-AVERAGEIF(E758:E1509,"&lt;="&amp;PERCENTILE(E758:E1509,0.05))</f>
        <v/>
      </c>
      <c r="F1520" s="5">
        <f>-AVERAGEIF(F758:F1509,"&lt;="&amp;PERCENTILE(F758:F1509,0.05))</f>
        <v/>
      </c>
      <c r="G1520" s="5">
        <f>-AVERAGEIF(G758:G1509,"&lt;="&amp;PERCENTILE(G758:G1509,0.05))</f>
        <v/>
      </c>
    </row>
    <row r="1522">
      <c r="A1522" s="7" t="inlineStr">
        <is>
          <t>* Max Drawdown: pre-computed (max peak-to-trough decline). All other metrics use Excel formulas above.</t>
        </is>
      </c>
    </row>
    <row r="1524">
      <c r="A1524" s="4" t="inlineStr">
        <is>
          <t>RISK-ADJUSTED RATIOS</t>
        </is>
      </c>
      <c r="B1524" s="4" t="n"/>
      <c r="C1524" s="4" t="n"/>
      <c r="D1524" s="4" t="n"/>
      <c r="E1524" s="4" t="n"/>
      <c r="F1524" s="4" t="n"/>
      <c r="G1524" s="4" t="n"/>
    </row>
    <row r="1525">
      <c r="A1525" s="6" t="inlineStr">
        <is>
          <t>Sharpe Ratio</t>
        </is>
      </c>
      <c r="B1525" s="8">
        <f>(AVERAGE(B758:B1509)*252-0.04)/(STDEV(B758:B1509)*SQRT(252))</f>
        <v/>
      </c>
      <c r="C1525" s="8">
        <f>(AVERAGE(C758:C1509)*252-0.04)/(STDEV(C758:C1509)*SQRT(252))</f>
        <v/>
      </c>
      <c r="D1525" s="8">
        <f>(AVERAGE(D758:D1509)*252-0.04)/(STDEV(D758:D1509)*SQRT(252))</f>
        <v/>
      </c>
      <c r="E1525" s="8">
        <f>(AVERAGE(E758:E1509)*252-0.04)/(STDEV(E758:E1509)*SQRT(252))</f>
        <v/>
      </c>
      <c r="F1525" s="8">
        <f>(AVERAGE(F758:F1509)*252-0.04)/(STDEV(F758:F1509)*SQRT(252))</f>
        <v/>
      </c>
      <c r="G1525" s="8">
        <f>(AVERAGE(G758:G1509)*252-0.04)/(STDEV(G758:G1509)*SQRT(252))</f>
        <v/>
      </c>
    </row>
    <row r="1526">
      <c r="A1526" s="6" t="inlineStr">
        <is>
          <t>Sortino Ratio</t>
        </is>
      </c>
      <c r="B1526" s="8">
        <f>(AVERAGE(B758:B1509)*252-0.04)/(SQRT(SUMPRODUCT(((B758:B1509-0.00015873015873015873)*(B758:B1509&lt;0.00015873015873015873))^2)/ROWS(B758:B1509))*SQRT(252))</f>
        <v/>
      </c>
      <c r="C1526" s="8">
        <f>(AVERAGE(C758:C1509)*252-0.04)/(SQRT(SUMPRODUCT(((C758:C1509-0.00015873015873015873)*(C758:C1509&lt;0.00015873015873015873))^2)/ROWS(C758:C1509))*SQRT(252))</f>
        <v/>
      </c>
      <c r="D1526" s="8">
        <f>(AVERAGE(D758:D1509)*252-0.04)/(SQRT(SUMPRODUCT(((D758:D1509-0.00015873015873015873)*(D758:D1509&lt;0.00015873015873015873))^2)/ROWS(D758:D1509))*SQRT(252))</f>
        <v/>
      </c>
      <c r="E1526" s="8">
        <f>(AVERAGE(E758:E1509)*252-0.04)/(SQRT(SUMPRODUCT(((E758:E1509-0.00015873015873015873)*(E758:E1509&lt;0.00015873015873015873))^2)/ROWS(E758:E1509))*SQRT(252))</f>
        <v/>
      </c>
      <c r="F1526" s="8">
        <f>(AVERAGE(F758:F1509)*252-0.04)/(SQRT(SUMPRODUCT(((F758:F1509-0.00015873015873015873)*(F758:F1509&lt;0.00015873015873015873))^2)/ROWS(F758:F1509))*SQRT(252))</f>
        <v/>
      </c>
      <c r="G1526" s="8">
        <f>(AVERAGE(G758:G1509)*252-0.04)/(SQRT(SUMPRODUCT(((G758:G1509-0.00015873015873015873)*(G758:G1509&lt;0.00015873015873015873))^2)/ROWS(G758:G1509))*SQRT(252))</f>
        <v/>
      </c>
    </row>
    <row r="1527">
      <c r="A1527" s="6" t="inlineStr">
        <is>
          <t>Treynor Ratio</t>
        </is>
      </c>
      <c r="B1527" s="8">
        <f>(AVERAGE(B758:B1509)*252-0.04)/B1530</f>
        <v/>
      </c>
      <c r="C1527" s="8">
        <f>(AVERAGE(C758:C1509)*252-0.04)/C1530</f>
        <v/>
      </c>
      <c r="D1527" s="8">
        <f>(AVERAGE(D758:D1509)*252-0.04)/D1530</f>
        <v/>
      </c>
      <c r="E1527" s="8">
        <f>(AVERAGE(E758:E1509)*252-0.04)/E1530</f>
        <v/>
      </c>
      <c r="F1527" s="8">
        <f>(AVERAGE(F758:F1509)*252-0.04)/F1530</f>
        <v/>
      </c>
      <c r="G1527" s="8">
        <f>(AVERAGE(G758:G1509)*252-0.04)/1</f>
        <v/>
      </c>
    </row>
    <row r="1529">
      <c r="A1529" s="4" t="inlineStr">
        <is>
          <t>RELATIVE METRICS vs S&amp;P 500</t>
        </is>
      </c>
      <c r="B1529" s="4" t="n"/>
      <c r="C1529" s="4" t="n"/>
      <c r="D1529" s="4" t="n"/>
      <c r="E1529" s="4" t="n"/>
      <c r="F1529" s="4" t="n"/>
      <c r="G1529" s="4" t="n"/>
    </row>
    <row r="1530">
      <c r="A1530" s="6" t="inlineStr">
        <is>
          <t>Beta</t>
        </is>
      </c>
      <c r="B1530" s="8">
        <f>SLOPE(B758:B1509,G758:G1509)</f>
        <v/>
      </c>
      <c r="C1530" s="8">
        <f>SLOPE(C758:C1509,G758:G1509)</f>
        <v/>
      </c>
      <c r="D1530" s="8">
        <f>SLOPE(D758:D1509,G758:G1509)</f>
        <v/>
      </c>
      <c r="E1530" s="8">
        <f>SLOPE(E758:E1509,G758:G1509)</f>
        <v/>
      </c>
      <c r="F1530" s="8">
        <f>SLOPE(F758:F1509,G758:G1509)</f>
        <v/>
      </c>
      <c r="G1530" s="9" t="inlineStr">
        <is>
          <t>—</t>
        </is>
      </c>
    </row>
    <row r="1531">
      <c r="A1531" s="6" t="inlineStr">
        <is>
          <t>Alpha (Annualized)</t>
        </is>
      </c>
      <c r="B1531" s="5">
        <f>(AVERAGE(B758:B1509)*252-0.04)-B1530*(AVERAGE(G758:G1509)*252-0.04)</f>
        <v/>
      </c>
      <c r="C1531" s="5">
        <f>(AVERAGE(C758:C1509)*252-0.04)-C1530*(AVERAGE(G758:G1509)*252-0.04)</f>
        <v/>
      </c>
      <c r="D1531" s="5">
        <f>(AVERAGE(D758:D1509)*252-0.04)-D1530*(AVERAGE(G758:G1509)*252-0.04)</f>
        <v/>
      </c>
      <c r="E1531" s="5">
        <f>(AVERAGE(E758:E1509)*252-0.04)-E1530*(AVERAGE(G758:G1509)*252-0.04)</f>
        <v/>
      </c>
      <c r="F1531" s="5">
        <f>(AVERAGE(F758:F1509)*252-0.04)-F1530*(AVERAGE(G758:G1509)*252-0.04)</f>
        <v/>
      </c>
      <c r="G1531" s="9" t="inlineStr">
        <is>
          <t>—</t>
        </is>
      </c>
    </row>
    <row r="1532">
      <c r="A1532" s="6" t="inlineStr">
        <is>
          <t>Excess Return</t>
        </is>
      </c>
      <c r="B1532" s="5">
        <f>AVERAGE(B758:B1509)*252-AVERAGE(G758:G1509)*252</f>
        <v/>
      </c>
      <c r="C1532" s="5">
        <f>AVERAGE(C758:C1509)*252-AVERAGE(G758:G1509)*252</f>
        <v/>
      </c>
      <c r="D1532" s="5">
        <f>AVERAGE(D758:D1509)*252-AVERAGE(G758:G1509)*252</f>
        <v/>
      </c>
      <c r="E1532" s="5">
        <f>AVERAGE(E758:E1509)*252-AVERAGE(G758:G1509)*252</f>
        <v/>
      </c>
      <c r="F1532" s="5">
        <f>AVERAGE(F758:F1509)*252-AVERAGE(G758:G1509)*252</f>
        <v/>
      </c>
      <c r="G1532" s="9" t="inlineStr">
        <is>
          <t>—</t>
        </is>
      </c>
    </row>
    <row r="1533">
      <c r="A1533" s="6" t="inlineStr">
        <is>
          <t>Tracking Error</t>
        </is>
      </c>
      <c r="B1533" s="5">
        <f>SQRT(SUMPRODUCT((B758:B1509-G758:G1509-AVERAGE(B758:B1509)+AVERAGE(G758:G1509))^2)/(ROWS(B758:B1509)-1))*SQRT(252)</f>
        <v/>
      </c>
      <c r="C1533" s="5">
        <f>SQRT(SUMPRODUCT((C758:C1509-G758:G1509-AVERAGE(C758:C1509)+AVERAGE(G758:G1509))^2)/(ROWS(C758:C1509)-1))*SQRT(252)</f>
        <v/>
      </c>
      <c r="D1533" s="5">
        <f>SQRT(SUMPRODUCT((D758:D1509-G758:G1509-AVERAGE(D758:D1509)+AVERAGE(G758:G1509))^2)/(ROWS(D758:D1509)-1))*SQRT(252)</f>
        <v/>
      </c>
      <c r="E1533" s="5">
        <f>SQRT(SUMPRODUCT((E758:E1509-G758:G1509-AVERAGE(E758:E1509)+AVERAGE(G758:G1509))^2)/(ROWS(E758:E1509)-1))*SQRT(252)</f>
        <v/>
      </c>
      <c r="F1533" s="5">
        <f>SQRT(SUMPRODUCT((F758:F1509-G758:G1509-AVERAGE(F758:F1509)+AVERAGE(G758:G1509))^2)/(ROWS(F758:F1509)-1))*SQRT(252)</f>
        <v/>
      </c>
      <c r="G1533" s="9" t="inlineStr">
        <is>
          <t>—</t>
        </is>
      </c>
    </row>
    <row r="1534">
      <c r="A1534" s="6" t="inlineStr">
        <is>
          <t>Information Ratio</t>
        </is>
      </c>
      <c r="B1534" s="8">
        <f>B1532/B1533</f>
        <v/>
      </c>
      <c r="C1534" s="8">
        <f>C1532/C1533</f>
        <v/>
      </c>
      <c r="D1534" s="8">
        <f>D1532/D1533</f>
        <v/>
      </c>
      <c r="E1534" s="8">
        <f>E1532/E1533</f>
        <v/>
      </c>
      <c r="F1534" s="8">
        <f>F1532/F1533</f>
        <v/>
      </c>
      <c r="G1534" s="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</cols>
  <sheetData>
    <row r="1">
      <c r="A1" s="10" t="inlineStr">
        <is>
          <t>EQUAL-WEIGHT PORTFOLIO ANALYSIS</t>
        </is>
      </c>
    </row>
    <row r="2">
      <c r="A2" s="11" t="inlineStr">
        <is>
          <t>Tickers: IVV, ARCC, TSLX, BXSL, JPST  |  Benchmark: S&amp;P 500  |  Risk-Free Rate: 4.00%</t>
        </is>
      </c>
    </row>
    <row r="4">
      <c r="A4" s="4" t="inlineStr">
        <is>
          <t>PORTFOLIO WEIGHTS</t>
        </is>
      </c>
      <c r="B4" s="4" t="n"/>
    </row>
    <row r="5">
      <c r="A5" s="1" t="inlineStr">
        <is>
          <t>Ticker</t>
        </is>
      </c>
      <c r="B5" s="1" t="inlineStr">
        <is>
          <t>Weight</t>
        </is>
      </c>
    </row>
    <row r="6">
      <c r="A6" s="12" t="inlineStr">
        <is>
          <t>IVV</t>
        </is>
      </c>
      <c r="B6" s="5" t="n">
        <v>0.33</v>
      </c>
    </row>
    <row r="7">
      <c r="A7" s="12" t="inlineStr">
        <is>
          <t>ARCC</t>
        </is>
      </c>
      <c r="B7" s="5" t="n">
        <v>0.127</v>
      </c>
    </row>
    <row r="8">
      <c r="A8" s="12" t="inlineStr">
        <is>
          <t>TSLX</t>
        </is>
      </c>
      <c r="B8" s="5" t="n">
        <v>0.12</v>
      </c>
    </row>
    <row r="9">
      <c r="A9" s="12" t="inlineStr">
        <is>
          <t>BXSL</t>
        </is>
      </c>
      <c r="B9" s="5" t="n">
        <v>0.08599999999999999</v>
      </c>
    </row>
    <row r="10">
      <c r="A10" s="12" t="inlineStr">
        <is>
          <t>JPST</t>
        </is>
      </c>
      <c r="B10" s="5" t="n">
        <v>0.337</v>
      </c>
    </row>
    <row r="12">
      <c r="A12" s="4" t="inlineStr">
        <is>
          <t>PORTFOLIO DAILY RETURNS</t>
        </is>
      </c>
      <c r="B12" s="4" t="n"/>
      <c r="C12" s="4" t="n"/>
    </row>
    <row r="13">
      <c r="A13" s="1" t="inlineStr">
        <is>
          <t>Date</t>
        </is>
      </c>
      <c r="B13" s="1" t="inlineStr">
        <is>
          <t>Daily Return</t>
        </is>
      </c>
      <c r="C13" s="1" t="inlineStr">
        <is>
          <t>Cum. Return</t>
        </is>
      </c>
    </row>
    <row r="14">
      <c r="A14" s="2">
        <f>'Adj Close Prices'!A758</f>
        <v/>
      </c>
      <c r="B14" s="5">
        <f>0.33000000*'Adj Close Prices'!B758+0.12700000*'Adj Close Prices'!C758+0.12000000*'Adj Close Prices'!D758+0.08600000*'Adj Close Prices'!E758+0.33700000*'Adj Close Prices'!F758</f>
        <v/>
      </c>
      <c r="C14" s="13">
        <f>1+B14</f>
        <v/>
      </c>
    </row>
    <row r="15">
      <c r="A15" s="2">
        <f>'Adj Close Prices'!A759</f>
        <v/>
      </c>
      <c r="B15" s="5">
        <f>0.33000000*'Adj Close Prices'!B759+0.12700000*'Adj Close Prices'!C759+0.12000000*'Adj Close Prices'!D759+0.08600000*'Adj Close Prices'!E759+0.33700000*'Adj Close Prices'!F759</f>
        <v/>
      </c>
      <c r="C15" s="13">
        <f>C14*(1+B15)</f>
        <v/>
      </c>
    </row>
    <row r="16">
      <c r="A16" s="2">
        <f>'Adj Close Prices'!A760</f>
        <v/>
      </c>
      <c r="B16" s="5">
        <f>0.33000000*'Adj Close Prices'!B760+0.12700000*'Adj Close Prices'!C760+0.12000000*'Adj Close Prices'!D760+0.08600000*'Adj Close Prices'!E760+0.33700000*'Adj Close Prices'!F760</f>
        <v/>
      </c>
      <c r="C16" s="13">
        <f>C15*(1+B16)</f>
        <v/>
      </c>
    </row>
    <row r="17">
      <c r="A17" s="2">
        <f>'Adj Close Prices'!A761</f>
        <v/>
      </c>
      <c r="B17" s="5">
        <f>0.33000000*'Adj Close Prices'!B761+0.12700000*'Adj Close Prices'!C761+0.12000000*'Adj Close Prices'!D761+0.08600000*'Adj Close Prices'!E761+0.33700000*'Adj Close Prices'!F761</f>
        <v/>
      </c>
      <c r="C17" s="13">
        <f>C16*(1+B17)</f>
        <v/>
      </c>
    </row>
    <row r="18">
      <c r="A18" s="2">
        <f>'Adj Close Prices'!A762</f>
        <v/>
      </c>
      <c r="B18" s="5">
        <f>0.33000000*'Adj Close Prices'!B762+0.12700000*'Adj Close Prices'!C762+0.12000000*'Adj Close Prices'!D762+0.08600000*'Adj Close Prices'!E762+0.33700000*'Adj Close Prices'!F762</f>
        <v/>
      </c>
      <c r="C18" s="13">
        <f>C17*(1+B18)</f>
        <v/>
      </c>
    </row>
    <row r="19">
      <c r="A19" s="2">
        <f>'Adj Close Prices'!A763</f>
        <v/>
      </c>
      <c r="B19" s="5">
        <f>0.33000000*'Adj Close Prices'!B763+0.12700000*'Adj Close Prices'!C763+0.12000000*'Adj Close Prices'!D763+0.08600000*'Adj Close Prices'!E763+0.33700000*'Adj Close Prices'!F763</f>
        <v/>
      </c>
      <c r="C19" s="13">
        <f>C18*(1+B19)</f>
        <v/>
      </c>
    </row>
    <row r="20">
      <c r="A20" s="2">
        <f>'Adj Close Prices'!A764</f>
        <v/>
      </c>
      <c r="B20" s="5">
        <f>0.33000000*'Adj Close Prices'!B764+0.12700000*'Adj Close Prices'!C764+0.12000000*'Adj Close Prices'!D764+0.08600000*'Adj Close Prices'!E764+0.33700000*'Adj Close Prices'!F764</f>
        <v/>
      </c>
      <c r="C20" s="13">
        <f>C19*(1+B20)</f>
        <v/>
      </c>
    </row>
    <row r="21">
      <c r="A21" s="2">
        <f>'Adj Close Prices'!A765</f>
        <v/>
      </c>
      <c r="B21" s="5">
        <f>0.33000000*'Adj Close Prices'!B765+0.12700000*'Adj Close Prices'!C765+0.12000000*'Adj Close Prices'!D765+0.08600000*'Adj Close Prices'!E765+0.33700000*'Adj Close Prices'!F765</f>
        <v/>
      </c>
      <c r="C21" s="13">
        <f>C20*(1+B21)</f>
        <v/>
      </c>
    </row>
    <row r="22">
      <c r="A22" s="2">
        <f>'Adj Close Prices'!A766</f>
        <v/>
      </c>
      <c r="B22" s="5">
        <f>0.33000000*'Adj Close Prices'!B766+0.12700000*'Adj Close Prices'!C766+0.12000000*'Adj Close Prices'!D766+0.08600000*'Adj Close Prices'!E766+0.33700000*'Adj Close Prices'!F766</f>
        <v/>
      </c>
      <c r="C22" s="13">
        <f>C21*(1+B22)</f>
        <v/>
      </c>
    </row>
    <row r="23">
      <c r="A23" s="2">
        <f>'Adj Close Prices'!A767</f>
        <v/>
      </c>
      <c r="B23" s="5">
        <f>0.33000000*'Adj Close Prices'!B767+0.12700000*'Adj Close Prices'!C767+0.12000000*'Adj Close Prices'!D767+0.08600000*'Adj Close Prices'!E767+0.33700000*'Adj Close Prices'!F767</f>
        <v/>
      </c>
      <c r="C23" s="13">
        <f>C22*(1+B23)</f>
        <v/>
      </c>
    </row>
    <row r="24">
      <c r="A24" s="2">
        <f>'Adj Close Prices'!A768</f>
        <v/>
      </c>
      <c r="B24" s="5">
        <f>0.33000000*'Adj Close Prices'!B768+0.12700000*'Adj Close Prices'!C768+0.12000000*'Adj Close Prices'!D768+0.08600000*'Adj Close Prices'!E768+0.33700000*'Adj Close Prices'!F768</f>
        <v/>
      </c>
      <c r="C24" s="13">
        <f>C23*(1+B24)</f>
        <v/>
      </c>
    </row>
    <row r="25">
      <c r="A25" s="2">
        <f>'Adj Close Prices'!A769</f>
        <v/>
      </c>
      <c r="B25" s="5">
        <f>0.33000000*'Adj Close Prices'!B769+0.12700000*'Adj Close Prices'!C769+0.12000000*'Adj Close Prices'!D769+0.08600000*'Adj Close Prices'!E769+0.33700000*'Adj Close Prices'!F769</f>
        <v/>
      </c>
      <c r="C25" s="13">
        <f>C24*(1+B25)</f>
        <v/>
      </c>
    </row>
    <row r="26">
      <c r="A26" s="2">
        <f>'Adj Close Prices'!A770</f>
        <v/>
      </c>
      <c r="B26" s="5">
        <f>0.33000000*'Adj Close Prices'!B770+0.12700000*'Adj Close Prices'!C770+0.12000000*'Adj Close Prices'!D770+0.08600000*'Adj Close Prices'!E770+0.33700000*'Adj Close Prices'!F770</f>
        <v/>
      </c>
      <c r="C26" s="13">
        <f>C25*(1+B26)</f>
        <v/>
      </c>
    </row>
    <row r="27">
      <c r="A27" s="2">
        <f>'Adj Close Prices'!A771</f>
        <v/>
      </c>
      <c r="B27" s="5">
        <f>0.33000000*'Adj Close Prices'!B771+0.12700000*'Adj Close Prices'!C771+0.12000000*'Adj Close Prices'!D771+0.08600000*'Adj Close Prices'!E771+0.33700000*'Adj Close Prices'!F771</f>
        <v/>
      </c>
      <c r="C27" s="13">
        <f>C26*(1+B27)</f>
        <v/>
      </c>
    </row>
    <row r="28">
      <c r="A28" s="2">
        <f>'Adj Close Prices'!A772</f>
        <v/>
      </c>
      <c r="B28" s="5">
        <f>0.33000000*'Adj Close Prices'!B772+0.12700000*'Adj Close Prices'!C772+0.12000000*'Adj Close Prices'!D772+0.08600000*'Adj Close Prices'!E772+0.33700000*'Adj Close Prices'!F772</f>
        <v/>
      </c>
      <c r="C28" s="13">
        <f>C27*(1+B28)</f>
        <v/>
      </c>
    </row>
    <row r="29">
      <c r="A29" s="2">
        <f>'Adj Close Prices'!A773</f>
        <v/>
      </c>
      <c r="B29" s="5">
        <f>0.33000000*'Adj Close Prices'!B773+0.12700000*'Adj Close Prices'!C773+0.12000000*'Adj Close Prices'!D773+0.08600000*'Adj Close Prices'!E773+0.33700000*'Adj Close Prices'!F773</f>
        <v/>
      </c>
      <c r="C29" s="13">
        <f>C28*(1+B29)</f>
        <v/>
      </c>
    </row>
    <row r="30">
      <c r="A30" s="2">
        <f>'Adj Close Prices'!A774</f>
        <v/>
      </c>
      <c r="B30" s="5">
        <f>0.33000000*'Adj Close Prices'!B774+0.12700000*'Adj Close Prices'!C774+0.12000000*'Adj Close Prices'!D774+0.08600000*'Adj Close Prices'!E774+0.33700000*'Adj Close Prices'!F774</f>
        <v/>
      </c>
      <c r="C30" s="13">
        <f>C29*(1+B30)</f>
        <v/>
      </c>
    </row>
    <row r="31">
      <c r="A31" s="2">
        <f>'Adj Close Prices'!A775</f>
        <v/>
      </c>
      <c r="B31" s="5">
        <f>0.33000000*'Adj Close Prices'!B775+0.12700000*'Adj Close Prices'!C775+0.12000000*'Adj Close Prices'!D775+0.08600000*'Adj Close Prices'!E775+0.33700000*'Adj Close Prices'!F775</f>
        <v/>
      </c>
      <c r="C31" s="13">
        <f>C30*(1+B31)</f>
        <v/>
      </c>
    </row>
    <row r="32">
      <c r="A32" s="2">
        <f>'Adj Close Prices'!A776</f>
        <v/>
      </c>
      <c r="B32" s="5">
        <f>0.33000000*'Adj Close Prices'!B776+0.12700000*'Adj Close Prices'!C776+0.12000000*'Adj Close Prices'!D776+0.08600000*'Adj Close Prices'!E776+0.33700000*'Adj Close Prices'!F776</f>
        <v/>
      </c>
      <c r="C32" s="13">
        <f>C31*(1+B32)</f>
        <v/>
      </c>
    </row>
    <row r="33">
      <c r="A33" s="2">
        <f>'Adj Close Prices'!A777</f>
        <v/>
      </c>
      <c r="B33" s="5">
        <f>0.33000000*'Adj Close Prices'!B777+0.12700000*'Adj Close Prices'!C777+0.12000000*'Adj Close Prices'!D777+0.08600000*'Adj Close Prices'!E777+0.33700000*'Adj Close Prices'!F777</f>
        <v/>
      </c>
      <c r="C33" s="13">
        <f>C32*(1+B33)</f>
        <v/>
      </c>
    </row>
    <row r="34">
      <c r="A34" s="2">
        <f>'Adj Close Prices'!A778</f>
        <v/>
      </c>
      <c r="B34" s="5">
        <f>0.33000000*'Adj Close Prices'!B778+0.12700000*'Adj Close Prices'!C778+0.12000000*'Adj Close Prices'!D778+0.08600000*'Adj Close Prices'!E778+0.33700000*'Adj Close Prices'!F778</f>
        <v/>
      </c>
      <c r="C34" s="13">
        <f>C33*(1+B34)</f>
        <v/>
      </c>
    </row>
    <row r="35">
      <c r="A35" s="2">
        <f>'Adj Close Prices'!A779</f>
        <v/>
      </c>
      <c r="B35" s="5">
        <f>0.33000000*'Adj Close Prices'!B779+0.12700000*'Adj Close Prices'!C779+0.12000000*'Adj Close Prices'!D779+0.08600000*'Adj Close Prices'!E779+0.33700000*'Adj Close Prices'!F779</f>
        <v/>
      </c>
      <c r="C35" s="13">
        <f>C34*(1+B35)</f>
        <v/>
      </c>
    </row>
    <row r="36">
      <c r="A36" s="2">
        <f>'Adj Close Prices'!A780</f>
        <v/>
      </c>
      <c r="B36" s="5">
        <f>0.33000000*'Adj Close Prices'!B780+0.12700000*'Adj Close Prices'!C780+0.12000000*'Adj Close Prices'!D780+0.08600000*'Adj Close Prices'!E780+0.33700000*'Adj Close Prices'!F780</f>
        <v/>
      </c>
      <c r="C36" s="13">
        <f>C35*(1+B36)</f>
        <v/>
      </c>
    </row>
    <row r="37">
      <c r="A37" s="2">
        <f>'Adj Close Prices'!A781</f>
        <v/>
      </c>
      <c r="B37" s="5">
        <f>0.33000000*'Adj Close Prices'!B781+0.12700000*'Adj Close Prices'!C781+0.12000000*'Adj Close Prices'!D781+0.08600000*'Adj Close Prices'!E781+0.33700000*'Adj Close Prices'!F781</f>
        <v/>
      </c>
      <c r="C37" s="13">
        <f>C36*(1+B37)</f>
        <v/>
      </c>
    </row>
    <row r="38">
      <c r="A38" s="2">
        <f>'Adj Close Prices'!A782</f>
        <v/>
      </c>
      <c r="B38" s="5">
        <f>0.33000000*'Adj Close Prices'!B782+0.12700000*'Adj Close Prices'!C782+0.12000000*'Adj Close Prices'!D782+0.08600000*'Adj Close Prices'!E782+0.33700000*'Adj Close Prices'!F782</f>
        <v/>
      </c>
      <c r="C38" s="13">
        <f>C37*(1+B38)</f>
        <v/>
      </c>
    </row>
    <row r="39">
      <c r="A39" s="2">
        <f>'Adj Close Prices'!A783</f>
        <v/>
      </c>
      <c r="B39" s="5">
        <f>0.33000000*'Adj Close Prices'!B783+0.12700000*'Adj Close Prices'!C783+0.12000000*'Adj Close Prices'!D783+0.08600000*'Adj Close Prices'!E783+0.33700000*'Adj Close Prices'!F783</f>
        <v/>
      </c>
      <c r="C39" s="13">
        <f>C38*(1+B39)</f>
        <v/>
      </c>
    </row>
    <row r="40">
      <c r="A40" s="2">
        <f>'Adj Close Prices'!A784</f>
        <v/>
      </c>
      <c r="B40" s="5">
        <f>0.33000000*'Adj Close Prices'!B784+0.12700000*'Adj Close Prices'!C784+0.12000000*'Adj Close Prices'!D784+0.08600000*'Adj Close Prices'!E784+0.33700000*'Adj Close Prices'!F784</f>
        <v/>
      </c>
      <c r="C40" s="13">
        <f>C39*(1+B40)</f>
        <v/>
      </c>
    </row>
    <row r="41">
      <c r="A41" s="2">
        <f>'Adj Close Prices'!A785</f>
        <v/>
      </c>
      <c r="B41" s="5">
        <f>0.33000000*'Adj Close Prices'!B785+0.12700000*'Adj Close Prices'!C785+0.12000000*'Adj Close Prices'!D785+0.08600000*'Adj Close Prices'!E785+0.33700000*'Adj Close Prices'!F785</f>
        <v/>
      </c>
      <c r="C41" s="13">
        <f>C40*(1+B41)</f>
        <v/>
      </c>
    </row>
    <row r="42">
      <c r="A42" s="2">
        <f>'Adj Close Prices'!A786</f>
        <v/>
      </c>
      <c r="B42" s="5">
        <f>0.33000000*'Adj Close Prices'!B786+0.12700000*'Adj Close Prices'!C786+0.12000000*'Adj Close Prices'!D786+0.08600000*'Adj Close Prices'!E786+0.33700000*'Adj Close Prices'!F786</f>
        <v/>
      </c>
      <c r="C42" s="13">
        <f>C41*(1+B42)</f>
        <v/>
      </c>
    </row>
    <row r="43">
      <c r="A43" s="2">
        <f>'Adj Close Prices'!A787</f>
        <v/>
      </c>
      <c r="B43" s="5">
        <f>0.33000000*'Adj Close Prices'!B787+0.12700000*'Adj Close Prices'!C787+0.12000000*'Adj Close Prices'!D787+0.08600000*'Adj Close Prices'!E787+0.33700000*'Adj Close Prices'!F787</f>
        <v/>
      </c>
      <c r="C43" s="13">
        <f>C42*(1+B43)</f>
        <v/>
      </c>
    </row>
    <row r="44">
      <c r="A44" s="2">
        <f>'Adj Close Prices'!A788</f>
        <v/>
      </c>
      <c r="B44" s="5">
        <f>0.33000000*'Adj Close Prices'!B788+0.12700000*'Adj Close Prices'!C788+0.12000000*'Adj Close Prices'!D788+0.08600000*'Adj Close Prices'!E788+0.33700000*'Adj Close Prices'!F788</f>
        <v/>
      </c>
      <c r="C44" s="13">
        <f>C43*(1+B44)</f>
        <v/>
      </c>
    </row>
    <row r="45">
      <c r="A45" s="2">
        <f>'Adj Close Prices'!A789</f>
        <v/>
      </c>
      <c r="B45" s="5">
        <f>0.33000000*'Adj Close Prices'!B789+0.12700000*'Adj Close Prices'!C789+0.12000000*'Adj Close Prices'!D789+0.08600000*'Adj Close Prices'!E789+0.33700000*'Adj Close Prices'!F789</f>
        <v/>
      </c>
      <c r="C45" s="13">
        <f>C44*(1+B45)</f>
        <v/>
      </c>
    </row>
    <row r="46">
      <c r="A46" s="2">
        <f>'Adj Close Prices'!A790</f>
        <v/>
      </c>
      <c r="B46" s="5">
        <f>0.33000000*'Adj Close Prices'!B790+0.12700000*'Adj Close Prices'!C790+0.12000000*'Adj Close Prices'!D790+0.08600000*'Adj Close Prices'!E790+0.33700000*'Adj Close Prices'!F790</f>
        <v/>
      </c>
      <c r="C46" s="13">
        <f>C45*(1+B46)</f>
        <v/>
      </c>
    </row>
    <row r="47">
      <c r="A47" s="2">
        <f>'Adj Close Prices'!A791</f>
        <v/>
      </c>
      <c r="B47" s="5">
        <f>0.33000000*'Adj Close Prices'!B791+0.12700000*'Adj Close Prices'!C791+0.12000000*'Adj Close Prices'!D791+0.08600000*'Adj Close Prices'!E791+0.33700000*'Adj Close Prices'!F791</f>
        <v/>
      </c>
      <c r="C47" s="13">
        <f>C46*(1+B47)</f>
        <v/>
      </c>
    </row>
    <row r="48">
      <c r="A48" s="2">
        <f>'Adj Close Prices'!A792</f>
        <v/>
      </c>
      <c r="B48" s="5">
        <f>0.33000000*'Adj Close Prices'!B792+0.12700000*'Adj Close Prices'!C792+0.12000000*'Adj Close Prices'!D792+0.08600000*'Adj Close Prices'!E792+0.33700000*'Adj Close Prices'!F792</f>
        <v/>
      </c>
      <c r="C48" s="13">
        <f>C47*(1+B48)</f>
        <v/>
      </c>
    </row>
    <row r="49">
      <c r="A49" s="2">
        <f>'Adj Close Prices'!A793</f>
        <v/>
      </c>
      <c r="B49" s="5">
        <f>0.33000000*'Adj Close Prices'!B793+0.12700000*'Adj Close Prices'!C793+0.12000000*'Adj Close Prices'!D793+0.08600000*'Adj Close Prices'!E793+0.33700000*'Adj Close Prices'!F793</f>
        <v/>
      </c>
      <c r="C49" s="13">
        <f>C48*(1+B49)</f>
        <v/>
      </c>
    </row>
    <row r="50">
      <c r="A50" s="2">
        <f>'Adj Close Prices'!A794</f>
        <v/>
      </c>
      <c r="B50" s="5">
        <f>0.33000000*'Adj Close Prices'!B794+0.12700000*'Adj Close Prices'!C794+0.12000000*'Adj Close Prices'!D794+0.08600000*'Adj Close Prices'!E794+0.33700000*'Adj Close Prices'!F794</f>
        <v/>
      </c>
      <c r="C50" s="13">
        <f>C49*(1+B50)</f>
        <v/>
      </c>
    </row>
    <row r="51">
      <c r="A51" s="2">
        <f>'Adj Close Prices'!A795</f>
        <v/>
      </c>
      <c r="B51" s="5">
        <f>0.33000000*'Adj Close Prices'!B795+0.12700000*'Adj Close Prices'!C795+0.12000000*'Adj Close Prices'!D795+0.08600000*'Adj Close Prices'!E795+0.33700000*'Adj Close Prices'!F795</f>
        <v/>
      </c>
      <c r="C51" s="13">
        <f>C50*(1+B51)</f>
        <v/>
      </c>
    </row>
    <row r="52">
      <c r="A52" s="2">
        <f>'Adj Close Prices'!A796</f>
        <v/>
      </c>
      <c r="B52" s="5">
        <f>0.33000000*'Adj Close Prices'!B796+0.12700000*'Adj Close Prices'!C796+0.12000000*'Adj Close Prices'!D796+0.08600000*'Adj Close Prices'!E796+0.33700000*'Adj Close Prices'!F796</f>
        <v/>
      </c>
      <c r="C52" s="13">
        <f>C51*(1+B52)</f>
        <v/>
      </c>
    </row>
    <row r="53">
      <c r="A53" s="2">
        <f>'Adj Close Prices'!A797</f>
        <v/>
      </c>
      <c r="B53" s="5">
        <f>0.33000000*'Adj Close Prices'!B797+0.12700000*'Adj Close Prices'!C797+0.12000000*'Adj Close Prices'!D797+0.08600000*'Adj Close Prices'!E797+0.33700000*'Adj Close Prices'!F797</f>
        <v/>
      </c>
      <c r="C53" s="13">
        <f>C52*(1+B53)</f>
        <v/>
      </c>
    </row>
    <row r="54">
      <c r="A54" s="2">
        <f>'Adj Close Prices'!A798</f>
        <v/>
      </c>
      <c r="B54" s="5">
        <f>0.33000000*'Adj Close Prices'!B798+0.12700000*'Adj Close Prices'!C798+0.12000000*'Adj Close Prices'!D798+0.08600000*'Adj Close Prices'!E798+0.33700000*'Adj Close Prices'!F798</f>
        <v/>
      </c>
      <c r="C54" s="13">
        <f>C53*(1+B54)</f>
        <v/>
      </c>
    </row>
    <row r="55">
      <c r="A55" s="2">
        <f>'Adj Close Prices'!A799</f>
        <v/>
      </c>
      <c r="B55" s="5">
        <f>0.33000000*'Adj Close Prices'!B799+0.12700000*'Adj Close Prices'!C799+0.12000000*'Adj Close Prices'!D799+0.08600000*'Adj Close Prices'!E799+0.33700000*'Adj Close Prices'!F799</f>
        <v/>
      </c>
      <c r="C55" s="13">
        <f>C54*(1+B55)</f>
        <v/>
      </c>
    </row>
    <row r="56">
      <c r="A56" s="2">
        <f>'Adj Close Prices'!A800</f>
        <v/>
      </c>
      <c r="B56" s="5">
        <f>0.33000000*'Adj Close Prices'!B800+0.12700000*'Adj Close Prices'!C800+0.12000000*'Adj Close Prices'!D800+0.08600000*'Adj Close Prices'!E800+0.33700000*'Adj Close Prices'!F800</f>
        <v/>
      </c>
      <c r="C56" s="13">
        <f>C55*(1+B56)</f>
        <v/>
      </c>
    </row>
    <row r="57">
      <c r="A57" s="2">
        <f>'Adj Close Prices'!A801</f>
        <v/>
      </c>
      <c r="B57" s="5">
        <f>0.33000000*'Adj Close Prices'!B801+0.12700000*'Adj Close Prices'!C801+0.12000000*'Adj Close Prices'!D801+0.08600000*'Adj Close Prices'!E801+0.33700000*'Adj Close Prices'!F801</f>
        <v/>
      </c>
      <c r="C57" s="13">
        <f>C56*(1+B57)</f>
        <v/>
      </c>
    </row>
    <row r="58">
      <c r="A58" s="2">
        <f>'Adj Close Prices'!A802</f>
        <v/>
      </c>
      <c r="B58" s="5">
        <f>0.33000000*'Adj Close Prices'!B802+0.12700000*'Adj Close Prices'!C802+0.12000000*'Adj Close Prices'!D802+0.08600000*'Adj Close Prices'!E802+0.33700000*'Adj Close Prices'!F802</f>
        <v/>
      </c>
      <c r="C58" s="13">
        <f>C57*(1+B58)</f>
        <v/>
      </c>
    </row>
    <row r="59">
      <c r="A59" s="2">
        <f>'Adj Close Prices'!A803</f>
        <v/>
      </c>
      <c r="B59" s="5">
        <f>0.33000000*'Adj Close Prices'!B803+0.12700000*'Adj Close Prices'!C803+0.12000000*'Adj Close Prices'!D803+0.08600000*'Adj Close Prices'!E803+0.33700000*'Adj Close Prices'!F803</f>
        <v/>
      </c>
      <c r="C59" s="13">
        <f>C58*(1+B59)</f>
        <v/>
      </c>
    </row>
    <row r="60">
      <c r="A60" s="2">
        <f>'Adj Close Prices'!A804</f>
        <v/>
      </c>
      <c r="B60" s="5">
        <f>0.33000000*'Adj Close Prices'!B804+0.12700000*'Adj Close Prices'!C804+0.12000000*'Adj Close Prices'!D804+0.08600000*'Adj Close Prices'!E804+0.33700000*'Adj Close Prices'!F804</f>
        <v/>
      </c>
      <c r="C60" s="13">
        <f>C59*(1+B60)</f>
        <v/>
      </c>
    </row>
    <row r="61">
      <c r="A61" s="2">
        <f>'Adj Close Prices'!A805</f>
        <v/>
      </c>
      <c r="B61" s="5">
        <f>0.33000000*'Adj Close Prices'!B805+0.12700000*'Adj Close Prices'!C805+0.12000000*'Adj Close Prices'!D805+0.08600000*'Adj Close Prices'!E805+0.33700000*'Adj Close Prices'!F805</f>
        <v/>
      </c>
      <c r="C61" s="13">
        <f>C60*(1+B61)</f>
        <v/>
      </c>
    </row>
    <row r="62">
      <c r="A62" s="2">
        <f>'Adj Close Prices'!A806</f>
        <v/>
      </c>
      <c r="B62" s="5">
        <f>0.33000000*'Adj Close Prices'!B806+0.12700000*'Adj Close Prices'!C806+0.12000000*'Adj Close Prices'!D806+0.08600000*'Adj Close Prices'!E806+0.33700000*'Adj Close Prices'!F806</f>
        <v/>
      </c>
      <c r="C62" s="13">
        <f>C61*(1+B62)</f>
        <v/>
      </c>
    </row>
    <row r="63">
      <c r="A63" s="2">
        <f>'Adj Close Prices'!A807</f>
        <v/>
      </c>
      <c r="B63" s="5">
        <f>0.33000000*'Adj Close Prices'!B807+0.12700000*'Adj Close Prices'!C807+0.12000000*'Adj Close Prices'!D807+0.08600000*'Adj Close Prices'!E807+0.33700000*'Adj Close Prices'!F807</f>
        <v/>
      </c>
      <c r="C63" s="13">
        <f>C62*(1+B63)</f>
        <v/>
      </c>
    </row>
    <row r="64">
      <c r="A64" s="2">
        <f>'Adj Close Prices'!A808</f>
        <v/>
      </c>
      <c r="B64" s="5">
        <f>0.33000000*'Adj Close Prices'!B808+0.12700000*'Adj Close Prices'!C808+0.12000000*'Adj Close Prices'!D808+0.08600000*'Adj Close Prices'!E808+0.33700000*'Adj Close Prices'!F808</f>
        <v/>
      </c>
      <c r="C64" s="13">
        <f>C63*(1+B64)</f>
        <v/>
      </c>
    </row>
    <row r="65">
      <c r="A65" s="2">
        <f>'Adj Close Prices'!A809</f>
        <v/>
      </c>
      <c r="B65" s="5">
        <f>0.33000000*'Adj Close Prices'!B809+0.12700000*'Adj Close Prices'!C809+0.12000000*'Adj Close Prices'!D809+0.08600000*'Adj Close Prices'!E809+0.33700000*'Adj Close Prices'!F809</f>
        <v/>
      </c>
      <c r="C65" s="13">
        <f>C64*(1+B65)</f>
        <v/>
      </c>
    </row>
    <row r="66">
      <c r="A66" s="2">
        <f>'Adj Close Prices'!A810</f>
        <v/>
      </c>
      <c r="B66" s="5">
        <f>0.33000000*'Adj Close Prices'!B810+0.12700000*'Adj Close Prices'!C810+0.12000000*'Adj Close Prices'!D810+0.08600000*'Adj Close Prices'!E810+0.33700000*'Adj Close Prices'!F810</f>
        <v/>
      </c>
      <c r="C66" s="13">
        <f>C65*(1+B66)</f>
        <v/>
      </c>
    </row>
    <row r="67">
      <c r="A67" s="2">
        <f>'Adj Close Prices'!A811</f>
        <v/>
      </c>
      <c r="B67" s="5">
        <f>0.33000000*'Adj Close Prices'!B811+0.12700000*'Adj Close Prices'!C811+0.12000000*'Adj Close Prices'!D811+0.08600000*'Adj Close Prices'!E811+0.33700000*'Adj Close Prices'!F811</f>
        <v/>
      </c>
      <c r="C67" s="13">
        <f>C66*(1+B67)</f>
        <v/>
      </c>
    </row>
    <row r="68">
      <c r="A68" s="2">
        <f>'Adj Close Prices'!A812</f>
        <v/>
      </c>
      <c r="B68" s="5">
        <f>0.33000000*'Adj Close Prices'!B812+0.12700000*'Adj Close Prices'!C812+0.12000000*'Adj Close Prices'!D812+0.08600000*'Adj Close Prices'!E812+0.33700000*'Adj Close Prices'!F812</f>
        <v/>
      </c>
      <c r="C68" s="13">
        <f>C67*(1+B68)</f>
        <v/>
      </c>
    </row>
    <row r="69">
      <c r="A69" s="2">
        <f>'Adj Close Prices'!A813</f>
        <v/>
      </c>
      <c r="B69" s="5">
        <f>0.33000000*'Adj Close Prices'!B813+0.12700000*'Adj Close Prices'!C813+0.12000000*'Adj Close Prices'!D813+0.08600000*'Adj Close Prices'!E813+0.33700000*'Adj Close Prices'!F813</f>
        <v/>
      </c>
      <c r="C69" s="13">
        <f>C68*(1+B69)</f>
        <v/>
      </c>
    </row>
    <row r="70">
      <c r="A70" s="2">
        <f>'Adj Close Prices'!A814</f>
        <v/>
      </c>
      <c r="B70" s="5">
        <f>0.33000000*'Adj Close Prices'!B814+0.12700000*'Adj Close Prices'!C814+0.12000000*'Adj Close Prices'!D814+0.08600000*'Adj Close Prices'!E814+0.33700000*'Adj Close Prices'!F814</f>
        <v/>
      </c>
      <c r="C70" s="13">
        <f>C69*(1+B70)</f>
        <v/>
      </c>
    </row>
    <row r="71">
      <c r="A71" s="2">
        <f>'Adj Close Prices'!A815</f>
        <v/>
      </c>
      <c r="B71" s="5">
        <f>0.33000000*'Adj Close Prices'!B815+0.12700000*'Adj Close Prices'!C815+0.12000000*'Adj Close Prices'!D815+0.08600000*'Adj Close Prices'!E815+0.33700000*'Adj Close Prices'!F815</f>
        <v/>
      </c>
      <c r="C71" s="13">
        <f>C70*(1+B71)</f>
        <v/>
      </c>
    </row>
    <row r="72">
      <c r="A72" s="2">
        <f>'Adj Close Prices'!A816</f>
        <v/>
      </c>
      <c r="B72" s="5">
        <f>0.33000000*'Adj Close Prices'!B816+0.12700000*'Adj Close Prices'!C816+0.12000000*'Adj Close Prices'!D816+0.08600000*'Adj Close Prices'!E816+0.33700000*'Adj Close Prices'!F816</f>
        <v/>
      </c>
      <c r="C72" s="13">
        <f>C71*(1+B72)</f>
        <v/>
      </c>
    </row>
    <row r="73">
      <c r="A73" s="2">
        <f>'Adj Close Prices'!A817</f>
        <v/>
      </c>
      <c r="B73" s="5">
        <f>0.33000000*'Adj Close Prices'!B817+0.12700000*'Adj Close Prices'!C817+0.12000000*'Adj Close Prices'!D817+0.08600000*'Adj Close Prices'!E817+0.33700000*'Adj Close Prices'!F817</f>
        <v/>
      </c>
      <c r="C73" s="13">
        <f>C72*(1+B73)</f>
        <v/>
      </c>
    </row>
    <row r="74">
      <c r="A74" s="2">
        <f>'Adj Close Prices'!A818</f>
        <v/>
      </c>
      <c r="B74" s="5">
        <f>0.33000000*'Adj Close Prices'!B818+0.12700000*'Adj Close Prices'!C818+0.12000000*'Adj Close Prices'!D818+0.08600000*'Adj Close Prices'!E818+0.33700000*'Adj Close Prices'!F818</f>
        <v/>
      </c>
      <c r="C74" s="13">
        <f>C73*(1+B74)</f>
        <v/>
      </c>
    </row>
    <row r="75">
      <c r="A75" s="2">
        <f>'Adj Close Prices'!A819</f>
        <v/>
      </c>
      <c r="B75" s="5">
        <f>0.33000000*'Adj Close Prices'!B819+0.12700000*'Adj Close Prices'!C819+0.12000000*'Adj Close Prices'!D819+0.08600000*'Adj Close Prices'!E819+0.33700000*'Adj Close Prices'!F819</f>
        <v/>
      </c>
      <c r="C75" s="13">
        <f>C74*(1+B75)</f>
        <v/>
      </c>
    </row>
    <row r="76">
      <c r="A76" s="2">
        <f>'Adj Close Prices'!A820</f>
        <v/>
      </c>
      <c r="B76" s="5">
        <f>0.33000000*'Adj Close Prices'!B820+0.12700000*'Adj Close Prices'!C820+0.12000000*'Adj Close Prices'!D820+0.08600000*'Adj Close Prices'!E820+0.33700000*'Adj Close Prices'!F820</f>
        <v/>
      </c>
      <c r="C76" s="13">
        <f>C75*(1+B76)</f>
        <v/>
      </c>
    </row>
    <row r="77">
      <c r="A77" s="2">
        <f>'Adj Close Prices'!A821</f>
        <v/>
      </c>
      <c r="B77" s="5">
        <f>0.33000000*'Adj Close Prices'!B821+0.12700000*'Adj Close Prices'!C821+0.12000000*'Adj Close Prices'!D821+0.08600000*'Adj Close Prices'!E821+0.33700000*'Adj Close Prices'!F821</f>
        <v/>
      </c>
      <c r="C77" s="13">
        <f>C76*(1+B77)</f>
        <v/>
      </c>
    </row>
    <row r="78">
      <c r="A78" s="2">
        <f>'Adj Close Prices'!A822</f>
        <v/>
      </c>
      <c r="B78" s="5">
        <f>0.33000000*'Adj Close Prices'!B822+0.12700000*'Adj Close Prices'!C822+0.12000000*'Adj Close Prices'!D822+0.08600000*'Adj Close Prices'!E822+0.33700000*'Adj Close Prices'!F822</f>
        <v/>
      </c>
      <c r="C78" s="13">
        <f>C77*(1+B78)</f>
        <v/>
      </c>
    </row>
    <row r="79">
      <c r="A79" s="2">
        <f>'Adj Close Prices'!A823</f>
        <v/>
      </c>
      <c r="B79" s="5">
        <f>0.33000000*'Adj Close Prices'!B823+0.12700000*'Adj Close Prices'!C823+0.12000000*'Adj Close Prices'!D823+0.08600000*'Adj Close Prices'!E823+0.33700000*'Adj Close Prices'!F823</f>
        <v/>
      </c>
      <c r="C79" s="13">
        <f>C78*(1+B79)</f>
        <v/>
      </c>
    </row>
    <row r="80">
      <c r="A80" s="2">
        <f>'Adj Close Prices'!A824</f>
        <v/>
      </c>
      <c r="B80" s="5">
        <f>0.33000000*'Adj Close Prices'!B824+0.12700000*'Adj Close Prices'!C824+0.12000000*'Adj Close Prices'!D824+0.08600000*'Adj Close Prices'!E824+0.33700000*'Adj Close Prices'!F824</f>
        <v/>
      </c>
      <c r="C80" s="13">
        <f>C79*(1+B80)</f>
        <v/>
      </c>
    </row>
    <row r="81">
      <c r="A81" s="2">
        <f>'Adj Close Prices'!A825</f>
        <v/>
      </c>
      <c r="B81" s="5">
        <f>0.33000000*'Adj Close Prices'!B825+0.12700000*'Adj Close Prices'!C825+0.12000000*'Adj Close Prices'!D825+0.08600000*'Adj Close Prices'!E825+0.33700000*'Adj Close Prices'!F825</f>
        <v/>
      </c>
      <c r="C81" s="13">
        <f>C80*(1+B81)</f>
        <v/>
      </c>
    </row>
    <row r="82">
      <c r="A82" s="2">
        <f>'Adj Close Prices'!A826</f>
        <v/>
      </c>
      <c r="B82" s="5">
        <f>0.33000000*'Adj Close Prices'!B826+0.12700000*'Adj Close Prices'!C826+0.12000000*'Adj Close Prices'!D826+0.08600000*'Adj Close Prices'!E826+0.33700000*'Adj Close Prices'!F826</f>
        <v/>
      </c>
      <c r="C82" s="13">
        <f>C81*(1+B82)</f>
        <v/>
      </c>
    </row>
    <row r="83">
      <c r="A83" s="2">
        <f>'Adj Close Prices'!A827</f>
        <v/>
      </c>
      <c r="B83" s="5">
        <f>0.33000000*'Adj Close Prices'!B827+0.12700000*'Adj Close Prices'!C827+0.12000000*'Adj Close Prices'!D827+0.08600000*'Adj Close Prices'!E827+0.33700000*'Adj Close Prices'!F827</f>
        <v/>
      </c>
      <c r="C83" s="13">
        <f>C82*(1+B83)</f>
        <v/>
      </c>
    </row>
    <row r="84">
      <c r="A84" s="2">
        <f>'Adj Close Prices'!A828</f>
        <v/>
      </c>
      <c r="B84" s="5">
        <f>0.33000000*'Adj Close Prices'!B828+0.12700000*'Adj Close Prices'!C828+0.12000000*'Adj Close Prices'!D828+0.08600000*'Adj Close Prices'!E828+0.33700000*'Adj Close Prices'!F828</f>
        <v/>
      </c>
      <c r="C84" s="13">
        <f>C83*(1+B84)</f>
        <v/>
      </c>
    </row>
    <row r="85">
      <c r="A85" s="2">
        <f>'Adj Close Prices'!A829</f>
        <v/>
      </c>
      <c r="B85" s="5">
        <f>0.33000000*'Adj Close Prices'!B829+0.12700000*'Adj Close Prices'!C829+0.12000000*'Adj Close Prices'!D829+0.08600000*'Adj Close Prices'!E829+0.33700000*'Adj Close Prices'!F829</f>
        <v/>
      </c>
      <c r="C85" s="13">
        <f>C84*(1+B85)</f>
        <v/>
      </c>
    </row>
    <row r="86">
      <c r="A86" s="2">
        <f>'Adj Close Prices'!A830</f>
        <v/>
      </c>
      <c r="B86" s="5">
        <f>0.33000000*'Adj Close Prices'!B830+0.12700000*'Adj Close Prices'!C830+0.12000000*'Adj Close Prices'!D830+0.08600000*'Adj Close Prices'!E830+0.33700000*'Adj Close Prices'!F830</f>
        <v/>
      </c>
      <c r="C86" s="13">
        <f>C85*(1+B86)</f>
        <v/>
      </c>
    </row>
    <row r="87">
      <c r="A87" s="2">
        <f>'Adj Close Prices'!A831</f>
        <v/>
      </c>
      <c r="B87" s="5">
        <f>0.33000000*'Adj Close Prices'!B831+0.12700000*'Adj Close Prices'!C831+0.12000000*'Adj Close Prices'!D831+0.08600000*'Adj Close Prices'!E831+0.33700000*'Adj Close Prices'!F831</f>
        <v/>
      </c>
      <c r="C87" s="13">
        <f>C86*(1+B87)</f>
        <v/>
      </c>
    </row>
    <row r="88">
      <c r="A88" s="2">
        <f>'Adj Close Prices'!A832</f>
        <v/>
      </c>
      <c r="B88" s="5">
        <f>0.33000000*'Adj Close Prices'!B832+0.12700000*'Adj Close Prices'!C832+0.12000000*'Adj Close Prices'!D832+0.08600000*'Adj Close Prices'!E832+0.33700000*'Adj Close Prices'!F832</f>
        <v/>
      </c>
      <c r="C88" s="13">
        <f>C87*(1+B88)</f>
        <v/>
      </c>
    </row>
    <row r="89">
      <c r="A89" s="2">
        <f>'Adj Close Prices'!A833</f>
        <v/>
      </c>
      <c r="B89" s="5">
        <f>0.33000000*'Adj Close Prices'!B833+0.12700000*'Adj Close Prices'!C833+0.12000000*'Adj Close Prices'!D833+0.08600000*'Adj Close Prices'!E833+0.33700000*'Adj Close Prices'!F833</f>
        <v/>
      </c>
      <c r="C89" s="13">
        <f>C88*(1+B89)</f>
        <v/>
      </c>
    </row>
    <row r="90">
      <c r="A90" s="2">
        <f>'Adj Close Prices'!A834</f>
        <v/>
      </c>
      <c r="B90" s="5">
        <f>0.33000000*'Adj Close Prices'!B834+0.12700000*'Adj Close Prices'!C834+0.12000000*'Adj Close Prices'!D834+0.08600000*'Adj Close Prices'!E834+0.33700000*'Adj Close Prices'!F834</f>
        <v/>
      </c>
      <c r="C90" s="13">
        <f>C89*(1+B90)</f>
        <v/>
      </c>
    </row>
    <row r="91">
      <c r="A91" s="2">
        <f>'Adj Close Prices'!A835</f>
        <v/>
      </c>
      <c r="B91" s="5">
        <f>0.33000000*'Adj Close Prices'!B835+0.12700000*'Adj Close Prices'!C835+0.12000000*'Adj Close Prices'!D835+0.08600000*'Adj Close Prices'!E835+0.33700000*'Adj Close Prices'!F835</f>
        <v/>
      </c>
      <c r="C91" s="13">
        <f>C90*(1+B91)</f>
        <v/>
      </c>
    </row>
    <row r="92">
      <c r="A92" s="2">
        <f>'Adj Close Prices'!A836</f>
        <v/>
      </c>
      <c r="B92" s="5">
        <f>0.33000000*'Adj Close Prices'!B836+0.12700000*'Adj Close Prices'!C836+0.12000000*'Adj Close Prices'!D836+0.08600000*'Adj Close Prices'!E836+0.33700000*'Adj Close Prices'!F836</f>
        <v/>
      </c>
      <c r="C92" s="13">
        <f>C91*(1+B92)</f>
        <v/>
      </c>
    </row>
    <row r="93">
      <c r="A93" s="2">
        <f>'Adj Close Prices'!A837</f>
        <v/>
      </c>
      <c r="B93" s="5">
        <f>0.33000000*'Adj Close Prices'!B837+0.12700000*'Adj Close Prices'!C837+0.12000000*'Adj Close Prices'!D837+0.08600000*'Adj Close Prices'!E837+0.33700000*'Adj Close Prices'!F837</f>
        <v/>
      </c>
      <c r="C93" s="13">
        <f>C92*(1+B93)</f>
        <v/>
      </c>
    </row>
    <row r="94">
      <c r="A94" s="2">
        <f>'Adj Close Prices'!A838</f>
        <v/>
      </c>
      <c r="B94" s="5">
        <f>0.33000000*'Adj Close Prices'!B838+0.12700000*'Adj Close Prices'!C838+0.12000000*'Adj Close Prices'!D838+0.08600000*'Adj Close Prices'!E838+0.33700000*'Adj Close Prices'!F838</f>
        <v/>
      </c>
      <c r="C94" s="13">
        <f>C93*(1+B94)</f>
        <v/>
      </c>
    </row>
    <row r="95">
      <c r="A95" s="2">
        <f>'Adj Close Prices'!A839</f>
        <v/>
      </c>
      <c r="B95" s="5">
        <f>0.33000000*'Adj Close Prices'!B839+0.12700000*'Adj Close Prices'!C839+0.12000000*'Adj Close Prices'!D839+0.08600000*'Adj Close Prices'!E839+0.33700000*'Adj Close Prices'!F839</f>
        <v/>
      </c>
      <c r="C95" s="13">
        <f>C94*(1+B95)</f>
        <v/>
      </c>
    </row>
    <row r="96">
      <c r="A96" s="2">
        <f>'Adj Close Prices'!A840</f>
        <v/>
      </c>
      <c r="B96" s="5">
        <f>0.33000000*'Adj Close Prices'!B840+0.12700000*'Adj Close Prices'!C840+0.12000000*'Adj Close Prices'!D840+0.08600000*'Adj Close Prices'!E840+0.33700000*'Adj Close Prices'!F840</f>
        <v/>
      </c>
      <c r="C96" s="13">
        <f>C95*(1+B96)</f>
        <v/>
      </c>
    </row>
    <row r="97">
      <c r="A97" s="2">
        <f>'Adj Close Prices'!A841</f>
        <v/>
      </c>
      <c r="B97" s="5">
        <f>0.33000000*'Adj Close Prices'!B841+0.12700000*'Adj Close Prices'!C841+0.12000000*'Adj Close Prices'!D841+0.08600000*'Adj Close Prices'!E841+0.33700000*'Adj Close Prices'!F841</f>
        <v/>
      </c>
      <c r="C97" s="13">
        <f>C96*(1+B97)</f>
        <v/>
      </c>
    </row>
    <row r="98">
      <c r="A98" s="2">
        <f>'Adj Close Prices'!A842</f>
        <v/>
      </c>
      <c r="B98" s="5">
        <f>0.33000000*'Adj Close Prices'!B842+0.12700000*'Adj Close Prices'!C842+0.12000000*'Adj Close Prices'!D842+0.08600000*'Adj Close Prices'!E842+0.33700000*'Adj Close Prices'!F842</f>
        <v/>
      </c>
      <c r="C98" s="13">
        <f>C97*(1+B98)</f>
        <v/>
      </c>
    </row>
    <row r="99">
      <c r="A99" s="2">
        <f>'Adj Close Prices'!A843</f>
        <v/>
      </c>
      <c r="B99" s="5">
        <f>0.33000000*'Adj Close Prices'!B843+0.12700000*'Adj Close Prices'!C843+0.12000000*'Adj Close Prices'!D843+0.08600000*'Adj Close Prices'!E843+0.33700000*'Adj Close Prices'!F843</f>
        <v/>
      </c>
      <c r="C99" s="13">
        <f>C98*(1+B99)</f>
        <v/>
      </c>
    </row>
    <row r="100">
      <c r="A100" s="2">
        <f>'Adj Close Prices'!A844</f>
        <v/>
      </c>
      <c r="B100" s="5">
        <f>0.33000000*'Adj Close Prices'!B844+0.12700000*'Adj Close Prices'!C844+0.12000000*'Adj Close Prices'!D844+0.08600000*'Adj Close Prices'!E844+0.33700000*'Adj Close Prices'!F844</f>
        <v/>
      </c>
      <c r="C100" s="13">
        <f>C99*(1+B100)</f>
        <v/>
      </c>
    </row>
    <row r="101">
      <c r="A101" s="2">
        <f>'Adj Close Prices'!A845</f>
        <v/>
      </c>
      <c r="B101" s="5">
        <f>0.33000000*'Adj Close Prices'!B845+0.12700000*'Adj Close Prices'!C845+0.12000000*'Adj Close Prices'!D845+0.08600000*'Adj Close Prices'!E845+0.33700000*'Adj Close Prices'!F845</f>
        <v/>
      </c>
      <c r="C101" s="13">
        <f>C100*(1+B101)</f>
        <v/>
      </c>
    </row>
    <row r="102">
      <c r="A102" s="2">
        <f>'Adj Close Prices'!A846</f>
        <v/>
      </c>
      <c r="B102" s="5">
        <f>0.33000000*'Adj Close Prices'!B846+0.12700000*'Adj Close Prices'!C846+0.12000000*'Adj Close Prices'!D846+0.08600000*'Adj Close Prices'!E846+0.33700000*'Adj Close Prices'!F846</f>
        <v/>
      </c>
      <c r="C102" s="13">
        <f>C101*(1+B102)</f>
        <v/>
      </c>
    </row>
    <row r="103">
      <c r="A103" s="2">
        <f>'Adj Close Prices'!A847</f>
        <v/>
      </c>
      <c r="B103" s="5">
        <f>0.33000000*'Adj Close Prices'!B847+0.12700000*'Adj Close Prices'!C847+0.12000000*'Adj Close Prices'!D847+0.08600000*'Adj Close Prices'!E847+0.33700000*'Adj Close Prices'!F847</f>
        <v/>
      </c>
      <c r="C103" s="13">
        <f>C102*(1+B103)</f>
        <v/>
      </c>
    </row>
    <row r="104">
      <c r="A104" s="2">
        <f>'Adj Close Prices'!A848</f>
        <v/>
      </c>
      <c r="B104" s="5">
        <f>0.33000000*'Adj Close Prices'!B848+0.12700000*'Adj Close Prices'!C848+0.12000000*'Adj Close Prices'!D848+0.08600000*'Adj Close Prices'!E848+0.33700000*'Adj Close Prices'!F848</f>
        <v/>
      </c>
      <c r="C104" s="13">
        <f>C103*(1+B104)</f>
        <v/>
      </c>
    </row>
    <row r="105">
      <c r="A105" s="2">
        <f>'Adj Close Prices'!A849</f>
        <v/>
      </c>
      <c r="B105" s="5">
        <f>0.33000000*'Adj Close Prices'!B849+0.12700000*'Adj Close Prices'!C849+0.12000000*'Adj Close Prices'!D849+0.08600000*'Adj Close Prices'!E849+0.33700000*'Adj Close Prices'!F849</f>
        <v/>
      </c>
      <c r="C105" s="13">
        <f>C104*(1+B105)</f>
        <v/>
      </c>
    </row>
    <row r="106">
      <c r="A106" s="2">
        <f>'Adj Close Prices'!A850</f>
        <v/>
      </c>
      <c r="B106" s="5">
        <f>0.33000000*'Adj Close Prices'!B850+0.12700000*'Adj Close Prices'!C850+0.12000000*'Adj Close Prices'!D850+0.08600000*'Adj Close Prices'!E850+0.33700000*'Adj Close Prices'!F850</f>
        <v/>
      </c>
      <c r="C106" s="13">
        <f>C105*(1+B106)</f>
        <v/>
      </c>
    </row>
    <row r="107">
      <c r="A107" s="2">
        <f>'Adj Close Prices'!A851</f>
        <v/>
      </c>
      <c r="B107" s="5">
        <f>0.33000000*'Adj Close Prices'!B851+0.12700000*'Adj Close Prices'!C851+0.12000000*'Adj Close Prices'!D851+0.08600000*'Adj Close Prices'!E851+0.33700000*'Adj Close Prices'!F851</f>
        <v/>
      </c>
      <c r="C107" s="13">
        <f>C106*(1+B107)</f>
        <v/>
      </c>
    </row>
    <row r="108">
      <c r="A108" s="2">
        <f>'Adj Close Prices'!A852</f>
        <v/>
      </c>
      <c r="B108" s="5">
        <f>0.33000000*'Adj Close Prices'!B852+0.12700000*'Adj Close Prices'!C852+0.12000000*'Adj Close Prices'!D852+0.08600000*'Adj Close Prices'!E852+0.33700000*'Adj Close Prices'!F852</f>
        <v/>
      </c>
      <c r="C108" s="13">
        <f>C107*(1+B108)</f>
        <v/>
      </c>
    </row>
    <row r="109">
      <c r="A109" s="2">
        <f>'Adj Close Prices'!A853</f>
        <v/>
      </c>
      <c r="B109" s="5">
        <f>0.33000000*'Adj Close Prices'!B853+0.12700000*'Adj Close Prices'!C853+0.12000000*'Adj Close Prices'!D853+0.08600000*'Adj Close Prices'!E853+0.33700000*'Adj Close Prices'!F853</f>
        <v/>
      </c>
      <c r="C109" s="13">
        <f>C108*(1+B109)</f>
        <v/>
      </c>
    </row>
    <row r="110">
      <c r="A110" s="2">
        <f>'Adj Close Prices'!A854</f>
        <v/>
      </c>
      <c r="B110" s="5">
        <f>0.33000000*'Adj Close Prices'!B854+0.12700000*'Adj Close Prices'!C854+0.12000000*'Adj Close Prices'!D854+0.08600000*'Adj Close Prices'!E854+0.33700000*'Adj Close Prices'!F854</f>
        <v/>
      </c>
      <c r="C110" s="13">
        <f>C109*(1+B110)</f>
        <v/>
      </c>
    </row>
    <row r="111">
      <c r="A111" s="2">
        <f>'Adj Close Prices'!A855</f>
        <v/>
      </c>
      <c r="B111" s="5">
        <f>0.33000000*'Adj Close Prices'!B855+0.12700000*'Adj Close Prices'!C855+0.12000000*'Adj Close Prices'!D855+0.08600000*'Adj Close Prices'!E855+0.33700000*'Adj Close Prices'!F855</f>
        <v/>
      </c>
      <c r="C111" s="13">
        <f>C110*(1+B111)</f>
        <v/>
      </c>
    </row>
    <row r="112">
      <c r="A112" s="2">
        <f>'Adj Close Prices'!A856</f>
        <v/>
      </c>
      <c r="B112" s="5">
        <f>0.33000000*'Adj Close Prices'!B856+0.12700000*'Adj Close Prices'!C856+0.12000000*'Adj Close Prices'!D856+0.08600000*'Adj Close Prices'!E856+0.33700000*'Adj Close Prices'!F856</f>
        <v/>
      </c>
      <c r="C112" s="13">
        <f>C111*(1+B112)</f>
        <v/>
      </c>
    </row>
    <row r="113">
      <c r="A113" s="2">
        <f>'Adj Close Prices'!A857</f>
        <v/>
      </c>
      <c r="B113" s="5">
        <f>0.33000000*'Adj Close Prices'!B857+0.12700000*'Adj Close Prices'!C857+0.12000000*'Adj Close Prices'!D857+0.08600000*'Adj Close Prices'!E857+0.33700000*'Adj Close Prices'!F857</f>
        <v/>
      </c>
      <c r="C113" s="13">
        <f>C112*(1+B113)</f>
        <v/>
      </c>
    </row>
    <row r="114">
      <c r="A114" s="2">
        <f>'Adj Close Prices'!A858</f>
        <v/>
      </c>
      <c r="B114" s="5">
        <f>0.33000000*'Adj Close Prices'!B858+0.12700000*'Adj Close Prices'!C858+0.12000000*'Adj Close Prices'!D858+0.08600000*'Adj Close Prices'!E858+0.33700000*'Adj Close Prices'!F858</f>
        <v/>
      </c>
      <c r="C114" s="13">
        <f>C113*(1+B114)</f>
        <v/>
      </c>
    </row>
    <row r="115">
      <c r="A115" s="2">
        <f>'Adj Close Prices'!A859</f>
        <v/>
      </c>
      <c r="B115" s="5">
        <f>0.33000000*'Adj Close Prices'!B859+0.12700000*'Adj Close Prices'!C859+0.12000000*'Adj Close Prices'!D859+0.08600000*'Adj Close Prices'!E859+0.33700000*'Adj Close Prices'!F859</f>
        <v/>
      </c>
      <c r="C115" s="13">
        <f>C114*(1+B115)</f>
        <v/>
      </c>
    </row>
    <row r="116">
      <c r="A116" s="2">
        <f>'Adj Close Prices'!A860</f>
        <v/>
      </c>
      <c r="B116" s="5">
        <f>0.33000000*'Adj Close Prices'!B860+0.12700000*'Adj Close Prices'!C860+0.12000000*'Adj Close Prices'!D860+0.08600000*'Adj Close Prices'!E860+0.33700000*'Adj Close Prices'!F860</f>
        <v/>
      </c>
      <c r="C116" s="13">
        <f>C115*(1+B116)</f>
        <v/>
      </c>
    </row>
    <row r="117">
      <c r="A117" s="2">
        <f>'Adj Close Prices'!A861</f>
        <v/>
      </c>
      <c r="B117" s="5">
        <f>0.33000000*'Adj Close Prices'!B861+0.12700000*'Adj Close Prices'!C861+0.12000000*'Adj Close Prices'!D861+0.08600000*'Adj Close Prices'!E861+0.33700000*'Adj Close Prices'!F861</f>
        <v/>
      </c>
      <c r="C117" s="13">
        <f>C116*(1+B117)</f>
        <v/>
      </c>
    </row>
    <row r="118">
      <c r="A118" s="2">
        <f>'Adj Close Prices'!A862</f>
        <v/>
      </c>
      <c r="B118" s="5">
        <f>0.33000000*'Adj Close Prices'!B862+0.12700000*'Adj Close Prices'!C862+0.12000000*'Adj Close Prices'!D862+0.08600000*'Adj Close Prices'!E862+0.33700000*'Adj Close Prices'!F862</f>
        <v/>
      </c>
      <c r="C118" s="13">
        <f>C117*(1+B118)</f>
        <v/>
      </c>
    </row>
    <row r="119">
      <c r="A119" s="2">
        <f>'Adj Close Prices'!A863</f>
        <v/>
      </c>
      <c r="B119" s="5">
        <f>0.33000000*'Adj Close Prices'!B863+0.12700000*'Adj Close Prices'!C863+0.12000000*'Adj Close Prices'!D863+0.08600000*'Adj Close Prices'!E863+0.33700000*'Adj Close Prices'!F863</f>
        <v/>
      </c>
      <c r="C119" s="13">
        <f>C118*(1+B119)</f>
        <v/>
      </c>
    </row>
    <row r="120">
      <c r="A120" s="2">
        <f>'Adj Close Prices'!A864</f>
        <v/>
      </c>
      <c r="B120" s="5">
        <f>0.33000000*'Adj Close Prices'!B864+0.12700000*'Adj Close Prices'!C864+0.12000000*'Adj Close Prices'!D864+0.08600000*'Adj Close Prices'!E864+0.33700000*'Adj Close Prices'!F864</f>
        <v/>
      </c>
      <c r="C120" s="13">
        <f>C119*(1+B120)</f>
        <v/>
      </c>
    </row>
    <row r="121">
      <c r="A121" s="2">
        <f>'Adj Close Prices'!A865</f>
        <v/>
      </c>
      <c r="B121" s="5">
        <f>0.33000000*'Adj Close Prices'!B865+0.12700000*'Adj Close Prices'!C865+0.12000000*'Adj Close Prices'!D865+0.08600000*'Adj Close Prices'!E865+0.33700000*'Adj Close Prices'!F865</f>
        <v/>
      </c>
      <c r="C121" s="13">
        <f>C120*(1+B121)</f>
        <v/>
      </c>
    </row>
    <row r="122">
      <c r="A122" s="2">
        <f>'Adj Close Prices'!A866</f>
        <v/>
      </c>
      <c r="B122" s="5">
        <f>0.33000000*'Adj Close Prices'!B866+0.12700000*'Adj Close Prices'!C866+0.12000000*'Adj Close Prices'!D866+0.08600000*'Adj Close Prices'!E866+0.33700000*'Adj Close Prices'!F866</f>
        <v/>
      </c>
      <c r="C122" s="13">
        <f>C121*(1+B122)</f>
        <v/>
      </c>
    </row>
    <row r="123">
      <c r="A123" s="2">
        <f>'Adj Close Prices'!A867</f>
        <v/>
      </c>
      <c r="B123" s="5">
        <f>0.33000000*'Adj Close Prices'!B867+0.12700000*'Adj Close Prices'!C867+0.12000000*'Adj Close Prices'!D867+0.08600000*'Adj Close Prices'!E867+0.33700000*'Adj Close Prices'!F867</f>
        <v/>
      </c>
      <c r="C123" s="13">
        <f>C122*(1+B123)</f>
        <v/>
      </c>
    </row>
    <row r="124">
      <c r="A124" s="2">
        <f>'Adj Close Prices'!A868</f>
        <v/>
      </c>
      <c r="B124" s="5">
        <f>0.33000000*'Adj Close Prices'!B868+0.12700000*'Adj Close Prices'!C868+0.12000000*'Adj Close Prices'!D868+0.08600000*'Adj Close Prices'!E868+0.33700000*'Adj Close Prices'!F868</f>
        <v/>
      </c>
      <c r="C124" s="13">
        <f>C123*(1+B124)</f>
        <v/>
      </c>
    </row>
    <row r="125">
      <c r="A125" s="2">
        <f>'Adj Close Prices'!A869</f>
        <v/>
      </c>
      <c r="B125" s="5">
        <f>0.33000000*'Adj Close Prices'!B869+0.12700000*'Adj Close Prices'!C869+0.12000000*'Adj Close Prices'!D869+0.08600000*'Adj Close Prices'!E869+0.33700000*'Adj Close Prices'!F869</f>
        <v/>
      </c>
      <c r="C125" s="13">
        <f>C124*(1+B125)</f>
        <v/>
      </c>
    </row>
    <row r="126">
      <c r="A126" s="2">
        <f>'Adj Close Prices'!A870</f>
        <v/>
      </c>
      <c r="B126" s="5">
        <f>0.33000000*'Adj Close Prices'!B870+0.12700000*'Adj Close Prices'!C870+0.12000000*'Adj Close Prices'!D870+0.08600000*'Adj Close Prices'!E870+0.33700000*'Adj Close Prices'!F870</f>
        <v/>
      </c>
      <c r="C126" s="13">
        <f>C125*(1+B126)</f>
        <v/>
      </c>
    </row>
    <row r="127">
      <c r="A127" s="2">
        <f>'Adj Close Prices'!A871</f>
        <v/>
      </c>
      <c r="B127" s="5">
        <f>0.33000000*'Adj Close Prices'!B871+0.12700000*'Adj Close Prices'!C871+0.12000000*'Adj Close Prices'!D871+0.08600000*'Adj Close Prices'!E871+0.33700000*'Adj Close Prices'!F871</f>
        <v/>
      </c>
      <c r="C127" s="13">
        <f>C126*(1+B127)</f>
        <v/>
      </c>
    </row>
    <row r="128">
      <c r="A128" s="2">
        <f>'Adj Close Prices'!A872</f>
        <v/>
      </c>
      <c r="B128" s="5">
        <f>0.33000000*'Adj Close Prices'!B872+0.12700000*'Adj Close Prices'!C872+0.12000000*'Adj Close Prices'!D872+0.08600000*'Adj Close Prices'!E872+0.33700000*'Adj Close Prices'!F872</f>
        <v/>
      </c>
      <c r="C128" s="13">
        <f>C127*(1+B128)</f>
        <v/>
      </c>
    </row>
    <row r="129">
      <c r="A129" s="2">
        <f>'Adj Close Prices'!A873</f>
        <v/>
      </c>
      <c r="B129" s="5">
        <f>0.33000000*'Adj Close Prices'!B873+0.12700000*'Adj Close Prices'!C873+0.12000000*'Adj Close Prices'!D873+0.08600000*'Adj Close Prices'!E873+0.33700000*'Adj Close Prices'!F873</f>
        <v/>
      </c>
      <c r="C129" s="13">
        <f>C128*(1+B129)</f>
        <v/>
      </c>
    </row>
    <row r="130">
      <c r="A130" s="2">
        <f>'Adj Close Prices'!A874</f>
        <v/>
      </c>
      <c r="B130" s="5">
        <f>0.33000000*'Adj Close Prices'!B874+0.12700000*'Adj Close Prices'!C874+0.12000000*'Adj Close Prices'!D874+0.08600000*'Adj Close Prices'!E874+0.33700000*'Adj Close Prices'!F874</f>
        <v/>
      </c>
      <c r="C130" s="13">
        <f>C129*(1+B130)</f>
        <v/>
      </c>
    </row>
    <row r="131">
      <c r="A131" s="2">
        <f>'Adj Close Prices'!A875</f>
        <v/>
      </c>
      <c r="B131" s="5">
        <f>0.33000000*'Adj Close Prices'!B875+0.12700000*'Adj Close Prices'!C875+0.12000000*'Adj Close Prices'!D875+0.08600000*'Adj Close Prices'!E875+0.33700000*'Adj Close Prices'!F875</f>
        <v/>
      </c>
      <c r="C131" s="13">
        <f>C130*(1+B131)</f>
        <v/>
      </c>
    </row>
    <row r="132">
      <c r="A132" s="2">
        <f>'Adj Close Prices'!A876</f>
        <v/>
      </c>
      <c r="B132" s="5">
        <f>0.33000000*'Adj Close Prices'!B876+0.12700000*'Adj Close Prices'!C876+0.12000000*'Adj Close Prices'!D876+0.08600000*'Adj Close Prices'!E876+0.33700000*'Adj Close Prices'!F876</f>
        <v/>
      </c>
      <c r="C132" s="13">
        <f>C131*(1+B132)</f>
        <v/>
      </c>
    </row>
    <row r="133">
      <c r="A133" s="2">
        <f>'Adj Close Prices'!A877</f>
        <v/>
      </c>
      <c r="B133" s="5">
        <f>0.33000000*'Adj Close Prices'!B877+0.12700000*'Adj Close Prices'!C877+0.12000000*'Adj Close Prices'!D877+0.08600000*'Adj Close Prices'!E877+0.33700000*'Adj Close Prices'!F877</f>
        <v/>
      </c>
      <c r="C133" s="13">
        <f>C132*(1+B133)</f>
        <v/>
      </c>
    </row>
    <row r="134">
      <c r="A134" s="2">
        <f>'Adj Close Prices'!A878</f>
        <v/>
      </c>
      <c r="B134" s="5">
        <f>0.33000000*'Adj Close Prices'!B878+0.12700000*'Adj Close Prices'!C878+0.12000000*'Adj Close Prices'!D878+0.08600000*'Adj Close Prices'!E878+0.33700000*'Adj Close Prices'!F878</f>
        <v/>
      </c>
      <c r="C134" s="13">
        <f>C133*(1+B134)</f>
        <v/>
      </c>
    </row>
    <row r="135">
      <c r="A135" s="2">
        <f>'Adj Close Prices'!A879</f>
        <v/>
      </c>
      <c r="B135" s="5">
        <f>0.33000000*'Adj Close Prices'!B879+0.12700000*'Adj Close Prices'!C879+0.12000000*'Adj Close Prices'!D879+0.08600000*'Adj Close Prices'!E879+0.33700000*'Adj Close Prices'!F879</f>
        <v/>
      </c>
      <c r="C135" s="13">
        <f>C134*(1+B135)</f>
        <v/>
      </c>
    </row>
    <row r="136">
      <c r="A136" s="2">
        <f>'Adj Close Prices'!A880</f>
        <v/>
      </c>
      <c r="B136" s="5">
        <f>0.33000000*'Adj Close Prices'!B880+0.12700000*'Adj Close Prices'!C880+0.12000000*'Adj Close Prices'!D880+0.08600000*'Adj Close Prices'!E880+0.33700000*'Adj Close Prices'!F880</f>
        <v/>
      </c>
      <c r="C136" s="13">
        <f>C135*(1+B136)</f>
        <v/>
      </c>
    </row>
    <row r="137">
      <c r="A137" s="2">
        <f>'Adj Close Prices'!A881</f>
        <v/>
      </c>
      <c r="B137" s="5">
        <f>0.33000000*'Adj Close Prices'!B881+0.12700000*'Adj Close Prices'!C881+0.12000000*'Adj Close Prices'!D881+0.08600000*'Adj Close Prices'!E881+0.33700000*'Adj Close Prices'!F881</f>
        <v/>
      </c>
      <c r="C137" s="13">
        <f>C136*(1+B137)</f>
        <v/>
      </c>
    </row>
    <row r="138">
      <c r="A138" s="2">
        <f>'Adj Close Prices'!A882</f>
        <v/>
      </c>
      <c r="B138" s="5">
        <f>0.33000000*'Adj Close Prices'!B882+0.12700000*'Adj Close Prices'!C882+0.12000000*'Adj Close Prices'!D882+0.08600000*'Adj Close Prices'!E882+0.33700000*'Adj Close Prices'!F882</f>
        <v/>
      </c>
      <c r="C138" s="13">
        <f>C137*(1+B138)</f>
        <v/>
      </c>
    </row>
    <row r="139">
      <c r="A139" s="2">
        <f>'Adj Close Prices'!A883</f>
        <v/>
      </c>
      <c r="B139" s="5">
        <f>0.33000000*'Adj Close Prices'!B883+0.12700000*'Adj Close Prices'!C883+0.12000000*'Adj Close Prices'!D883+0.08600000*'Adj Close Prices'!E883+0.33700000*'Adj Close Prices'!F883</f>
        <v/>
      </c>
      <c r="C139" s="13">
        <f>C138*(1+B139)</f>
        <v/>
      </c>
    </row>
    <row r="140">
      <c r="A140" s="2">
        <f>'Adj Close Prices'!A884</f>
        <v/>
      </c>
      <c r="B140" s="5">
        <f>0.33000000*'Adj Close Prices'!B884+0.12700000*'Adj Close Prices'!C884+0.12000000*'Adj Close Prices'!D884+0.08600000*'Adj Close Prices'!E884+0.33700000*'Adj Close Prices'!F884</f>
        <v/>
      </c>
      <c r="C140" s="13">
        <f>C139*(1+B140)</f>
        <v/>
      </c>
    </row>
    <row r="141">
      <c r="A141" s="2">
        <f>'Adj Close Prices'!A885</f>
        <v/>
      </c>
      <c r="B141" s="5">
        <f>0.33000000*'Adj Close Prices'!B885+0.12700000*'Adj Close Prices'!C885+0.12000000*'Adj Close Prices'!D885+0.08600000*'Adj Close Prices'!E885+0.33700000*'Adj Close Prices'!F885</f>
        <v/>
      </c>
      <c r="C141" s="13">
        <f>C140*(1+B141)</f>
        <v/>
      </c>
    </row>
    <row r="142">
      <c r="A142" s="2">
        <f>'Adj Close Prices'!A886</f>
        <v/>
      </c>
      <c r="B142" s="5">
        <f>0.33000000*'Adj Close Prices'!B886+0.12700000*'Adj Close Prices'!C886+0.12000000*'Adj Close Prices'!D886+0.08600000*'Adj Close Prices'!E886+0.33700000*'Adj Close Prices'!F886</f>
        <v/>
      </c>
      <c r="C142" s="13">
        <f>C141*(1+B142)</f>
        <v/>
      </c>
    </row>
    <row r="143">
      <c r="A143" s="2">
        <f>'Adj Close Prices'!A887</f>
        <v/>
      </c>
      <c r="B143" s="5">
        <f>0.33000000*'Adj Close Prices'!B887+0.12700000*'Adj Close Prices'!C887+0.12000000*'Adj Close Prices'!D887+0.08600000*'Adj Close Prices'!E887+0.33700000*'Adj Close Prices'!F887</f>
        <v/>
      </c>
      <c r="C143" s="13">
        <f>C142*(1+B143)</f>
        <v/>
      </c>
    </row>
    <row r="144">
      <c r="A144" s="2">
        <f>'Adj Close Prices'!A888</f>
        <v/>
      </c>
      <c r="B144" s="5">
        <f>0.33000000*'Adj Close Prices'!B888+0.12700000*'Adj Close Prices'!C888+0.12000000*'Adj Close Prices'!D888+0.08600000*'Adj Close Prices'!E888+0.33700000*'Adj Close Prices'!F888</f>
        <v/>
      </c>
      <c r="C144" s="13">
        <f>C143*(1+B144)</f>
        <v/>
      </c>
    </row>
    <row r="145">
      <c r="A145" s="2">
        <f>'Adj Close Prices'!A889</f>
        <v/>
      </c>
      <c r="B145" s="5">
        <f>0.33000000*'Adj Close Prices'!B889+0.12700000*'Adj Close Prices'!C889+0.12000000*'Adj Close Prices'!D889+0.08600000*'Adj Close Prices'!E889+0.33700000*'Adj Close Prices'!F889</f>
        <v/>
      </c>
      <c r="C145" s="13">
        <f>C144*(1+B145)</f>
        <v/>
      </c>
    </row>
    <row r="146">
      <c r="A146" s="2">
        <f>'Adj Close Prices'!A890</f>
        <v/>
      </c>
      <c r="B146" s="5">
        <f>0.33000000*'Adj Close Prices'!B890+0.12700000*'Adj Close Prices'!C890+0.12000000*'Adj Close Prices'!D890+0.08600000*'Adj Close Prices'!E890+0.33700000*'Adj Close Prices'!F890</f>
        <v/>
      </c>
      <c r="C146" s="13">
        <f>C145*(1+B146)</f>
        <v/>
      </c>
    </row>
    <row r="147">
      <c r="A147" s="2">
        <f>'Adj Close Prices'!A891</f>
        <v/>
      </c>
      <c r="B147" s="5">
        <f>0.33000000*'Adj Close Prices'!B891+0.12700000*'Adj Close Prices'!C891+0.12000000*'Adj Close Prices'!D891+0.08600000*'Adj Close Prices'!E891+0.33700000*'Adj Close Prices'!F891</f>
        <v/>
      </c>
      <c r="C147" s="13">
        <f>C146*(1+B147)</f>
        <v/>
      </c>
    </row>
    <row r="148">
      <c r="A148" s="2">
        <f>'Adj Close Prices'!A892</f>
        <v/>
      </c>
      <c r="B148" s="5">
        <f>0.33000000*'Adj Close Prices'!B892+0.12700000*'Adj Close Prices'!C892+0.12000000*'Adj Close Prices'!D892+0.08600000*'Adj Close Prices'!E892+0.33700000*'Adj Close Prices'!F892</f>
        <v/>
      </c>
      <c r="C148" s="13">
        <f>C147*(1+B148)</f>
        <v/>
      </c>
    </row>
    <row r="149">
      <c r="A149" s="2">
        <f>'Adj Close Prices'!A893</f>
        <v/>
      </c>
      <c r="B149" s="5">
        <f>0.33000000*'Adj Close Prices'!B893+0.12700000*'Adj Close Prices'!C893+0.12000000*'Adj Close Prices'!D893+0.08600000*'Adj Close Prices'!E893+0.33700000*'Adj Close Prices'!F893</f>
        <v/>
      </c>
      <c r="C149" s="13">
        <f>C148*(1+B149)</f>
        <v/>
      </c>
    </row>
    <row r="150">
      <c r="A150" s="2">
        <f>'Adj Close Prices'!A894</f>
        <v/>
      </c>
      <c r="B150" s="5">
        <f>0.33000000*'Adj Close Prices'!B894+0.12700000*'Adj Close Prices'!C894+0.12000000*'Adj Close Prices'!D894+0.08600000*'Adj Close Prices'!E894+0.33700000*'Adj Close Prices'!F894</f>
        <v/>
      </c>
      <c r="C150" s="13">
        <f>C149*(1+B150)</f>
        <v/>
      </c>
    </row>
    <row r="151">
      <c r="A151" s="2">
        <f>'Adj Close Prices'!A895</f>
        <v/>
      </c>
      <c r="B151" s="5">
        <f>0.33000000*'Adj Close Prices'!B895+0.12700000*'Adj Close Prices'!C895+0.12000000*'Adj Close Prices'!D895+0.08600000*'Adj Close Prices'!E895+0.33700000*'Adj Close Prices'!F895</f>
        <v/>
      </c>
      <c r="C151" s="13">
        <f>C150*(1+B151)</f>
        <v/>
      </c>
    </row>
    <row r="152">
      <c r="A152" s="2">
        <f>'Adj Close Prices'!A896</f>
        <v/>
      </c>
      <c r="B152" s="5">
        <f>0.33000000*'Adj Close Prices'!B896+0.12700000*'Adj Close Prices'!C896+0.12000000*'Adj Close Prices'!D896+0.08600000*'Adj Close Prices'!E896+0.33700000*'Adj Close Prices'!F896</f>
        <v/>
      </c>
      <c r="C152" s="13">
        <f>C151*(1+B152)</f>
        <v/>
      </c>
    </row>
    <row r="153">
      <c r="A153" s="2">
        <f>'Adj Close Prices'!A897</f>
        <v/>
      </c>
      <c r="B153" s="5">
        <f>0.33000000*'Adj Close Prices'!B897+0.12700000*'Adj Close Prices'!C897+0.12000000*'Adj Close Prices'!D897+0.08600000*'Adj Close Prices'!E897+0.33700000*'Adj Close Prices'!F897</f>
        <v/>
      </c>
      <c r="C153" s="13">
        <f>C152*(1+B153)</f>
        <v/>
      </c>
    </row>
    <row r="154">
      <c r="A154" s="2">
        <f>'Adj Close Prices'!A898</f>
        <v/>
      </c>
      <c r="B154" s="5">
        <f>0.33000000*'Adj Close Prices'!B898+0.12700000*'Adj Close Prices'!C898+0.12000000*'Adj Close Prices'!D898+0.08600000*'Adj Close Prices'!E898+0.33700000*'Adj Close Prices'!F898</f>
        <v/>
      </c>
      <c r="C154" s="13">
        <f>C153*(1+B154)</f>
        <v/>
      </c>
    </row>
    <row r="155">
      <c r="A155" s="2">
        <f>'Adj Close Prices'!A899</f>
        <v/>
      </c>
      <c r="B155" s="5">
        <f>0.33000000*'Adj Close Prices'!B899+0.12700000*'Adj Close Prices'!C899+0.12000000*'Adj Close Prices'!D899+0.08600000*'Adj Close Prices'!E899+0.33700000*'Adj Close Prices'!F899</f>
        <v/>
      </c>
      <c r="C155" s="13">
        <f>C154*(1+B155)</f>
        <v/>
      </c>
    </row>
    <row r="156">
      <c r="A156" s="2">
        <f>'Adj Close Prices'!A900</f>
        <v/>
      </c>
      <c r="B156" s="5">
        <f>0.33000000*'Adj Close Prices'!B900+0.12700000*'Adj Close Prices'!C900+0.12000000*'Adj Close Prices'!D900+0.08600000*'Adj Close Prices'!E900+0.33700000*'Adj Close Prices'!F900</f>
        <v/>
      </c>
      <c r="C156" s="13">
        <f>C155*(1+B156)</f>
        <v/>
      </c>
    </row>
    <row r="157">
      <c r="A157" s="2">
        <f>'Adj Close Prices'!A901</f>
        <v/>
      </c>
      <c r="B157" s="5">
        <f>0.33000000*'Adj Close Prices'!B901+0.12700000*'Adj Close Prices'!C901+0.12000000*'Adj Close Prices'!D901+0.08600000*'Adj Close Prices'!E901+0.33700000*'Adj Close Prices'!F901</f>
        <v/>
      </c>
      <c r="C157" s="13">
        <f>C156*(1+B157)</f>
        <v/>
      </c>
    </row>
    <row r="158">
      <c r="A158" s="2">
        <f>'Adj Close Prices'!A902</f>
        <v/>
      </c>
      <c r="B158" s="5">
        <f>0.33000000*'Adj Close Prices'!B902+0.12700000*'Adj Close Prices'!C902+0.12000000*'Adj Close Prices'!D902+0.08600000*'Adj Close Prices'!E902+0.33700000*'Adj Close Prices'!F902</f>
        <v/>
      </c>
      <c r="C158" s="13">
        <f>C157*(1+B158)</f>
        <v/>
      </c>
    </row>
    <row r="159">
      <c r="A159" s="2">
        <f>'Adj Close Prices'!A903</f>
        <v/>
      </c>
      <c r="B159" s="5">
        <f>0.33000000*'Adj Close Prices'!B903+0.12700000*'Adj Close Prices'!C903+0.12000000*'Adj Close Prices'!D903+0.08600000*'Adj Close Prices'!E903+0.33700000*'Adj Close Prices'!F903</f>
        <v/>
      </c>
      <c r="C159" s="13">
        <f>C158*(1+B159)</f>
        <v/>
      </c>
    </row>
    <row r="160">
      <c r="A160" s="2">
        <f>'Adj Close Prices'!A904</f>
        <v/>
      </c>
      <c r="B160" s="5">
        <f>0.33000000*'Adj Close Prices'!B904+0.12700000*'Adj Close Prices'!C904+0.12000000*'Adj Close Prices'!D904+0.08600000*'Adj Close Prices'!E904+0.33700000*'Adj Close Prices'!F904</f>
        <v/>
      </c>
      <c r="C160" s="13">
        <f>C159*(1+B160)</f>
        <v/>
      </c>
    </row>
    <row r="161">
      <c r="A161" s="2">
        <f>'Adj Close Prices'!A905</f>
        <v/>
      </c>
      <c r="B161" s="5">
        <f>0.33000000*'Adj Close Prices'!B905+0.12700000*'Adj Close Prices'!C905+0.12000000*'Adj Close Prices'!D905+0.08600000*'Adj Close Prices'!E905+0.33700000*'Adj Close Prices'!F905</f>
        <v/>
      </c>
      <c r="C161" s="13">
        <f>C160*(1+B161)</f>
        <v/>
      </c>
    </row>
    <row r="162">
      <c r="A162" s="2">
        <f>'Adj Close Prices'!A906</f>
        <v/>
      </c>
      <c r="B162" s="5">
        <f>0.33000000*'Adj Close Prices'!B906+0.12700000*'Adj Close Prices'!C906+0.12000000*'Adj Close Prices'!D906+0.08600000*'Adj Close Prices'!E906+0.33700000*'Adj Close Prices'!F906</f>
        <v/>
      </c>
      <c r="C162" s="13">
        <f>C161*(1+B162)</f>
        <v/>
      </c>
    </row>
    <row r="163">
      <c r="A163" s="2">
        <f>'Adj Close Prices'!A907</f>
        <v/>
      </c>
      <c r="B163" s="5">
        <f>0.33000000*'Adj Close Prices'!B907+0.12700000*'Adj Close Prices'!C907+0.12000000*'Adj Close Prices'!D907+0.08600000*'Adj Close Prices'!E907+0.33700000*'Adj Close Prices'!F907</f>
        <v/>
      </c>
      <c r="C163" s="13">
        <f>C162*(1+B163)</f>
        <v/>
      </c>
    </row>
    <row r="164">
      <c r="A164" s="2">
        <f>'Adj Close Prices'!A908</f>
        <v/>
      </c>
      <c r="B164" s="5">
        <f>0.33000000*'Adj Close Prices'!B908+0.12700000*'Adj Close Prices'!C908+0.12000000*'Adj Close Prices'!D908+0.08600000*'Adj Close Prices'!E908+0.33700000*'Adj Close Prices'!F908</f>
        <v/>
      </c>
      <c r="C164" s="13">
        <f>C163*(1+B164)</f>
        <v/>
      </c>
    </row>
    <row r="165">
      <c r="A165" s="2">
        <f>'Adj Close Prices'!A909</f>
        <v/>
      </c>
      <c r="B165" s="5">
        <f>0.33000000*'Adj Close Prices'!B909+0.12700000*'Adj Close Prices'!C909+0.12000000*'Adj Close Prices'!D909+0.08600000*'Adj Close Prices'!E909+0.33700000*'Adj Close Prices'!F909</f>
        <v/>
      </c>
      <c r="C165" s="13">
        <f>C164*(1+B165)</f>
        <v/>
      </c>
    </row>
    <row r="166">
      <c r="A166" s="2">
        <f>'Adj Close Prices'!A910</f>
        <v/>
      </c>
      <c r="B166" s="5">
        <f>0.33000000*'Adj Close Prices'!B910+0.12700000*'Adj Close Prices'!C910+0.12000000*'Adj Close Prices'!D910+0.08600000*'Adj Close Prices'!E910+0.33700000*'Adj Close Prices'!F910</f>
        <v/>
      </c>
      <c r="C166" s="13">
        <f>C165*(1+B166)</f>
        <v/>
      </c>
    </row>
    <row r="167">
      <c r="A167" s="2">
        <f>'Adj Close Prices'!A911</f>
        <v/>
      </c>
      <c r="B167" s="5">
        <f>0.33000000*'Adj Close Prices'!B911+0.12700000*'Adj Close Prices'!C911+0.12000000*'Adj Close Prices'!D911+0.08600000*'Adj Close Prices'!E911+0.33700000*'Adj Close Prices'!F911</f>
        <v/>
      </c>
      <c r="C167" s="13">
        <f>C166*(1+B167)</f>
        <v/>
      </c>
    </row>
    <row r="168">
      <c r="A168" s="2">
        <f>'Adj Close Prices'!A912</f>
        <v/>
      </c>
      <c r="B168" s="5">
        <f>0.33000000*'Adj Close Prices'!B912+0.12700000*'Adj Close Prices'!C912+0.12000000*'Adj Close Prices'!D912+0.08600000*'Adj Close Prices'!E912+0.33700000*'Adj Close Prices'!F912</f>
        <v/>
      </c>
      <c r="C168" s="13">
        <f>C167*(1+B168)</f>
        <v/>
      </c>
    </row>
    <row r="169">
      <c r="A169" s="2">
        <f>'Adj Close Prices'!A913</f>
        <v/>
      </c>
      <c r="B169" s="5">
        <f>0.33000000*'Adj Close Prices'!B913+0.12700000*'Adj Close Prices'!C913+0.12000000*'Adj Close Prices'!D913+0.08600000*'Adj Close Prices'!E913+0.33700000*'Adj Close Prices'!F913</f>
        <v/>
      </c>
      <c r="C169" s="13">
        <f>C168*(1+B169)</f>
        <v/>
      </c>
    </row>
    <row r="170">
      <c r="A170" s="2">
        <f>'Adj Close Prices'!A914</f>
        <v/>
      </c>
      <c r="B170" s="5">
        <f>0.33000000*'Adj Close Prices'!B914+0.12700000*'Adj Close Prices'!C914+0.12000000*'Adj Close Prices'!D914+0.08600000*'Adj Close Prices'!E914+0.33700000*'Adj Close Prices'!F914</f>
        <v/>
      </c>
      <c r="C170" s="13">
        <f>C169*(1+B170)</f>
        <v/>
      </c>
    </row>
    <row r="171">
      <c r="A171" s="2">
        <f>'Adj Close Prices'!A915</f>
        <v/>
      </c>
      <c r="B171" s="5">
        <f>0.33000000*'Adj Close Prices'!B915+0.12700000*'Adj Close Prices'!C915+0.12000000*'Adj Close Prices'!D915+0.08600000*'Adj Close Prices'!E915+0.33700000*'Adj Close Prices'!F915</f>
        <v/>
      </c>
      <c r="C171" s="13">
        <f>C170*(1+B171)</f>
        <v/>
      </c>
    </row>
    <row r="172">
      <c r="A172" s="2">
        <f>'Adj Close Prices'!A916</f>
        <v/>
      </c>
      <c r="B172" s="5">
        <f>0.33000000*'Adj Close Prices'!B916+0.12700000*'Adj Close Prices'!C916+0.12000000*'Adj Close Prices'!D916+0.08600000*'Adj Close Prices'!E916+0.33700000*'Adj Close Prices'!F916</f>
        <v/>
      </c>
      <c r="C172" s="13">
        <f>C171*(1+B172)</f>
        <v/>
      </c>
    </row>
    <row r="173">
      <c r="A173" s="2">
        <f>'Adj Close Prices'!A917</f>
        <v/>
      </c>
      <c r="B173" s="5">
        <f>0.33000000*'Adj Close Prices'!B917+0.12700000*'Adj Close Prices'!C917+0.12000000*'Adj Close Prices'!D917+0.08600000*'Adj Close Prices'!E917+0.33700000*'Adj Close Prices'!F917</f>
        <v/>
      </c>
      <c r="C173" s="13">
        <f>C172*(1+B173)</f>
        <v/>
      </c>
    </row>
    <row r="174">
      <c r="A174" s="2">
        <f>'Adj Close Prices'!A918</f>
        <v/>
      </c>
      <c r="B174" s="5">
        <f>0.33000000*'Adj Close Prices'!B918+0.12700000*'Adj Close Prices'!C918+0.12000000*'Adj Close Prices'!D918+0.08600000*'Adj Close Prices'!E918+0.33700000*'Adj Close Prices'!F918</f>
        <v/>
      </c>
      <c r="C174" s="13">
        <f>C173*(1+B174)</f>
        <v/>
      </c>
    </row>
    <row r="175">
      <c r="A175" s="2">
        <f>'Adj Close Prices'!A919</f>
        <v/>
      </c>
      <c r="B175" s="5">
        <f>0.33000000*'Adj Close Prices'!B919+0.12700000*'Adj Close Prices'!C919+0.12000000*'Adj Close Prices'!D919+0.08600000*'Adj Close Prices'!E919+0.33700000*'Adj Close Prices'!F919</f>
        <v/>
      </c>
      <c r="C175" s="13">
        <f>C174*(1+B175)</f>
        <v/>
      </c>
    </row>
    <row r="176">
      <c r="A176" s="2">
        <f>'Adj Close Prices'!A920</f>
        <v/>
      </c>
      <c r="B176" s="5">
        <f>0.33000000*'Adj Close Prices'!B920+0.12700000*'Adj Close Prices'!C920+0.12000000*'Adj Close Prices'!D920+0.08600000*'Adj Close Prices'!E920+0.33700000*'Adj Close Prices'!F920</f>
        <v/>
      </c>
      <c r="C176" s="13">
        <f>C175*(1+B176)</f>
        <v/>
      </c>
    </row>
    <row r="177">
      <c r="A177" s="2">
        <f>'Adj Close Prices'!A921</f>
        <v/>
      </c>
      <c r="B177" s="5">
        <f>0.33000000*'Adj Close Prices'!B921+0.12700000*'Adj Close Prices'!C921+0.12000000*'Adj Close Prices'!D921+0.08600000*'Adj Close Prices'!E921+0.33700000*'Adj Close Prices'!F921</f>
        <v/>
      </c>
      <c r="C177" s="13">
        <f>C176*(1+B177)</f>
        <v/>
      </c>
    </row>
    <row r="178">
      <c r="A178" s="2">
        <f>'Adj Close Prices'!A922</f>
        <v/>
      </c>
      <c r="B178" s="5">
        <f>0.33000000*'Adj Close Prices'!B922+0.12700000*'Adj Close Prices'!C922+0.12000000*'Adj Close Prices'!D922+0.08600000*'Adj Close Prices'!E922+0.33700000*'Adj Close Prices'!F922</f>
        <v/>
      </c>
      <c r="C178" s="13">
        <f>C177*(1+B178)</f>
        <v/>
      </c>
    </row>
    <row r="179">
      <c r="A179" s="2">
        <f>'Adj Close Prices'!A923</f>
        <v/>
      </c>
      <c r="B179" s="5">
        <f>0.33000000*'Adj Close Prices'!B923+0.12700000*'Adj Close Prices'!C923+0.12000000*'Adj Close Prices'!D923+0.08600000*'Adj Close Prices'!E923+0.33700000*'Adj Close Prices'!F923</f>
        <v/>
      </c>
      <c r="C179" s="13">
        <f>C178*(1+B179)</f>
        <v/>
      </c>
    </row>
    <row r="180">
      <c r="A180" s="2">
        <f>'Adj Close Prices'!A924</f>
        <v/>
      </c>
      <c r="B180" s="5">
        <f>0.33000000*'Adj Close Prices'!B924+0.12700000*'Adj Close Prices'!C924+0.12000000*'Adj Close Prices'!D924+0.08600000*'Adj Close Prices'!E924+0.33700000*'Adj Close Prices'!F924</f>
        <v/>
      </c>
      <c r="C180" s="13">
        <f>C179*(1+B180)</f>
        <v/>
      </c>
    </row>
    <row r="181">
      <c r="A181" s="2">
        <f>'Adj Close Prices'!A925</f>
        <v/>
      </c>
      <c r="B181" s="5">
        <f>0.33000000*'Adj Close Prices'!B925+0.12700000*'Adj Close Prices'!C925+0.12000000*'Adj Close Prices'!D925+0.08600000*'Adj Close Prices'!E925+0.33700000*'Adj Close Prices'!F925</f>
        <v/>
      </c>
      <c r="C181" s="13">
        <f>C180*(1+B181)</f>
        <v/>
      </c>
    </row>
    <row r="182">
      <c r="A182" s="2">
        <f>'Adj Close Prices'!A926</f>
        <v/>
      </c>
      <c r="B182" s="5">
        <f>0.33000000*'Adj Close Prices'!B926+0.12700000*'Adj Close Prices'!C926+0.12000000*'Adj Close Prices'!D926+0.08600000*'Adj Close Prices'!E926+0.33700000*'Adj Close Prices'!F926</f>
        <v/>
      </c>
      <c r="C182" s="13">
        <f>C181*(1+B182)</f>
        <v/>
      </c>
    </row>
    <row r="183">
      <c r="A183" s="2">
        <f>'Adj Close Prices'!A927</f>
        <v/>
      </c>
      <c r="B183" s="5">
        <f>0.33000000*'Adj Close Prices'!B927+0.12700000*'Adj Close Prices'!C927+0.12000000*'Adj Close Prices'!D927+0.08600000*'Adj Close Prices'!E927+0.33700000*'Adj Close Prices'!F927</f>
        <v/>
      </c>
      <c r="C183" s="13">
        <f>C182*(1+B183)</f>
        <v/>
      </c>
    </row>
    <row r="184">
      <c r="A184" s="2">
        <f>'Adj Close Prices'!A928</f>
        <v/>
      </c>
      <c r="B184" s="5">
        <f>0.33000000*'Adj Close Prices'!B928+0.12700000*'Adj Close Prices'!C928+0.12000000*'Adj Close Prices'!D928+0.08600000*'Adj Close Prices'!E928+0.33700000*'Adj Close Prices'!F928</f>
        <v/>
      </c>
      <c r="C184" s="13">
        <f>C183*(1+B184)</f>
        <v/>
      </c>
    </row>
    <row r="185">
      <c r="A185" s="2">
        <f>'Adj Close Prices'!A929</f>
        <v/>
      </c>
      <c r="B185" s="5">
        <f>0.33000000*'Adj Close Prices'!B929+0.12700000*'Adj Close Prices'!C929+0.12000000*'Adj Close Prices'!D929+0.08600000*'Adj Close Prices'!E929+0.33700000*'Adj Close Prices'!F929</f>
        <v/>
      </c>
      <c r="C185" s="13">
        <f>C184*(1+B185)</f>
        <v/>
      </c>
    </row>
    <row r="186">
      <c r="A186" s="2">
        <f>'Adj Close Prices'!A930</f>
        <v/>
      </c>
      <c r="B186" s="5">
        <f>0.33000000*'Adj Close Prices'!B930+0.12700000*'Adj Close Prices'!C930+0.12000000*'Adj Close Prices'!D930+0.08600000*'Adj Close Prices'!E930+0.33700000*'Adj Close Prices'!F930</f>
        <v/>
      </c>
      <c r="C186" s="13">
        <f>C185*(1+B186)</f>
        <v/>
      </c>
    </row>
    <row r="187">
      <c r="A187" s="2">
        <f>'Adj Close Prices'!A931</f>
        <v/>
      </c>
      <c r="B187" s="5">
        <f>0.33000000*'Adj Close Prices'!B931+0.12700000*'Adj Close Prices'!C931+0.12000000*'Adj Close Prices'!D931+0.08600000*'Adj Close Prices'!E931+0.33700000*'Adj Close Prices'!F931</f>
        <v/>
      </c>
      <c r="C187" s="13">
        <f>C186*(1+B187)</f>
        <v/>
      </c>
    </row>
    <row r="188">
      <c r="A188" s="2">
        <f>'Adj Close Prices'!A932</f>
        <v/>
      </c>
      <c r="B188" s="5">
        <f>0.33000000*'Adj Close Prices'!B932+0.12700000*'Adj Close Prices'!C932+0.12000000*'Adj Close Prices'!D932+0.08600000*'Adj Close Prices'!E932+0.33700000*'Adj Close Prices'!F932</f>
        <v/>
      </c>
      <c r="C188" s="13">
        <f>C187*(1+B188)</f>
        <v/>
      </c>
    </row>
    <row r="189">
      <c r="A189" s="2">
        <f>'Adj Close Prices'!A933</f>
        <v/>
      </c>
      <c r="B189" s="5">
        <f>0.33000000*'Adj Close Prices'!B933+0.12700000*'Adj Close Prices'!C933+0.12000000*'Adj Close Prices'!D933+0.08600000*'Adj Close Prices'!E933+0.33700000*'Adj Close Prices'!F933</f>
        <v/>
      </c>
      <c r="C189" s="13">
        <f>C188*(1+B189)</f>
        <v/>
      </c>
    </row>
    <row r="190">
      <c r="A190" s="2">
        <f>'Adj Close Prices'!A934</f>
        <v/>
      </c>
      <c r="B190" s="5">
        <f>0.33000000*'Adj Close Prices'!B934+0.12700000*'Adj Close Prices'!C934+0.12000000*'Adj Close Prices'!D934+0.08600000*'Adj Close Prices'!E934+0.33700000*'Adj Close Prices'!F934</f>
        <v/>
      </c>
      <c r="C190" s="13">
        <f>C189*(1+B190)</f>
        <v/>
      </c>
    </row>
    <row r="191">
      <c r="A191" s="2">
        <f>'Adj Close Prices'!A935</f>
        <v/>
      </c>
      <c r="B191" s="5">
        <f>0.33000000*'Adj Close Prices'!B935+0.12700000*'Adj Close Prices'!C935+0.12000000*'Adj Close Prices'!D935+0.08600000*'Adj Close Prices'!E935+0.33700000*'Adj Close Prices'!F935</f>
        <v/>
      </c>
      <c r="C191" s="13">
        <f>C190*(1+B191)</f>
        <v/>
      </c>
    </row>
    <row r="192">
      <c r="A192" s="2">
        <f>'Adj Close Prices'!A936</f>
        <v/>
      </c>
      <c r="B192" s="5">
        <f>0.33000000*'Adj Close Prices'!B936+0.12700000*'Adj Close Prices'!C936+0.12000000*'Adj Close Prices'!D936+0.08600000*'Adj Close Prices'!E936+0.33700000*'Adj Close Prices'!F936</f>
        <v/>
      </c>
      <c r="C192" s="13">
        <f>C191*(1+B192)</f>
        <v/>
      </c>
    </row>
    <row r="193">
      <c r="A193" s="2">
        <f>'Adj Close Prices'!A937</f>
        <v/>
      </c>
      <c r="B193" s="5">
        <f>0.33000000*'Adj Close Prices'!B937+0.12700000*'Adj Close Prices'!C937+0.12000000*'Adj Close Prices'!D937+0.08600000*'Adj Close Prices'!E937+0.33700000*'Adj Close Prices'!F937</f>
        <v/>
      </c>
      <c r="C193" s="13">
        <f>C192*(1+B193)</f>
        <v/>
      </c>
    </row>
    <row r="194">
      <c r="A194" s="2">
        <f>'Adj Close Prices'!A938</f>
        <v/>
      </c>
      <c r="B194" s="5">
        <f>0.33000000*'Adj Close Prices'!B938+0.12700000*'Adj Close Prices'!C938+0.12000000*'Adj Close Prices'!D938+0.08600000*'Adj Close Prices'!E938+0.33700000*'Adj Close Prices'!F938</f>
        <v/>
      </c>
      <c r="C194" s="13">
        <f>C193*(1+B194)</f>
        <v/>
      </c>
    </row>
    <row r="195">
      <c r="A195" s="2">
        <f>'Adj Close Prices'!A939</f>
        <v/>
      </c>
      <c r="B195" s="5">
        <f>0.33000000*'Adj Close Prices'!B939+0.12700000*'Adj Close Prices'!C939+0.12000000*'Adj Close Prices'!D939+0.08600000*'Adj Close Prices'!E939+0.33700000*'Adj Close Prices'!F939</f>
        <v/>
      </c>
      <c r="C195" s="13">
        <f>C194*(1+B195)</f>
        <v/>
      </c>
    </row>
    <row r="196">
      <c r="A196" s="2">
        <f>'Adj Close Prices'!A940</f>
        <v/>
      </c>
      <c r="B196" s="5">
        <f>0.33000000*'Adj Close Prices'!B940+0.12700000*'Adj Close Prices'!C940+0.12000000*'Adj Close Prices'!D940+0.08600000*'Adj Close Prices'!E940+0.33700000*'Adj Close Prices'!F940</f>
        <v/>
      </c>
      <c r="C196" s="13">
        <f>C195*(1+B196)</f>
        <v/>
      </c>
    </row>
    <row r="197">
      <c r="A197" s="2">
        <f>'Adj Close Prices'!A941</f>
        <v/>
      </c>
      <c r="B197" s="5">
        <f>0.33000000*'Adj Close Prices'!B941+0.12700000*'Adj Close Prices'!C941+0.12000000*'Adj Close Prices'!D941+0.08600000*'Adj Close Prices'!E941+0.33700000*'Adj Close Prices'!F941</f>
        <v/>
      </c>
      <c r="C197" s="13">
        <f>C196*(1+B197)</f>
        <v/>
      </c>
    </row>
    <row r="198">
      <c r="A198" s="2">
        <f>'Adj Close Prices'!A942</f>
        <v/>
      </c>
      <c r="B198" s="5">
        <f>0.33000000*'Adj Close Prices'!B942+0.12700000*'Adj Close Prices'!C942+0.12000000*'Adj Close Prices'!D942+0.08600000*'Adj Close Prices'!E942+0.33700000*'Adj Close Prices'!F942</f>
        <v/>
      </c>
      <c r="C198" s="13">
        <f>C197*(1+B198)</f>
        <v/>
      </c>
    </row>
    <row r="199">
      <c r="A199" s="2">
        <f>'Adj Close Prices'!A943</f>
        <v/>
      </c>
      <c r="B199" s="5">
        <f>0.33000000*'Adj Close Prices'!B943+0.12700000*'Adj Close Prices'!C943+0.12000000*'Adj Close Prices'!D943+0.08600000*'Adj Close Prices'!E943+0.33700000*'Adj Close Prices'!F943</f>
        <v/>
      </c>
      <c r="C199" s="13">
        <f>C198*(1+B199)</f>
        <v/>
      </c>
    </row>
    <row r="200">
      <c r="A200" s="2">
        <f>'Adj Close Prices'!A944</f>
        <v/>
      </c>
      <c r="B200" s="5">
        <f>0.33000000*'Adj Close Prices'!B944+0.12700000*'Adj Close Prices'!C944+0.12000000*'Adj Close Prices'!D944+0.08600000*'Adj Close Prices'!E944+0.33700000*'Adj Close Prices'!F944</f>
        <v/>
      </c>
      <c r="C200" s="13">
        <f>C199*(1+B200)</f>
        <v/>
      </c>
    </row>
    <row r="201">
      <c r="A201" s="2">
        <f>'Adj Close Prices'!A945</f>
        <v/>
      </c>
      <c r="B201" s="5">
        <f>0.33000000*'Adj Close Prices'!B945+0.12700000*'Adj Close Prices'!C945+0.12000000*'Adj Close Prices'!D945+0.08600000*'Adj Close Prices'!E945+0.33700000*'Adj Close Prices'!F945</f>
        <v/>
      </c>
      <c r="C201" s="13">
        <f>C200*(1+B201)</f>
        <v/>
      </c>
    </row>
    <row r="202">
      <c r="A202" s="2">
        <f>'Adj Close Prices'!A946</f>
        <v/>
      </c>
      <c r="B202" s="5">
        <f>0.33000000*'Adj Close Prices'!B946+0.12700000*'Adj Close Prices'!C946+0.12000000*'Adj Close Prices'!D946+0.08600000*'Adj Close Prices'!E946+0.33700000*'Adj Close Prices'!F946</f>
        <v/>
      </c>
      <c r="C202" s="13">
        <f>C201*(1+B202)</f>
        <v/>
      </c>
    </row>
    <row r="203">
      <c r="A203" s="2">
        <f>'Adj Close Prices'!A947</f>
        <v/>
      </c>
      <c r="B203" s="5">
        <f>0.33000000*'Adj Close Prices'!B947+0.12700000*'Adj Close Prices'!C947+0.12000000*'Adj Close Prices'!D947+0.08600000*'Adj Close Prices'!E947+0.33700000*'Adj Close Prices'!F947</f>
        <v/>
      </c>
      <c r="C203" s="13">
        <f>C202*(1+B203)</f>
        <v/>
      </c>
    </row>
    <row r="204">
      <c r="A204" s="2">
        <f>'Adj Close Prices'!A948</f>
        <v/>
      </c>
      <c r="B204" s="5">
        <f>0.33000000*'Adj Close Prices'!B948+0.12700000*'Adj Close Prices'!C948+0.12000000*'Adj Close Prices'!D948+0.08600000*'Adj Close Prices'!E948+0.33700000*'Adj Close Prices'!F948</f>
        <v/>
      </c>
      <c r="C204" s="13">
        <f>C203*(1+B204)</f>
        <v/>
      </c>
    </row>
    <row r="205">
      <c r="A205" s="2">
        <f>'Adj Close Prices'!A949</f>
        <v/>
      </c>
      <c r="B205" s="5">
        <f>0.33000000*'Adj Close Prices'!B949+0.12700000*'Adj Close Prices'!C949+0.12000000*'Adj Close Prices'!D949+0.08600000*'Adj Close Prices'!E949+0.33700000*'Adj Close Prices'!F949</f>
        <v/>
      </c>
      <c r="C205" s="13">
        <f>C204*(1+B205)</f>
        <v/>
      </c>
    </row>
    <row r="206">
      <c r="A206" s="2">
        <f>'Adj Close Prices'!A950</f>
        <v/>
      </c>
      <c r="B206" s="5">
        <f>0.33000000*'Adj Close Prices'!B950+0.12700000*'Adj Close Prices'!C950+0.12000000*'Adj Close Prices'!D950+0.08600000*'Adj Close Prices'!E950+0.33700000*'Adj Close Prices'!F950</f>
        <v/>
      </c>
      <c r="C206" s="13">
        <f>C205*(1+B206)</f>
        <v/>
      </c>
    </row>
    <row r="207">
      <c r="A207" s="2">
        <f>'Adj Close Prices'!A951</f>
        <v/>
      </c>
      <c r="B207" s="5">
        <f>0.33000000*'Adj Close Prices'!B951+0.12700000*'Adj Close Prices'!C951+0.12000000*'Adj Close Prices'!D951+0.08600000*'Adj Close Prices'!E951+0.33700000*'Adj Close Prices'!F951</f>
        <v/>
      </c>
      <c r="C207" s="13">
        <f>C206*(1+B207)</f>
        <v/>
      </c>
    </row>
    <row r="208">
      <c r="A208" s="2">
        <f>'Adj Close Prices'!A952</f>
        <v/>
      </c>
      <c r="B208" s="5">
        <f>0.33000000*'Adj Close Prices'!B952+0.12700000*'Adj Close Prices'!C952+0.12000000*'Adj Close Prices'!D952+0.08600000*'Adj Close Prices'!E952+0.33700000*'Adj Close Prices'!F952</f>
        <v/>
      </c>
      <c r="C208" s="13">
        <f>C207*(1+B208)</f>
        <v/>
      </c>
    </row>
    <row r="209">
      <c r="A209" s="2">
        <f>'Adj Close Prices'!A953</f>
        <v/>
      </c>
      <c r="B209" s="5">
        <f>0.33000000*'Adj Close Prices'!B953+0.12700000*'Adj Close Prices'!C953+0.12000000*'Adj Close Prices'!D953+0.08600000*'Adj Close Prices'!E953+0.33700000*'Adj Close Prices'!F953</f>
        <v/>
      </c>
      <c r="C209" s="13">
        <f>C208*(1+B209)</f>
        <v/>
      </c>
    </row>
    <row r="210">
      <c r="A210" s="2">
        <f>'Adj Close Prices'!A954</f>
        <v/>
      </c>
      <c r="B210" s="5">
        <f>0.33000000*'Adj Close Prices'!B954+0.12700000*'Adj Close Prices'!C954+0.12000000*'Adj Close Prices'!D954+0.08600000*'Adj Close Prices'!E954+0.33700000*'Adj Close Prices'!F954</f>
        <v/>
      </c>
      <c r="C210" s="13">
        <f>C209*(1+B210)</f>
        <v/>
      </c>
    </row>
    <row r="211">
      <c r="A211" s="2">
        <f>'Adj Close Prices'!A955</f>
        <v/>
      </c>
      <c r="B211" s="5">
        <f>0.33000000*'Adj Close Prices'!B955+0.12700000*'Adj Close Prices'!C955+0.12000000*'Adj Close Prices'!D955+0.08600000*'Adj Close Prices'!E955+0.33700000*'Adj Close Prices'!F955</f>
        <v/>
      </c>
      <c r="C211" s="13">
        <f>C210*(1+B211)</f>
        <v/>
      </c>
    </row>
    <row r="212">
      <c r="A212" s="2">
        <f>'Adj Close Prices'!A956</f>
        <v/>
      </c>
      <c r="B212" s="5">
        <f>0.33000000*'Adj Close Prices'!B956+0.12700000*'Adj Close Prices'!C956+0.12000000*'Adj Close Prices'!D956+0.08600000*'Adj Close Prices'!E956+0.33700000*'Adj Close Prices'!F956</f>
        <v/>
      </c>
      <c r="C212" s="13">
        <f>C211*(1+B212)</f>
        <v/>
      </c>
    </row>
    <row r="213">
      <c r="A213" s="2">
        <f>'Adj Close Prices'!A957</f>
        <v/>
      </c>
      <c r="B213" s="5">
        <f>0.33000000*'Adj Close Prices'!B957+0.12700000*'Adj Close Prices'!C957+0.12000000*'Adj Close Prices'!D957+0.08600000*'Adj Close Prices'!E957+0.33700000*'Adj Close Prices'!F957</f>
        <v/>
      </c>
      <c r="C213" s="13">
        <f>C212*(1+B213)</f>
        <v/>
      </c>
    </row>
    <row r="214">
      <c r="A214" s="2">
        <f>'Adj Close Prices'!A958</f>
        <v/>
      </c>
      <c r="B214" s="5">
        <f>0.33000000*'Adj Close Prices'!B958+0.12700000*'Adj Close Prices'!C958+0.12000000*'Adj Close Prices'!D958+0.08600000*'Adj Close Prices'!E958+0.33700000*'Adj Close Prices'!F958</f>
        <v/>
      </c>
      <c r="C214" s="13">
        <f>C213*(1+B214)</f>
        <v/>
      </c>
    </row>
    <row r="215">
      <c r="A215" s="2">
        <f>'Adj Close Prices'!A959</f>
        <v/>
      </c>
      <c r="B215" s="5">
        <f>0.33000000*'Adj Close Prices'!B959+0.12700000*'Adj Close Prices'!C959+0.12000000*'Adj Close Prices'!D959+0.08600000*'Adj Close Prices'!E959+0.33700000*'Adj Close Prices'!F959</f>
        <v/>
      </c>
      <c r="C215" s="13">
        <f>C214*(1+B215)</f>
        <v/>
      </c>
    </row>
    <row r="216">
      <c r="A216" s="2">
        <f>'Adj Close Prices'!A960</f>
        <v/>
      </c>
      <c r="B216" s="5">
        <f>0.33000000*'Adj Close Prices'!B960+0.12700000*'Adj Close Prices'!C960+0.12000000*'Adj Close Prices'!D960+0.08600000*'Adj Close Prices'!E960+0.33700000*'Adj Close Prices'!F960</f>
        <v/>
      </c>
      <c r="C216" s="13">
        <f>C215*(1+B216)</f>
        <v/>
      </c>
    </row>
    <row r="217">
      <c r="A217" s="2">
        <f>'Adj Close Prices'!A961</f>
        <v/>
      </c>
      <c r="B217" s="5">
        <f>0.33000000*'Adj Close Prices'!B961+0.12700000*'Adj Close Prices'!C961+0.12000000*'Adj Close Prices'!D961+0.08600000*'Adj Close Prices'!E961+0.33700000*'Adj Close Prices'!F961</f>
        <v/>
      </c>
      <c r="C217" s="13">
        <f>C216*(1+B217)</f>
        <v/>
      </c>
    </row>
    <row r="218">
      <c r="A218" s="2">
        <f>'Adj Close Prices'!A962</f>
        <v/>
      </c>
      <c r="B218" s="5">
        <f>0.33000000*'Adj Close Prices'!B962+0.12700000*'Adj Close Prices'!C962+0.12000000*'Adj Close Prices'!D962+0.08600000*'Adj Close Prices'!E962+0.33700000*'Adj Close Prices'!F962</f>
        <v/>
      </c>
      <c r="C218" s="13">
        <f>C217*(1+B218)</f>
        <v/>
      </c>
    </row>
    <row r="219">
      <c r="A219" s="2">
        <f>'Adj Close Prices'!A963</f>
        <v/>
      </c>
      <c r="B219" s="5">
        <f>0.33000000*'Adj Close Prices'!B963+0.12700000*'Adj Close Prices'!C963+0.12000000*'Adj Close Prices'!D963+0.08600000*'Adj Close Prices'!E963+0.33700000*'Adj Close Prices'!F963</f>
        <v/>
      </c>
      <c r="C219" s="13">
        <f>C218*(1+B219)</f>
        <v/>
      </c>
    </row>
    <row r="220">
      <c r="A220" s="2">
        <f>'Adj Close Prices'!A964</f>
        <v/>
      </c>
      <c r="B220" s="5">
        <f>0.33000000*'Adj Close Prices'!B964+0.12700000*'Adj Close Prices'!C964+0.12000000*'Adj Close Prices'!D964+0.08600000*'Adj Close Prices'!E964+0.33700000*'Adj Close Prices'!F964</f>
        <v/>
      </c>
      <c r="C220" s="13">
        <f>C219*(1+B220)</f>
        <v/>
      </c>
    </row>
    <row r="221">
      <c r="A221" s="2">
        <f>'Adj Close Prices'!A965</f>
        <v/>
      </c>
      <c r="B221" s="5">
        <f>0.33000000*'Adj Close Prices'!B965+0.12700000*'Adj Close Prices'!C965+0.12000000*'Adj Close Prices'!D965+0.08600000*'Adj Close Prices'!E965+0.33700000*'Adj Close Prices'!F965</f>
        <v/>
      </c>
      <c r="C221" s="13">
        <f>C220*(1+B221)</f>
        <v/>
      </c>
    </row>
    <row r="222">
      <c r="A222" s="2">
        <f>'Adj Close Prices'!A966</f>
        <v/>
      </c>
      <c r="B222" s="5">
        <f>0.33000000*'Adj Close Prices'!B966+0.12700000*'Adj Close Prices'!C966+0.12000000*'Adj Close Prices'!D966+0.08600000*'Adj Close Prices'!E966+0.33700000*'Adj Close Prices'!F966</f>
        <v/>
      </c>
      <c r="C222" s="13">
        <f>C221*(1+B222)</f>
        <v/>
      </c>
    </row>
    <row r="223">
      <c r="A223" s="2">
        <f>'Adj Close Prices'!A967</f>
        <v/>
      </c>
      <c r="B223" s="5">
        <f>0.33000000*'Adj Close Prices'!B967+0.12700000*'Adj Close Prices'!C967+0.12000000*'Adj Close Prices'!D967+0.08600000*'Adj Close Prices'!E967+0.33700000*'Adj Close Prices'!F967</f>
        <v/>
      </c>
      <c r="C223" s="13">
        <f>C222*(1+B223)</f>
        <v/>
      </c>
    </row>
    <row r="224">
      <c r="A224" s="2">
        <f>'Adj Close Prices'!A968</f>
        <v/>
      </c>
      <c r="B224" s="5">
        <f>0.33000000*'Adj Close Prices'!B968+0.12700000*'Adj Close Prices'!C968+0.12000000*'Adj Close Prices'!D968+0.08600000*'Adj Close Prices'!E968+0.33700000*'Adj Close Prices'!F968</f>
        <v/>
      </c>
      <c r="C224" s="13">
        <f>C223*(1+B224)</f>
        <v/>
      </c>
    </row>
    <row r="225">
      <c r="A225" s="2">
        <f>'Adj Close Prices'!A969</f>
        <v/>
      </c>
      <c r="B225" s="5">
        <f>0.33000000*'Adj Close Prices'!B969+0.12700000*'Adj Close Prices'!C969+0.12000000*'Adj Close Prices'!D969+0.08600000*'Adj Close Prices'!E969+0.33700000*'Adj Close Prices'!F969</f>
        <v/>
      </c>
      <c r="C225" s="13">
        <f>C224*(1+B225)</f>
        <v/>
      </c>
    </row>
    <row r="226">
      <c r="A226" s="2">
        <f>'Adj Close Prices'!A970</f>
        <v/>
      </c>
      <c r="B226" s="5">
        <f>0.33000000*'Adj Close Prices'!B970+0.12700000*'Adj Close Prices'!C970+0.12000000*'Adj Close Prices'!D970+0.08600000*'Adj Close Prices'!E970+0.33700000*'Adj Close Prices'!F970</f>
        <v/>
      </c>
      <c r="C226" s="13">
        <f>C225*(1+B226)</f>
        <v/>
      </c>
    </row>
    <row r="227">
      <c r="A227" s="2">
        <f>'Adj Close Prices'!A971</f>
        <v/>
      </c>
      <c r="B227" s="5">
        <f>0.33000000*'Adj Close Prices'!B971+0.12700000*'Adj Close Prices'!C971+0.12000000*'Adj Close Prices'!D971+0.08600000*'Adj Close Prices'!E971+0.33700000*'Adj Close Prices'!F971</f>
        <v/>
      </c>
      <c r="C227" s="13">
        <f>C226*(1+B227)</f>
        <v/>
      </c>
    </row>
    <row r="228">
      <c r="A228" s="2">
        <f>'Adj Close Prices'!A972</f>
        <v/>
      </c>
      <c r="B228" s="5">
        <f>0.33000000*'Adj Close Prices'!B972+0.12700000*'Adj Close Prices'!C972+0.12000000*'Adj Close Prices'!D972+0.08600000*'Adj Close Prices'!E972+0.33700000*'Adj Close Prices'!F972</f>
        <v/>
      </c>
      <c r="C228" s="13">
        <f>C227*(1+B228)</f>
        <v/>
      </c>
    </row>
    <row r="229">
      <c r="A229" s="2">
        <f>'Adj Close Prices'!A973</f>
        <v/>
      </c>
      <c r="B229" s="5">
        <f>0.33000000*'Adj Close Prices'!B973+0.12700000*'Adj Close Prices'!C973+0.12000000*'Adj Close Prices'!D973+0.08600000*'Adj Close Prices'!E973+0.33700000*'Adj Close Prices'!F973</f>
        <v/>
      </c>
      <c r="C229" s="13">
        <f>C228*(1+B229)</f>
        <v/>
      </c>
    </row>
    <row r="230">
      <c r="A230" s="2">
        <f>'Adj Close Prices'!A974</f>
        <v/>
      </c>
      <c r="B230" s="5">
        <f>0.33000000*'Adj Close Prices'!B974+0.12700000*'Adj Close Prices'!C974+0.12000000*'Adj Close Prices'!D974+0.08600000*'Adj Close Prices'!E974+0.33700000*'Adj Close Prices'!F974</f>
        <v/>
      </c>
      <c r="C230" s="13">
        <f>C229*(1+B230)</f>
        <v/>
      </c>
    </row>
    <row r="231">
      <c r="A231" s="2">
        <f>'Adj Close Prices'!A975</f>
        <v/>
      </c>
      <c r="B231" s="5">
        <f>0.33000000*'Adj Close Prices'!B975+0.12700000*'Adj Close Prices'!C975+0.12000000*'Adj Close Prices'!D975+0.08600000*'Adj Close Prices'!E975+0.33700000*'Adj Close Prices'!F975</f>
        <v/>
      </c>
      <c r="C231" s="13">
        <f>C230*(1+B231)</f>
        <v/>
      </c>
    </row>
    <row r="232">
      <c r="A232" s="2">
        <f>'Adj Close Prices'!A976</f>
        <v/>
      </c>
      <c r="B232" s="5">
        <f>0.33000000*'Adj Close Prices'!B976+0.12700000*'Adj Close Prices'!C976+0.12000000*'Adj Close Prices'!D976+0.08600000*'Adj Close Prices'!E976+0.33700000*'Adj Close Prices'!F976</f>
        <v/>
      </c>
      <c r="C232" s="13">
        <f>C231*(1+B232)</f>
        <v/>
      </c>
    </row>
    <row r="233">
      <c r="A233" s="2">
        <f>'Adj Close Prices'!A977</f>
        <v/>
      </c>
      <c r="B233" s="5">
        <f>0.33000000*'Adj Close Prices'!B977+0.12700000*'Adj Close Prices'!C977+0.12000000*'Adj Close Prices'!D977+0.08600000*'Adj Close Prices'!E977+0.33700000*'Adj Close Prices'!F977</f>
        <v/>
      </c>
      <c r="C233" s="13">
        <f>C232*(1+B233)</f>
        <v/>
      </c>
    </row>
    <row r="234">
      <c r="A234" s="2">
        <f>'Adj Close Prices'!A978</f>
        <v/>
      </c>
      <c r="B234" s="5">
        <f>0.33000000*'Adj Close Prices'!B978+0.12700000*'Adj Close Prices'!C978+0.12000000*'Adj Close Prices'!D978+0.08600000*'Adj Close Prices'!E978+0.33700000*'Adj Close Prices'!F978</f>
        <v/>
      </c>
      <c r="C234" s="13">
        <f>C233*(1+B234)</f>
        <v/>
      </c>
    </row>
    <row r="235">
      <c r="A235" s="2">
        <f>'Adj Close Prices'!A979</f>
        <v/>
      </c>
      <c r="B235" s="5">
        <f>0.33000000*'Adj Close Prices'!B979+0.12700000*'Adj Close Prices'!C979+0.12000000*'Adj Close Prices'!D979+0.08600000*'Adj Close Prices'!E979+0.33700000*'Adj Close Prices'!F979</f>
        <v/>
      </c>
      <c r="C235" s="13">
        <f>C234*(1+B235)</f>
        <v/>
      </c>
    </row>
    <row r="236">
      <c r="A236" s="2">
        <f>'Adj Close Prices'!A980</f>
        <v/>
      </c>
      <c r="B236" s="5">
        <f>0.33000000*'Adj Close Prices'!B980+0.12700000*'Adj Close Prices'!C980+0.12000000*'Adj Close Prices'!D980+0.08600000*'Adj Close Prices'!E980+0.33700000*'Adj Close Prices'!F980</f>
        <v/>
      </c>
      <c r="C236" s="13">
        <f>C235*(1+B236)</f>
        <v/>
      </c>
    </row>
    <row r="237">
      <c r="A237" s="2">
        <f>'Adj Close Prices'!A981</f>
        <v/>
      </c>
      <c r="B237" s="5">
        <f>0.33000000*'Adj Close Prices'!B981+0.12700000*'Adj Close Prices'!C981+0.12000000*'Adj Close Prices'!D981+0.08600000*'Adj Close Prices'!E981+0.33700000*'Adj Close Prices'!F981</f>
        <v/>
      </c>
      <c r="C237" s="13">
        <f>C236*(1+B237)</f>
        <v/>
      </c>
    </row>
    <row r="238">
      <c r="A238" s="2">
        <f>'Adj Close Prices'!A982</f>
        <v/>
      </c>
      <c r="B238" s="5">
        <f>0.33000000*'Adj Close Prices'!B982+0.12700000*'Adj Close Prices'!C982+0.12000000*'Adj Close Prices'!D982+0.08600000*'Adj Close Prices'!E982+0.33700000*'Adj Close Prices'!F982</f>
        <v/>
      </c>
      <c r="C238" s="13">
        <f>C237*(1+B238)</f>
        <v/>
      </c>
    </row>
    <row r="239">
      <c r="A239" s="2">
        <f>'Adj Close Prices'!A983</f>
        <v/>
      </c>
      <c r="B239" s="5">
        <f>0.33000000*'Adj Close Prices'!B983+0.12700000*'Adj Close Prices'!C983+0.12000000*'Adj Close Prices'!D983+0.08600000*'Adj Close Prices'!E983+0.33700000*'Adj Close Prices'!F983</f>
        <v/>
      </c>
      <c r="C239" s="13">
        <f>C238*(1+B239)</f>
        <v/>
      </c>
    </row>
    <row r="240">
      <c r="A240" s="2">
        <f>'Adj Close Prices'!A984</f>
        <v/>
      </c>
      <c r="B240" s="5">
        <f>0.33000000*'Adj Close Prices'!B984+0.12700000*'Adj Close Prices'!C984+0.12000000*'Adj Close Prices'!D984+0.08600000*'Adj Close Prices'!E984+0.33700000*'Adj Close Prices'!F984</f>
        <v/>
      </c>
      <c r="C240" s="13">
        <f>C239*(1+B240)</f>
        <v/>
      </c>
    </row>
    <row r="241">
      <c r="A241" s="2">
        <f>'Adj Close Prices'!A985</f>
        <v/>
      </c>
      <c r="B241" s="5">
        <f>0.33000000*'Adj Close Prices'!B985+0.12700000*'Adj Close Prices'!C985+0.12000000*'Adj Close Prices'!D985+0.08600000*'Adj Close Prices'!E985+0.33700000*'Adj Close Prices'!F985</f>
        <v/>
      </c>
      <c r="C241" s="13">
        <f>C240*(1+B241)</f>
        <v/>
      </c>
    </row>
    <row r="242">
      <c r="A242" s="2">
        <f>'Adj Close Prices'!A986</f>
        <v/>
      </c>
      <c r="B242" s="5">
        <f>0.33000000*'Adj Close Prices'!B986+0.12700000*'Adj Close Prices'!C986+0.12000000*'Adj Close Prices'!D986+0.08600000*'Adj Close Prices'!E986+0.33700000*'Adj Close Prices'!F986</f>
        <v/>
      </c>
      <c r="C242" s="13">
        <f>C241*(1+B242)</f>
        <v/>
      </c>
    </row>
    <row r="243">
      <c r="A243" s="2">
        <f>'Adj Close Prices'!A987</f>
        <v/>
      </c>
      <c r="B243" s="5">
        <f>0.33000000*'Adj Close Prices'!B987+0.12700000*'Adj Close Prices'!C987+0.12000000*'Adj Close Prices'!D987+0.08600000*'Adj Close Prices'!E987+0.33700000*'Adj Close Prices'!F987</f>
        <v/>
      </c>
      <c r="C243" s="13">
        <f>C242*(1+B243)</f>
        <v/>
      </c>
    </row>
    <row r="244">
      <c r="A244" s="2">
        <f>'Adj Close Prices'!A988</f>
        <v/>
      </c>
      <c r="B244" s="5">
        <f>0.33000000*'Adj Close Prices'!B988+0.12700000*'Adj Close Prices'!C988+0.12000000*'Adj Close Prices'!D988+0.08600000*'Adj Close Prices'!E988+0.33700000*'Adj Close Prices'!F988</f>
        <v/>
      </c>
      <c r="C244" s="13">
        <f>C243*(1+B244)</f>
        <v/>
      </c>
    </row>
    <row r="245">
      <c r="A245" s="2">
        <f>'Adj Close Prices'!A989</f>
        <v/>
      </c>
      <c r="B245" s="5">
        <f>0.33000000*'Adj Close Prices'!B989+0.12700000*'Adj Close Prices'!C989+0.12000000*'Adj Close Prices'!D989+0.08600000*'Adj Close Prices'!E989+0.33700000*'Adj Close Prices'!F989</f>
        <v/>
      </c>
      <c r="C245" s="13">
        <f>C244*(1+B245)</f>
        <v/>
      </c>
    </row>
    <row r="246">
      <c r="A246" s="2">
        <f>'Adj Close Prices'!A990</f>
        <v/>
      </c>
      <c r="B246" s="5">
        <f>0.33000000*'Adj Close Prices'!B990+0.12700000*'Adj Close Prices'!C990+0.12000000*'Adj Close Prices'!D990+0.08600000*'Adj Close Prices'!E990+0.33700000*'Adj Close Prices'!F990</f>
        <v/>
      </c>
      <c r="C246" s="13">
        <f>C245*(1+B246)</f>
        <v/>
      </c>
    </row>
    <row r="247">
      <c r="A247" s="2">
        <f>'Adj Close Prices'!A991</f>
        <v/>
      </c>
      <c r="B247" s="5">
        <f>0.33000000*'Adj Close Prices'!B991+0.12700000*'Adj Close Prices'!C991+0.12000000*'Adj Close Prices'!D991+0.08600000*'Adj Close Prices'!E991+0.33700000*'Adj Close Prices'!F991</f>
        <v/>
      </c>
      <c r="C247" s="13">
        <f>C246*(1+B247)</f>
        <v/>
      </c>
    </row>
    <row r="248">
      <c r="A248" s="2">
        <f>'Adj Close Prices'!A992</f>
        <v/>
      </c>
      <c r="B248" s="5">
        <f>0.33000000*'Adj Close Prices'!B992+0.12700000*'Adj Close Prices'!C992+0.12000000*'Adj Close Prices'!D992+0.08600000*'Adj Close Prices'!E992+0.33700000*'Adj Close Prices'!F992</f>
        <v/>
      </c>
      <c r="C248" s="13">
        <f>C247*(1+B248)</f>
        <v/>
      </c>
    </row>
    <row r="249">
      <c r="A249" s="2">
        <f>'Adj Close Prices'!A993</f>
        <v/>
      </c>
      <c r="B249" s="5">
        <f>0.33000000*'Adj Close Prices'!B993+0.12700000*'Adj Close Prices'!C993+0.12000000*'Adj Close Prices'!D993+0.08600000*'Adj Close Prices'!E993+0.33700000*'Adj Close Prices'!F993</f>
        <v/>
      </c>
      <c r="C249" s="13">
        <f>C248*(1+B249)</f>
        <v/>
      </c>
    </row>
    <row r="250">
      <c r="A250" s="2">
        <f>'Adj Close Prices'!A994</f>
        <v/>
      </c>
      <c r="B250" s="5">
        <f>0.33000000*'Adj Close Prices'!B994+0.12700000*'Adj Close Prices'!C994+0.12000000*'Adj Close Prices'!D994+0.08600000*'Adj Close Prices'!E994+0.33700000*'Adj Close Prices'!F994</f>
        <v/>
      </c>
      <c r="C250" s="13">
        <f>C249*(1+B250)</f>
        <v/>
      </c>
    </row>
    <row r="251">
      <c r="A251" s="2">
        <f>'Adj Close Prices'!A995</f>
        <v/>
      </c>
      <c r="B251" s="5">
        <f>0.33000000*'Adj Close Prices'!B995+0.12700000*'Adj Close Prices'!C995+0.12000000*'Adj Close Prices'!D995+0.08600000*'Adj Close Prices'!E995+0.33700000*'Adj Close Prices'!F995</f>
        <v/>
      </c>
      <c r="C251" s="13">
        <f>C250*(1+B251)</f>
        <v/>
      </c>
    </row>
    <row r="252">
      <c r="A252" s="2">
        <f>'Adj Close Prices'!A996</f>
        <v/>
      </c>
      <c r="B252" s="5">
        <f>0.33000000*'Adj Close Prices'!B996+0.12700000*'Adj Close Prices'!C996+0.12000000*'Adj Close Prices'!D996+0.08600000*'Adj Close Prices'!E996+0.33700000*'Adj Close Prices'!F996</f>
        <v/>
      </c>
      <c r="C252" s="13">
        <f>C251*(1+B252)</f>
        <v/>
      </c>
    </row>
    <row r="253">
      <c r="A253" s="2">
        <f>'Adj Close Prices'!A997</f>
        <v/>
      </c>
      <c r="B253" s="5">
        <f>0.33000000*'Adj Close Prices'!B997+0.12700000*'Adj Close Prices'!C997+0.12000000*'Adj Close Prices'!D997+0.08600000*'Adj Close Prices'!E997+0.33700000*'Adj Close Prices'!F997</f>
        <v/>
      </c>
      <c r="C253" s="13">
        <f>C252*(1+B253)</f>
        <v/>
      </c>
    </row>
    <row r="254">
      <c r="A254" s="2">
        <f>'Adj Close Prices'!A998</f>
        <v/>
      </c>
      <c r="B254" s="5">
        <f>0.33000000*'Adj Close Prices'!B998+0.12700000*'Adj Close Prices'!C998+0.12000000*'Adj Close Prices'!D998+0.08600000*'Adj Close Prices'!E998+0.33700000*'Adj Close Prices'!F998</f>
        <v/>
      </c>
      <c r="C254" s="13">
        <f>C253*(1+B254)</f>
        <v/>
      </c>
    </row>
    <row r="255">
      <c r="A255" s="2">
        <f>'Adj Close Prices'!A999</f>
        <v/>
      </c>
      <c r="B255" s="5">
        <f>0.33000000*'Adj Close Prices'!B999+0.12700000*'Adj Close Prices'!C999+0.12000000*'Adj Close Prices'!D999+0.08600000*'Adj Close Prices'!E999+0.33700000*'Adj Close Prices'!F999</f>
        <v/>
      </c>
      <c r="C255" s="13">
        <f>C254*(1+B255)</f>
        <v/>
      </c>
    </row>
    <row r="256">
      <c r="A256" s="2">
        <f>'Adj Close Prices'!A1000</f>
        <v/>
      </c>
      <c r="B256" s="5">
        <f>0.33000000*'Adj Close Prices'!B1000+0.12700000*'Adj Close Prices'!C1000+0.12000000*'Adj Close Prices'!D1000+0.08600000*'Adj Close Prices'!E1000+0.33700000*'Adj Close Prices'!F1000</f>
        <v/>
      </c>
      <c r="C256" s="13">
        <f>C255*(1+B256)</f>
        <v/>
      </c>
    </row>
    <row r="257">
      <c r="A257" s="2">
        <f>'Adj Close Prices'!A1001</f>
        <v/>
      </c>
      <c r="B257" s="5">
        <f>0.33000000*'Adj Close Prices'!B1001+0.12700000*'Adj Close Prices'!C1001+0.12000000*'Adj Close Prices'!D1001+0.08600000*'Adj Close Prices'!E1001+0.33700000*'Adj Close Prices'!F1001</f>
        <v/>
      </c>
      <c r="C257" s="13">
        <f>C256*(1+B257)</f>
        <v/>
      </c>
    </row>
    <row r="258">
      <c r="A258" s="2">
        <f>'Adj Close Prices'!A1002</f>
        <v/>
      </c>
      <c r="B258" s="5">
        <f>0.33000000*'Adj Close Prices'!B1002+0.12700000*'Adj Close Prices'!C1002+0.12000000*'Adj Close Prices'!D1002+0.08600000*'Adj Close Prices'!E1002+0.33700000*'Adj Close Prices'!F1002</f>
        <v/>
      </c>
      <c r="C258" s="13">
        <f>C257*(1+B258)</f>
        <v/>
      </c>
    </row>
    <row r="259">
      <c r="A259" s="2">
        <f>'Adj Close Prices'!A1003</f>
        <v/>
      </c>
      <c r="B259" s="5">
        <f>0.33000000*'Adj Close Prices'!B1003+0.12700000*'Adj Close Prices'!C1003+0.12000000*'Adj Close Prices'!D1003+0.08600000*'Adj Close Prices'!E1003+0.33700000*'Adj Close Prices'!F1003</f>
        <v/>
      </c>
      <c r="C259" s="13">
        <f>C258*(1+B259)</f>
        <v/>
      </c>
    </row>
    <row r="260">
      <c r="A260" s="2">
        <f>'Adj Close Prices'!A1004</f>
        <v/>
      </c>
      <c r="B260" s="5">
        <f>0.33000000*'Adj Close Prices'!B1004+0.12700000*'Adj Close Prices'!C1004+0.12000000*'Adj Close Prices'!D1004+0.08600000*'Adj Close Prices'!E1004+0.33700000*'Adj Close Prices'!F1004</f>
        <v/>
      </c>
      <c r="C260" s="13">
        <f>C259*(1+B260)</f>
        <v/>
      </c>
    </row>
    <row r="261">
      <c r="A261" s="2">
        <f>'Adj Close Prices'!A1005</f>
        <v/>
      </c>
      <c r="B261" s="5">
        <f>0.33000000*'Adj Close Prices'!B1005+0.12700000*'Adj Close Prices'!C1005+0.12000000*'Adj Close Prices'!D1005+0.08600000*'Adj Close Prices'!E1005+0.33700000*'Adj Close Prices'!F1005</f>
        <v/>
      </c>
      <c r="C261" s="13">
        <f>C260*(1+B261)</f>
        <v/>
      </c>
    </row>
    <row r="262">
      <c r="A262" s="2">
        <f>'Adj Close Prices'!A1006</f>
        <v/>
      </c>
      <c r="B262" s="5">
        <f>0.33000000*'Adj Close Prices'!B1006+0.12700000*'Adj Close Prices'!C1006+0.12000000*'Adj Close Prices'!D1006+0.08600000*'Adj Close Prices'!E1006+0.33700000*'Adj Close Prices'!F1006</f>
        <v/>
      </c>
      <c r="C262" s="13">
        <f>C261*(1+B262)</f>
        <v/>
      </c>
    </row>
    <row r="263">
      <c r="A263" s="2">
        <f>'Adj Close Prices'!A1007</f>
        <v/>
      </c>
      <c r="B263" s="5">
        <f>0.33000000*'Adj Close Prices'!B1007+0.12700000*'Adj Close Prices'!C1007+0.12000000*'Adj Close Prices'!D1007+0.08600000*'Adj Close Prices'!E1007+0.33700000*'Adj Close Prices'!F1007</f>
        <v/>
      </c>
      <c r="C263" s="13">
        <f>C262*(1+B263)</f>
        <v/>
      </c>
    </row>
    <row r="264">
      <c r="A264" s="2">
        <f>'Adj Close Prices'!A1008</f>
        <v/>
      </c>
      <c r="B264" s="5">
        <f>0.33000000*'Adj Close Prices'!B1008+0.12700000*'Adj Close Prices'!C1008+0.12000000*'Adj Close Prices'!D1008+0.08600000*'Adj Close Prices'!E1008+0.33700000*'Adj Close Prices'!F1008</f>
        <v/>
      </c>
      <c r="C264" s="13">
        <f>C263*(1+B264)</f>
        <v/>
      </c>
    </row>
    <row r="265">
      <c r="A265" s="2">
        <f>'Adj Close Prices'!A1009</f>
        <v/>
      </c>
      <c r="B265" s="5">
        <f>0.33000000*'Adj Close Prices'!B1009+0.12700000*'Adj Close Prices'!C1009+0.12000000*'Adj Close Prices'!D1009+0.08600000*'Adj Close Prices'!E1009+0.33700000*'Adj Close Prices'!F1009</f>
        <v/>
      </c>
      <c r="C265" s="13">
        <f>C264*(1+B265)</f>
        <v/>
      </c>
    </row>
    <row r="266">
      <c r="A266" s="2">
        <f>'Adj Close Prices'!A1010</f>
        <v/>
      </c>
      <c r="B266" s="5">
        <f>0.33000000*'Adj Close Prices'!B1010+0.12700000*'Adj Close Prices'!C1010+0.12000000*'Adj Close Prices'!D1010+0.08600000*'Adj Close Prices'!E1010+0.33700000*'Adj Close Prices'!F1010</f>
        <v/>
      </c>
      <c r="C266" s="13">
        <f>C265*(1+B266)</f>
        <v/>
      </c>
    </row>
    <row r="267">
      <c r="A267" s="2">
        <f>'Adj Close Prices'!A1011</f>
        <v/>
      </c>
      <c r="B267" s="5">
        <f>0.33000000*'Adj Close Prices'!B1011+0.12700000*'Adj Close Prices'!C1011+0.12000000*'Adj Close Prices'!D1011+0.08600000*'Adj Close Prices'!E1011+0.33700000*'Adj Close Prices'!F1011</f>
        <v/>
      </c>
      <c r="C267" s="13">
        <f>C266*(1+B267)</f>
        <v/>
      </c>
    </row>
    <row r="268">
      <c r="A268" s="2">
        <f>'Adj Close Prices'!A1012</f>
        <v/>
      </c>
      <c r="B268" s="5">
        <f>0.33000000*'Adj Close Prices'!B1012+0.12700000*'Adj Close Prices'!C1012+0.12000000*'Adj Close Prices'!D1012+0.08600000*'Adj Close Prices'!E1012+0.33700000*'Adj Close Prices'!F1012</f>
        <v/>
      </c>
      <c r="C268" s="13">
        <f>C267*(1+B268)</f>
        <v/>
      </c>
    </row>
    <row r="269">
      <c r="A269" s="2">
        <f>'Adj Close Prices'!A1013</f>
        <v/>
      </c>
      <c r="B269" s="5">
        <f>0.33000000*'Adj Close Prices'!B1013+0.12700000*'Adj Close Prices'!C1013+0.12000000*'Adj Close Prices'!D1013+0.08600000*'Adj Close Prices'!E1013+0.33700000*'Adj Close Prices'!F1013</f>
        <v/>
      </c>
      <c r="C269" s="13">
        <f>C268*(1+B269)</f>
        <v/>
      </c>
    </row>
    <row r="270">
      <c r="A270" s="2">
        <f>'Adj Close Prices'!A1014</f>
        <v/>
      </c>
      <c r="B270" s="5">
        <f>0.33000000*'Adj Close Prices'!B1014+0.12700000*'Adj Close Prices'!C1014+0.12000000*'Adj Close Prices'!D1014+0.08600000*'Adj Close Prices'!E1014+0.33700000*'Adj Close Prices'!F1014</f>
        <v/>
      </c>
      <c r="C270" s="13">
        <f>C269*(1+B270)</f>
        <v/>
      </c>
    </row>
    <row r="271">
      <c r="A271" s="2">
        <f>'Adj Close Prices'!A1015</f>
        <v/>
      </c>
      <c r="B271" s="5">
        <f>0.33000000*'Adj Close Prices'!B1015+0.12700000*'Adj Close Prices'!C1015+0.12000000*'Adj Close Prices'!D1015+0.08600000*'Adj Close Prices'!E1015+0.33700000*'Adj Close Prices'!F1015</f>
        <v/>
      </c>
      <c r="C271" s="13">
        <f>C270*(1+B271)</f>
        <v/>
      </c>
    </row>
    <row r="272">
      <c r="A272" s="2">
        <f>'Adj Close Prices'!A1016</f>
        <v/>
      </c>
      <c r="B272" s="5">
        <f>0.33000000*'Adj Close Prices'!B1016+0.12700000*'Adj Close Prices'!C1016+0.12000000*'Adj Close Prices'!D1016+0.08600000*'Adj Close Prices'!E1016+0.33700000*'Adj Close Prices'!F1016</f>
        <v/>
      </c>
      <c r="C272" s="13">
        <f>C271*(1+B272)</f>
        <v/>
      </c>
    </row>
    <row r="273">
      <c r="A273" s="2">
        <f>'Adj Close Prices'!A1017</f>
        <v/>
      </c>
      <c r="B273" s="5">
        <f>0.33000000*'Adj Close Prices'!B1017+0.12700000*'Adj Close Prices'!C1017+0.12000000*'Adj Close Prices'!D1017+0.08600000*'Adj Close Prices'!E1017+0.33700000*'Adj Close Prices'!F1017</f>
        <v/>
      </c>
      <c r="C273" s="13">
        <f>C272*(1+B273)</f>
        <v/>
      </c>
    </row>
    <row r="274">
      <c r="A274" s="2">
        <f>'Adj Close Prices'!A1018</f>
        <v/>
      </c>
      <c r="B274" s="5">
        <f>0.33000000*'Adj Close Prices'!B1018+0.12700000*'Adj Close Prices'!C1018+0.12000000*'Adj Close Prices'!D1018+0.08600000*'Adj Close Prices'!E1018+0.33700000*'Adj Close Prices'!F1018</f>
        <v/>
      </c>
      <c r="C274" s="13">
        <f>C273*(1+B274)</f>
        <v/>
      </c>
    </row>
    <row r="275">
      <c r="A275" s="2">
        <f>'Adj Close Prices'!A1019</f>
        <v/>
      </c>
      <c r="B275" s="5">
        <f>0.33000000*'Adj Close Prices'!B1019+0.12700000*'Adj Close Prices'!C1019+0.12000000*'Adj Close Prices'!D1019+0.08600000*'Adj Close Prices'!E1019+0.33700000*'Adj Close Prices'!F1019</f>
        <v/>
      </c>
      <c r="C275" s="13">
        <f>C274*(1+B275)</f>
        <v/>
      </c>
    </row>
    <row r="276">
      <c r="A276" s="2">
        <f>'Adj Close Prices'!A1020</f>
        <v/>
      </c>
      <c r="B276" s="5">
        <f>0.33000000*'Adj Close Prices'!B1020+0.12700000*'Adj Close Prices'!C1020+0.12000000*'Adj Close Prices'!D1020+0.08600000*'Adj Close Prices'!E1020+0.33700000*'Adj Close Prices'!F1020</f>
        <v/>
      </c>
      <c r="C276" s="13">
        <f>C275*(1+B276)</f>
        <v/>
      </c>
    </row>
    <row r="277">
      <c r="A277" s="2">
        <f>'Adj Close Prices'!A1021</f>
        <v/>
      </c>
      <c r="B277" s="5">
        <f>0.33000000*'Adj Close Prices'!B1021+0.12700000*'Adj Close Prices'!C1021+0.12000000*'Adj Close Prices'!D1021+0.08600000*'Adj Close Prices'!E1021+0.33700000*'Adj Close Prices'!F1021</f>
        <v/>
      </c>
      <c r="C277" s="13">
        <f>C276*(1+B277)</f>
        <v/>
      </c>
    </row>
    <row r="278">
      <c r="A278" s="2">
        <f>'Adj Close Prices'!A1022</f>
        <v/>
      </c>
      <c r="B278" s="5">
        <f>0.33000000*'Adj Close Prices'!B1022+0.12700000*'Adj Close Prices'!C1022+0.12000000*'Adj Close Prices'!D1022+0.08600000*'Adj Close Prices'!E1022+0.33700000*'Adj Close Prices'!F1022</f>
        <v/>
      </c>
      <c r="C278" s="13">
        <f>C277*(1+B278)</f>
        <v/>
      </c>
    </row>
    <row r="279">
      <c r="A279" s="2">
        <f>'Adj Close Prices'!A1023</f>
        <v/>
      </c>
      <c r="B279" s="5">
        <f>0.33000000*'Adj Close Prices'!B1023+0.12700000*'Adj Close Prices'!C1023+0.12000000*'Adj Close Prices'!D1023+0.08600000*'Adj Close Prices'!E1023+0.33700000*'Adj Close Prices'!F1023</f>
        <v/>
      </c>
      <c r="C279" s="13">
        <f>C278*(1+B279)</f>
        <v/>
      </c>
    </row>
    <row r="280">
      <c r="A280" s="2">
        <f>'Adj Close Prices'!A1024</f>
        <v/>
      </c>
      <c r="B280" s="5">
        <f>0.33000000*'Adj Close Prices'!B1024+0.12700000*'Adj Close Prices'!C1024+0.12000000*'Adj Close Prices'!D1024+0.08600000*'Adj Close Prices'!E1024+0.33700000*'Adj Close Prices'!F1024</f>
        <v/>
      </c>
      <c r="C280" s="13">
        <f>C279*(1+B280)</f>
        <v/>
      </c>
    </row>
    <row r="281">
      <c r="A281" s="2">
        <f>'Adj Close Prices'!A1025</f>
        <v/>
      </c>
      <c r="B281" s="5">
        <f>0.33000000*'Adj Close Prices'!B1025+0.12700000*'Adj Close Prices'!C1025+0.12000000*'Adj Close Prices'!D1025+0.08600000*'Adj Close Prices'!E1025+0.33700000*'Adj Close Prices'!F1025</f>
        <v/>
      </c>
      <c r="C281" s="13">
        <f>C280*(1+B281)</f>
        <v/>
      </c>
    </row>
    <row r="282">
      <c r="A282" s="2">
        <f>'Adj Close Prices'!A1026</f>
        <v/>
      </c>
      <c r="B282" s="5">
        <f>0.33000000*'Adj Close Prices'!B1026+0.12700000*'Adj Close Prices'!C1026+0.12000000*'Adj Close Prices'!D1026+0.08600000*'Adj Close Prices'!E1026+0.33700000*'Adj Close Prices'!F1026</f>
        <v/>
      </c>
      <c r="C282" s="13">
        <f>C281*(1+B282)</f>
        <v/>
      </c>
    </row>
    <row r="283">
      <c r="A283" s="2">
        <f>'Adj Close Prices'!A1027</f>
        <v/>
      </c>
      <c r="B283" s="5">
        <f>0.33000000*'Adj Close Prices'!B1027+0.12700000*'Adj Close Prices'!C1027+0.12000000*'Adj Close Prices'!D1027+0.08600000*'Adj Close Prices'!E1027+0.33700000*'Adj Close Prices'!F1027</f>
        <v/>
      </c>
      <c r="C283" s="13">
        <f>C282*(1+B283)</f>
        <v/>
      </c>
    </row>
    <row r="284">
      <c r="A284" s="2">
        <f>'Adj Close Prices'!A1028</f>
        <v/>
      </c>
      <c r="B284" s="5">
        <f>0.33000000*'Adj Close Prices'!B1028+0.12700000*'Adj Close Prices'!C1028+0.12000000*'Adj Close Prices'!D1028+0.08600000*'Adj Close Prices'!E1028+0.33700000*'Adj Close Prices'!F1028</f>
        <v/>
      </c>
      <c r="C284" s="13">
        <f>C283*(1+B284)</f>
        <v/>
      </c>
    </row>
    <row r="285">
      <c r="A285" s="2">
        <f>'Adj Close Prices'!A1029</f>
        <v/>
      </c>
      <c r="B285" s="5">
        <f>0.33000000*'Adj Close Prices'!B1029+0.12700000*'Adj Close Prices'!C1029+0.12000000*'Adj Close Prices'!D1029+0.08600000*'Adj Close Prices'!E1029+0.33700000*'Adj Close Prices'!F1029</f>
        <v/>
      </c>
      <c r="C285" s="13">
        <f>C284*(1+B285)</f>
        <v/>
      </c>
    </row>
    <row r="286">
      <c r="A286" s="2">
        <f>'Adj Close Prices'!A1030</f>
        <v/>
      </c>
      <c r="B286" s="5">
        <f>0.33000000*'Adj Close Prices'!B1030+0.12700000*'Adj Close Prices'!C1030+0.12000000*'Adj Close Prices'!D1030+0.08600000*'Adj Close Prices'!E1030+0.33700000*'Adj Close Prices'!F1030</f>
        <v/>
      </c>
      <c r="C286" s="13">
        <f>C285*(1+B286)</f>
        <v/>
      </c>
    </row>
    <row r="287">
      <c r="A287" s="2">
        <f>'Adj Close Prices'!A1031</f>
        <v/>
      </c>
      <c r="B287" s="5">
        <f>0.33000000*'Adj Close Prices'!B1031+0.12700000*'Adj Close Prices'!C1031+0.12000000*'Adj Close Prices'!D1031+0.08600000*'Adj Close Prices'!E1031+0.33700000*'Adj Close Prices'!F1031</f>
        <v/>
      </c>
      <c r="C287" s="13">
        <f>C286*(1+B287)</f>
        <v/>
      </c>
    </row>
    <row r="288">
      <c r="A288" s="2">
        <f>'Adj Close Prices'!A1032</f>
        <v/>
      </c>
      <c r="B288" s="5">
        <f>0.33000000*'Adj Close Prices'!B1032+0.12700000*'Adj Close Prices'!C1032+0.12000000*'Adj Close Prices'!D1032+0.08600000*'Adj Close Prices'!E1032+0.33700000*'Adj Close Prices'!F1032</f>
        <v/>
      </c>
      <c r="C288" s="13">
        <f>C287*(1+B288)</f>
        <v/>
      </c>
    </row>
    <row r="289">
      <c r="A289" s="2">
        <f>'Adj Close Prices'!A1033</f>
        <v/>
      </c>
      <c r="B289" s="5">
        <f>0.33000000*'Adj Close Prices'!B1033+0.12700000*'Adj Close Prices'!C1033+0.12000000*'Adj Close Prices'!D1033+0.08600000*'Adj Close Prices'!E1033+0.33700000*'Adj Close Prices'!F1033</f>
        <v/>
      </c>
      <c r="C289" s="13">
        <f>C288*(1+B289)</f>
        <v/>
      </c>
    </row>
    <row r="290">
      <c r="A290" s="2">
        <f>'Adj Close Prices'!A1034</f>
        <v/>
      </c>
      <c r="B290" s="5">
        <f>0.33000000*'Adj Close Prices'!B1034+0.12700000*'Adj Close Prices'!C1034+0.12000000*'Adj Close Prices'!D1034+0.08600000*'Adj Close Prices'!E1034+0.33700000*'Adj Close Prices'!F1034</f>
        <v/>
      </c>
      <c r="C290" s="13">
        <f>C289*(1+B290)</f>
        <v/>
      </c>
    </row>
    <row r="291">
      <c r="A291" s="2">
        <f>'Adj Close Prices'!A1035</f>
        <v/>
      </c>
      <c r="B291" s="5">
        <f>0.33000000*'Adj Close Prices'!B1035+0.12700000*'Adj Close Prices'!C1035+0.12000000*'Adj Close Prices'!D1035+0.08600000*'Adj Close Prices'!E1035+0.33700000*'Adj Close Prices'!F1035</f>
        <v/>
      </c>
      <c r="C291" s="13">
        <f>C290*(1+B291)</f>
        <v/>
      </c>
    </row>
    <row r="292">
      <c r="A292" s="2">
        <f>'Adj Close Prices'!A1036</f>
        <v/>
      </c>
      <c r="B292" s="5">
        <f>0.33000000*'Adj Close Prices'!B1036+0.12700000*'Adj Close Prices'!C1036+0.12000000*'Adj Close Prices'!D1036+0.08600000*'Adj Close Prices'!E1036+0.33700000*'Adj Close Prices'!F1036</f>
        <v/>
      </c>
      <c r="C292" s="13">
        <f>C291*(1+B292)</f>
        <v/>
      </c>
    </row>
    <row r="293">
      <c r="A293" s="2">
        <f>'Adj Close Prices'!A1037</f>
        <v/>
      </c>
      <c r="B293" s="5">
        <f>0.33000000*'Adj Close Prices'!B1037+0.12700000*'Adj Close Prices'!C1037+0.12000000*'Adj Close Prices'!D1037+0.08600000*'Adj Close Prices'!E1037+0.33700000*'Adj Close Prices'!F1037</f>
        <v/>
      </c>
      <c r="C293" s="13">
        <f>C292*(1+B293)</f>
        <v/>
      </c>
    </row>
    <row r="294">
      <c r="A294" s="2">
        <f>'Adj Close Prices'!A1038</f>
        <v/>
      </c>
      <c r="B294" s="5">
        <f>0.33000000*'Adj Close Prices'!B1038+0.12700000*'Adj Close Prices'!C1038+0.12000000*'Adj Close Prices'!D1038+0.08600000*'Adj Close Prices'!E1038+0.33700000*'Adj Close Prices'!F1038</f>
        <v/>
      </c>
      <c r="C294" s="13">
        <f>C293*(1+B294)</f>
        <v/>
      </c>
    </row>
    <row r="295">
      <c r="A295" s="2">
        <f>'Adj Close Prices'!A1039</f>
        <v/>
      </c>
      <c r="B295" s="5">
        <f>0.33000000*'Adj Close Prices'!B1039+0.12700000*'Adj Close Prices'!C1039+0.12000000*'Adj Close Prices'!D1039+0.08600000*'Adj Close Prices'!E1039+0.33700000*'Adj Close Prices'!F1039</f>
        <v/>
      </c>
      <c r="C295" s="13">
        <f>C294*(1+B295)</f>
        <v/>
      </c>
    </row>
    <row r="296">
      <c r="A296" s="2">
        <f>'Adj Close Prices'!A1040</f>
        <v/>
      </c>
      <c r="B296" s="5">
        <f>0.33000000*'Adj Close Prices'!B1040+0.12700000*'Adj Close Prices'!C1040+0.12000000*'Adj Close Prices'!D1040+0.08600000*'Adj Close Prices'!E1040+0.33700000*'Adj Close Prices'!F1040</f>
        <v/>
      </c>
      <c r="C296" s="13">
        <f>C295*(1+B296)</f>
        <v/>
      </c>
    </row>
    <row r="297">
      <c r="A297" s="2">
        <f>'Adj Close Prices'!A1041</f>
        <v/>
      </c>
      <c r="B297" s="5">
        <f>0.33000000*'Adj Close Prices'!B1041+0.12700000*'Adj Close Prices'!C1041+0.12000000*'Adj Close Prices'!D1041+0.08600000*'Adj Close Prices'!E1041+0.33700000*'Adj Close Prices'!F1041</f>
        <v/>
      </c>
      <c r="C297" s="13">
        <f>C296*(1+B297)</f>
        <v/>
      </c>
    </row>
    <row r="298">
      <c r="A298" s="2">
        <f>'Adj Close Prices'!A1042</f>
        <v/>
      </c>
      <c r="B298" s="5">
        <f>0.33000000*'Adj Close Prices'!B1042+0.12700000*'Adj Close Prices'!C1042+0.12000000*'Adj Close Prices'!D1042+0.08600000*'Adj Close Prices'!E1042+0.33700000*'Adj Close Prices'!F1042</f>
        <v/>
      </c>
      <c r="C298" s="13">
        <f>C297*(1+B298)</f>
        <v/>
      </c>
    </row>
    <row r="299">
      <c r="A299" s="2">
        <f>'Adj Close Prices'!A1043</f>
        <v/>
      </c>
      <c r="B299" s="5">
        <f>0.33000000*'Adj Close Prices'!B1043+0.12700000*'Adj Close Prices'!C1043+0.12000000*'Adj Close Prices'!D1043+0.08600000*'Adj Close Prices'!E1043+0.33700000*'Adj Close Prices'!F1043</f>
        <v/>
      </c>
      <c r="C299" s="13">
        <f>C298*(1+B299)</f>
        <v/>
      </c>
    </row>
    <row r="300">
      <c r="A300" s="2">
        <f>'Adj Close Prices'!A1044</f>
        <v/>
      </c>
      <c r="B300" s="5">
        <f>0.33000000*'Adj Close Prices'!B1044+0.12700000*'Adj Close Prices'!C1044+0.12000000*'Adj Close Prices'!D1044+0.08600000*'Adj Close Prices'!E1044+0.33700000*'Adj Close Prices'!F1044</f>
        <v/>
      </c>
      <c r="C300" s="13">
        <f>C299*(1+B300)</f>
        <v/>
      </c>
    </row>
    <row r="301">
      <c r="A301" s="2">
        <f>'Adj Close Prices'!A1045</f>
        <v/>
      </c>
      <c r="B301" s="5">
        <f>0.33000000*'Adj Close Prices'!B1045+0.12700000*'Adj Close Prices'!C1045+0.12000000*'Adj Close Prices'!D1045+0.08600000*'Adj Close Prices'!E1045+0.33700000*'Adj Close Prices'!F1045</f>
        <v/>
      </c>
      <c r="C301" s="13">
        <f>C300*(1+B301)</f>
        <v/>
      </c>
    </row>
    <row r="302">
      <c r="A302" s="2">
        <f>'Adj Close Prices'!A1046</f>
        <v/>
      </c>
      <c r="B302" s="5">
        <f>0.33000000*'Adj Close Prices'!B1046+0.12700000*'Adj Close Prices'!C1046+0.12000000*'Adj Close Prices'!D1046+0.08600000*'Adj Close Prices'!E1046+0.33700000*'Adj Close Prices'!F1046</f>
        <v/>
      </c>
      <c r="C302" s="13">
        <f>C301*(1+B302)</f>
        <v/>
      </c>
    </row>
    <row r="303">
      <c r="A303" s="2">
        <f>'Adj Close Prices'!A1047</f>
        <v/>
      </c>
      <c r="B303" s="5">
        <f>0.33000000*'Adj Close Prices'!B1047+0.12700000*'Adj Close Prices'!C1047+0.12000000*'Adj Close Prices'!D1047+0.08600000*'Adj Close Prices'!E1047+0.33700000*'Adj Close Prices'!F1047</f>
        <v/>
      </c>
      <c r="C303" s="13">
        <f>C302*(1+B303)</f>
        <v/>
      </c>
    </row>
    <row r="304">
      <c r="A304" s="2">
        <f>'Adj Close Prices'!A1048</f>
        <v/>
      </c>
      <c r="B304" s="5">
        <f>0.33000000*'Adj Close Prices'!B1048+0.12700000*'Adj Close Prices'!C1048+0.12000000*'Adj Close Prices'!D1048+0.08600000*'Adj Close Prices'!E1048+0.33700000*'Adj Close Prices'!F1048</f>
        <v/>
      </c>
      <c r="C304" s="13">
        <f>C303*(1+B304)</f>
        <v/>
      </c>
    </row>
    <row r="305">
      <c r="A305" s="2">
        <f>'Adj Close Prices'!A1049</f>
        <v/>
      </c>
      <c r="B305" s="5">
        <f>0.33000000*'Adj Close Prices'!B1049+0.12700000*'Adj Close Prices'!C1049+0.12000000*'Adj Close Prices'!D1049+0.08600000*'Adj Close Prices'!E1049+0.33700000*'Adj Close Prices'!F1049</f>
        <v/>
      </c>
      <c r="C305" s="13">
        <f>C304*(1+B305)</f>
        <v/>
      </c>
    </row>
    <row r="306">
      <c r="A306" s="2">
        <f>'Adj Close Prices'!A1050</f>
        <v/>
      </c>
      <c r="B306" s="5">
        <f>0.33000000*'Adj Close Prices'!B1050+0.12700000*'Adj Close Prices'!C1050+0.12000000*'Adj Close Prices'!D1050+0.08600000*'Adj Close Prices'!E1050+0.33700000*'Adj Close Prices'!F1050</f>
        <v/>
      </c>
      <c r="C306" s="13">
        <f>C305*(1+B306)</f>
        <v/>
      </c>
    </row>
    <row r="307">
      <c r="A307" s="2">
        <f>'Adj Close Prices'!A1051</f>
        <v/>
      </c>
      <c r="B307" s="5">
        <f>0.33000000*'Adj Close Prices'!B1051+0.12700000*'Adj Close Prices'!C1051+0.12000000*'Adj Close Prices'!D1051+0.08600000*'Adj Close Prices'!E1051+0.33700000*'Adj Close Prices'!F1051</f>
        <v/>
      </c>
      <c r="C307" s="13">
        <f>C306*(1+B307)</f>
        <v/>
      </c>
    </row>
    <row r="308">
      <c r="A308" s="2">
        <f>'Adj Close Prices'!A1052</f>
        <v/>
      </c>
      <c r="B308" s="5">
        <f>0.33000000*'Adj Close Prices'!B1052+0.12700000*'Adj Close Prices'!C1052+0.12000000*'Adj Close Prices'!D1052+0.08600000*'Adj Close Prices'!E1052+0.33700000*'Adj Close Prices'!F1052</f>
        <v/>
      </c>
      <c r="C308" s="13">
        <f>C307*(1+B308)</f>
        <v/>
      </c>
    </row>
    <row r="309">
      <c r="A309" s="2">
        <f>'Adj Close Prices'!A1053</f>
        <v/>
      </c>
      <c r="B309" s="5">
        <f>0.33000000*'Adj Close Prices'!B1053+0.12700000*'Adj Close Prices'!C1053+0.12000000*'Adj Close Prices'!D1053+0.08600000*'Adj Close Prices'!E1053+0.33700000*'Adj Close Prices'!F1053</f>
        <v/>
      </c>
      <c r="C309" s="13">
        <f>C308*(1+B309)</f>
        <v/>
      </c>
    </row>
    <row r="310">
      <c r="A310" s="2">
        <f>'Adj Close Prices'!A1054</f>
        <v/>
      </c>
      <c r="B310" s="5">
        <f>0.33000000*'Adj Close Prices'!B1054+0.12700000*'Adj Close Prices'!C1054+0.12000000*'Adj Close Prices'!D1054+0.08600000*'Adj Close Prices'!E1054+0.33700000*'Adj Close Prices'!F1054</f>
        <v/>
      </c>
      <c r="C310" s="13">
        <f>C309*(1+B310)</f>
        <v/>
      </c>
    </row>
    <row r="311">
      <c r="A311" s="2">
        <f>'Adj Close Prices'!A1055</f>
        <v/>
      </c>
      <c r="B311" s="5">
        <f>0.33000000*'Adj Close Prices'!B1055+0.12700000*'Adj Close Prices'!C1055+0.12000000*'Adj Close Prices'!D1055+0.08600000*'Adj Close Prices'!E1055+0.33700000*'Adj Close Prices'!F1055</f>
        <v/>
      </c>
      <c r="C311" s="13">
        <f>C310*(1+B311)</f>
        <v/>
      </c>
    </row>
    <row r="312">
      <c r="A312" s="2">
        <f>'Adj Close Prices'!A1056</f>
        <v/>
      </c>
      <c r="B312" s="5">
        <f>0.33000000*'Adj Close Prices'!B1056+0.12700000*'Adj Close Prices'!C1056+0.12000000*'Adj Close Prices'!D1056+0.08600000*'Adj Close Prices'!E1056+0.33700000*'Adj Close Prices'!F1056</f>
        <v/>
      </c>
      <c r="C312" s="13">
        <f>C311*(1+B312)</f>
        <v/>
      </c>
    </row>
    <row r="313">
      <c r="A313" s="2">
        <f>'Adj Close Prices'!A1057</f>
        <v/>
      </c>
      <c r="B313" s="5">
        <f>0.33000000*'Adj Close Prices'!B1057+0.12700000*'Adj Close Prices'!C1057+0.12000000*'Adj Close Prices'!D1057+0.08600000*'Adj Close Prices'!E1057+0.33700000*'Adj Close Prices'!F1057</f>
        <v/>
      </c>
      <c r="C313" s="13">
        <f>C312*(1+B313)</f>
        <v/>
      </c>
    </row>
    <row r="314">
      <c r="A314" s="2">
        <f>'Adj Close Prices'!A1058</f>
        <v/>
      </c>
      <c r="B314" s="5">
        <f>0.33000000*'Adj Close Prices'!B1058+0.12700000*'Adj Close Prices'!C1058+0.12000000*'Adj Close Prices'!D1058+0.08600000*'Adj Close Prices'!E1058+0.33700000*'Adj Close Prices'!F1058</f>
        <v/>
      </c>
      <c r="C314" s="13">
        <f>C313*(1+B314)</f>
        <v/>
      </c>
    </row>
    <row r="315">
      <c r="A315" s="2">
        <f>'Adj Close Prices'!A1059</f>
        <v/>
      </c>
      <c r="B315" s="5">
        <f>0.33000000*'Adj Close Prices'!B1059+0.12700000*'Adj Close Prices'!C1059+0.12000000*'Adj Close Prices'!D1059+0.08600000*'Adj Close Prices'!E1059+0.33700000*'Adj Close Prices'!F1059</f>
        <v/>
      </c>
      <c r="C315" s="13">
        <f>C314*(1+B315)</f>
        <v/>
      </c>
    </row>
    <row r="316">
      <c r="A316" s="2">
        <f>'Adj Close Prices'!A1060</f>
        <v/>
      </c>
      <c r="B316" s="5">
        <f>0.33000000*'Adj Close Prices'!B1060+0.12700000*'Adj Close Prices'!C1060+0.12000000*'Adj Close Prices'!D1060+0.08600000*'Adj Close Prices'!E1060+0.33700000*'Adj Close Prices'!F1060</f>
        <v/>
      </c>
      <c r="C316" s="13">
        <f>C315*(1+B316)</f>
        <v/>
      </c>
    </row>
    <row r="317">
      <c r="A317" s="2">
        <f>'Adj Close Prices'!A1061</f>
        <v/>
      </c>
      <c r="B317" s="5">
        <f>0.33000000*'Adj Close Prices'!B1061+0.12700000*'Adj Close Prices'!C1061+0.12000000*'Adj Close Prices'!D1061+0.08600000*'Adj Close Prices'!E1061+0.33700000*'Adj Close Prices'!F1061</f>
        <v/>
      </c>
      <c r="C317" s="13">
        <f>C316*(1+B317)</f>
        <v/>
      </c>
    </row>
    <row r="318">
      <c r="A318" s="2">
        <f>'Adj Close Prices'!A1062</f>
        <v/>
      </c>
      <c r="B318" s="5">
        <f>0.33000000*'Adj Close Prices'!B1062+0.12700000*'Adj Close Prices'!C1062+0.12000000*'Adj Close Prices'!D1062+0.08600000*'Adj Close Prices'!E1062+0.33700000*'Adj Close Prices'!F1062</f>
        <v/>
      </c>
      <c r="C318" s="13">
        <f>C317*(1+B318)</f>
        <v/>
      </c>
    </row>
    <row r="319">
      <c r="A319" s="2">
        <f>'Adj Close Prices'!A1063</f>
        <v/>
      </c>
      <c r="B319" s="5">
        <f>0.33000000*'Adj Close Prices'!B1063+0.12700000*'Adj Close Prices'!C1063+0.12000000*'Adj Close Prices'!D1063+0.08600000*'Adj Close Prices'!E1063+0.33700000*'Adj Close Prices'!F1063</f>
        <v/>
      </c>
      <c r="C319" s="13">
        <f>C318*(1+B319)</f>
        <v/>
      </c>
    </row>
    <row r="320">
      <c r="A320" s="2">
        <f>'Adj Close Prices'!A1064</f>
        <v/>
      </c>
      <c r="B320" s="5">
        <f>0.33000000*'Adj Close Prices'!B1064+0.12700000*'Adj Close Prices'!C1064+0.12000000*'Adj Close Prices'!D1064+0.08600000*'Adj Close Prices'!E1064+0.33700000*'Adj Close Prices'!F1064</f>
        <v/>
      </c>
      <c r="C320" s="13">
        <f>C319*(1+B320)</f>
        <v/>
      </c>
    </row>
    <row r="321">
      <c r="A321" s="2">
        <f>'Adj Close Prices'!A1065</f>
        <v/>
      </c>
      <c r="B321" s="5">
        <f>0.33000000*'Adj Close Prices'!B1065+0.12700000*'Adj Close Prices'!C1065+0.12000000*'Adj Close Prices'!D1065+0.08600000*'Adj Close Prices'!E1065+0.33700000*'Adj Close Prices'!F1065</f>
        <v/>
      </c>
      <c r="C321" s="13">
        <f>C320*(1+B321)</f>
        <v/>
      </c>
    </row>
    <row r="322">
      <c r="A322" s="2">
        <f>'Adj Close Prices'!A1066</f>
        <v/>
      </c>
      <c r="B322" s="5">
        <f>0.33000000*'Adj Close Prices'!B1066+0.12700000*'Adj Close Prices'!C1066+0.12000000*'Adj Close Prices'!D1066+0.08600000*'Adj Close Prices'!E1066+0.33700000*'Adj Close Prices'!F1066</f>
        <v/>
      </c>
      <c r="C322" s="13">
        <f>C321*(1+B322)</f>
        <v/>
      </c>
    </row>
    <row r="323">
      <c r="A323" s="2">
        <f>'Adj Close Prices'!A1067</f>
        <v/>
      </c>
      <c r="B323" s="5">
        <f>0.33000000*'Adj Close Prices'!B1067+0.12700000*'Adj Close Prices'!C1067+0.12000000*'Adj Close Prices'!D1067+0.08600000*'Adj Close Prices'!E1067+0.33700000*'Adj Close Prices'!F1067</f>
        <v/>
      </c>
      <c r="C323" s="13">
        <f>C322*(1+B323)</f>
        <v/>
      </c>
    </row>
    <row r="324">
      <c r="A324" s="2">
        <f>'Adj Close Prices'!A1068</f>
        <v/>
      </c>
      <c r="B324" s="5">
        <f>0.33000000*'Adj Close Prices'!B1068+0.12700000*'Adj Close Prices'!C1068+0.12000000*'Adj Close Prices'!D1068+0.08600000*'Adj Close Prices'!E1068+0.33700000*'Adj Close Prices'!F1068</f>
        <v/>
      </c>
      <c r="C324" s="13">
        <f>C323*(1+B324)</f>
        <v/>
      </c>
    </row>
    <row r="325">
      <c r="A325" s="2">
        <f>'Adj Close Prices'!A1069</f>
        <v/>
      </c>
      <c r="B325" s="5">
        <f>0.33000000*'Adj Close Prices'!B1069+0.12700000*'Adj Close Prices'!C1069+0.12000000*'Adj Close Prices'!D1069+0.08600000*'Adj Close Prices'!E1069+0.33700000*'Adj Close Prices'!F1069</f>
        <v/>
      </c>
      <c r="C325" s="13">
        <f>C324*(1+B325)</f>
        <v/>
      </c>
    </row>
    <row r="326">
      <c r="A326" s="2">
        <f>'Adj Close Prices'!A1070</f>
        <v/>
      </c>
      <c r="B326" s="5">
        <f>0.33000000*'Adj Close Prices'!B1070+0.12700000*'Adj Close Prices'!C1070+0.12000000*'Adj Close Prices'!D1070+0.08600000*'Adj Close Prices'!E1070+0.33700000*'Adj Close Prices'!F1070</f>
        <v/>
      </c>
      <c r="C326" s="13">
        <f>C325*(1+B326)</f>
        <v/>
      </c>
    </row>
    <row r="327">
      <c r="A327" s="2">
        <f>'Adj Close Prices'!A1071</f>
        <v/>
      </c>
      <c r="B327" s="5">
        <f>0.33000000*'Adj Close Prices'!B1071+0.12700000*'Adj Close Prices'!C1071+0.12000000*'Adj Close Prices'!D1071+0.08600000*'Adj Close Prices'!E1071+0.33700000*'Adj Close Prices'!F1071</f>
        <v/>
      </c>
      <c r="C327" s="13">
        <f>C326*(1+B327)</f>
        <v/>
      </c>
    </row>
    <row r="328">
      <c r="A328" s="2">
        <f>'Adj Close Prices'!A1072</f>
        <v/>
      </c>
      <c r="B328" s="5">
        <f>0.33000000*'Adj Close Prices'!B1072+0.12700000*'Adj Close Prices'!C1072+0.12000000*'Adj Close Prices'!D1072+0.08600000*'Adj Close Prices'!E1072+0.33700000*'Adj Close Prices'!F1072</f>
        <v/>
      </c>
      <c r="C328" s="13">
        <f>C327*(1+B328)</f>
        <v/>
      </c>
    </row>
    <row r="329">
      <c r="A329" s="2">
        <f>'Adj Close Prices'!A1073</f>
        <v/>
      </c>
      <c r="B329" s="5">
        <f>0.33000000*'Adj Close Prices'!B1073+0.12700000*'Adj Close Prices'!C1073+0.12000000*'Adj Close Prices'!D1073+0.08600000*'Adj Close Prices'!E1073+0.33700000*'Adj Close Prices'!F1073</f>
        <v/>
      </c>
      <c r="C329" s="13">
        <f>C328*(1+B329)</f>
        <v/>
      </c>
    </row>
    <row r="330">
      <c r="A330" s="2">
        <f>'Adj Close Prices'!A1074</f>
        <v/>
      </c>
      <c r="B330" s="5">
        <f>0.33000000*'Adj Close Prices'!B1074+0.12700000*'Adj Close Prices'!C1074+0.12000000*'Adj Close Prices'!D1074+0.08600000*'Adj Close Prices'!E1074+0.33700000*'Adj Close Prices'!F1074</f>
        <v/>
      </c>
      <c r="C330" s="13">
        <f>C329*(1+B330)</f>
        <v/>
      </c>
    </row>
    <row r="331">
      <c r="A331" s="2">
        <f>'Adj Close Prices'!A1075</f>
        <v/>
      </c>
      <c r="B331" s="5">
        <f>0.33000000*'Adj Close Prices'!B1075+0.12700000*'Adj Close Prices'!C1075+0.12000000*'Adj Close Prices'!D1075+0.08600000*'Adj Close Prices'!E1075+0.33700000*'Adj Close Prices'!F1075</f>
        <v/>
      </c>
      <c r="C331" s="13">
        <f>C330*(1+B331)</f>
        <v/>
      </c>
    </row>
    <row r="332">
      <c r="A332" s="2">
        <f>'Adj Close Prices'!A1076</f>
        <v/>
      </c>
      <c r="B332" s="5">
        <f>0.33000000*'Adj Close Prices'!B1076+0.12700000*'Adj Close Prices'!C1076+0.12000000*'Adj Close Prices'!D1076+0.08600000*'Adj Close Prices'!E1076+0.33700000*'Adj Close Prices'!F1076</f>
        <v/>
      </c>
      <c r="C332" s="13">
        <f>C331*(1+B332)</f>
        <v/>
      </c>
    </row>
    <row r="333">
      <c r="A333" s="2">
        <f>'Adj Close Prices'!A1077</f>
        <v/>
      </c>
      <c r="B333" s="5">
        <f>0.33000000*'Adj Close Prices'!B1077+0.12700000*'Adj Close Prices'!C1077+0.12000000*'Adj Close Prices'!D1077+0.08600000*'Adj Close Prices'!E1077+0.33700000*'Adj Close Prices'!F1077</f>
        <v/>
      </c>
      <c r="C333" s="13">
        <f>C332*(1+B333)</f>
        <v/>
      </c>
    </row>
    <row r="334">
      <c r="A334" s="2">
        <f>'Adj Close Prices'!A1078</f>
        <v/>
      </c>
      <c r="B334" s="5">
        <f>0.33000000*'Adj Close Prices'!B1078+0.12700000*'Adj Close Prices'!C1078+0.12000000*'Adj Close Prices'!D1078+0.08600000*'Adj Close Prices'!E1078+0.33700000*'Adj Close Prices'!F1078</f>
        <v/>
      </c>
      <c r="C334" s="13">
        <f>C333*(1+B334)</f>
        <v/>
      </c>
    </row>
    <row r="335">
      <c r="A335" s="2">
        <f>'Adj Close Prices'!A1079</f>
        <v/>
      </c>
      <c r="B335" s="5">
        <f>0.33000000*'Adj Close Prices'!B1079+0.12700000*'Adj Close Prices'!C1079+0.12000000*'Adj Close Prices'!D1079+0.08600000*'Adj Close Prices'!E1079+0.33700000*'Adj Close Prices'!F1079</f>
        <v/>
      </c>
      <c r="C335" s="13">
        <f>C334*(1+B335)</f>
        <v/>
      </c>
    </row>
    <row r="336">
      <c r="A336" s="2">
        <f>'Adj Close Prices'!A1080</f>
        <v/>
      </c>
      <c r="B336" s="5">
        <f>0.33000000*'Adj Close Prices'!B1080+0.12700000*'Adj Close Prices'!C1080+0.12000000*'Adj Close Prices'!D1080+0.08600000*'Adj Close Prices'!E1080+0.33700000*'Adj Close Prices'!F1080</f>
        <v/>
      </c>
      <c r="C336" s="13">
        <f>C335*(1+B336)</f>
        <v/>
      </c>
    </row>
    <row r="337">
      <c r="A337" s="2">
        <f>'Adj Close Prices'!A1081</f>
        <v/>
      </c>
      <c r="B337" s="5">
        <f>0.33000000*'Adj Close Prices'!B1081+0.12700000*'Adj Close Prices'!C1081+0.12000000*'Adj Close Prices'!D1081+0.08600000*'Adj Close Prices'!E1081+0.33700000*'Adj Close Prices'!F1081</f>
        <v/>
      </c>
      <c r="C337" s="13">
        <f>C336*(1+B337)</f>
        <v/>
      </c>
    </row>
    <row r="338">
      <c r="A338" s="2">
        <f>'Adj Close Prices'!A1082</f>
        <v/>
      </c>
      <c r="B338" s="5">
        <f>0.33000000*'Adj Close Prices'!B1082+0.12700000*'Adj Close Prices'!C1082+0.12000000*'Adj Close Prices'!D1082+0.08600000*'Adj Close Prices'!E1082+0.33700000*'Adj Close Prices'!F1082</f>
        <v/>
      </c>
      <c r="C338" s="13">
        <f>C337*(1+B338)</f>
        <v/>
      </c>
    </row>
    <row r="339">
      <c r="A339" s="2">
        <f>'Adj Close Prices'!A1083</f>
        <v/>
      </c>
      <c r="B339" s="5">
        <f>0.33000000*'Adj Close Prices'!B1083+0.12700000*'Adj Close Prices'!C1083+0.12000000*'Adj Close Prices'!D1083+0.08600000*'Adj Close Prices'!E1083+0.33700000*'Adj Close Prices'!F1083</f>
        <v/>
      </c>
      <c r="C339" s="13">
        <f>C338*(1+B339)</f>
        <v/>
      </c>
    </row>
    <row r="340">
      <c r="A340" s="2">
        <f>'Adj Close Prices'!A1084</f>
        <v/>
      </c>
      <c r="B340" s="5">
        <f>0.33000000*'Adj Close Prices'!B1084+0.12700000*'Adj Close Prices'!C1084+0.12000000*'Adj Close Prices'!D1084+0.08600000*'Adj Close Prices'!E1084+0.33700000*'Adj Close Prices'!F1084</f>
        <v/>
      </c>
      <c r="C340" s="13">
        <f>C339*(1+B340)</f>
        <v/>
      </c>
    </row>
    <row r="341">
      <c r="A341" s="2">
        <f>'Adj Close Prices'!A1085</f>
        <v/>
      </c>
      <c r="B341" s="5">
        <f>0.33000000*'Adj Close Prices'!B1085+0.12700000*'Adj Close Prices'!C1085+0.12000000*'Adj Close Prices'!D1085+0.08600000*'Adj Close Prices'!E1085+0.33700000*'Adj Close Prices'!F1085</f>
        <v/>
      </c>
      <c r="C341" s="13">
        <f>C340*(1+B341)</f>
        <v/>
      </c>
    </row>
    <row r="342">
      <c r="A342" s="2">
        <f>'Adj Close Prices'!A1086</f>
        <v/>
      </c>
      <c r="B342" s="5">
        <f>0.33000000*'Adj Close Prices'!B1086+0.12700000*'Adj Close Prices'!C1086+0.12000000*'Adj Close Prices'!D1086+0.08600000*'Adj Close Prices'!E1086+0.33700000*'Adj Close Prices'!F1086</f>
        <v/>
      </c>
      <c r="C342" s="13">
        <f>C341*(1+B342)</f>
        <v/>
      </c>
    </row>
    <row r="343">
      <c r="A343" s="2">
        <f>'Adj Close Prices'!A1087</f>
        <v/>
      </c>
      <c r="B343" s="5">
        <f>0.33000000*'Adj Close Prices'!B1087+0.12700000*'Adj Close Prices'!C1087+0.12000000*'Adj Close Prices'!D1087+0.08600000*'Adj Close Prices'!E1087+0.33700000*'Adj Close Prices'!F1087</f>
        <v/>
      </c>
      <c r="C343" s="13">
        <f>C342*(1+B343)</f>
        <v/>
      </c>
    </row>
    <row r="344">
      <c r="A344" s="2">
        <f>'Adj Close Prices'!A1088</f>
        <v/>
      </c>
      <c r="B344" s="5">
        <f>0.33000000*'Adj Close Prices'!B1088+0.12700000*'Adj Close Prices'!C1088+0.12000000*'Adj Close Prices'!D1088+0.08600000*'Adj Close Prices'!E1088+0.33700000*'Adj Close Prices'!F1088</f>
        <v/>
      </c>
      <c r="C344" s="13">
        <f>C343*(1+B344)</f>
        <v/>
      </c>
    </row>
    <row r="345">
      <c r="A345" s="2">
        <f>'Adj Close Prices'!A1089</f>
        <v/>
      </c>
      <c r="B345" s="5">
        <f>0.33000000*'Adj Close Prices'!B1089+0.12700000*'Adj Close Prices'!C1089+0.12000000*'Adj Close Prices'!D1089+0.08600000*'Adj Close Prices'!E1089+0.33700000*'Adj Close Prices'!F1089</f>
        <v/>
      </c>
      <c r="C345" s="13">
        <f>C344*(1+B345)</f>
        <v/>
      </c>
    </row>
    <row r="346">
      <c r="A346" s="2">
        <f>'Adj Close Prices'!A1090</f>
        <v/>
      </c>
      <c r="B346" s="5">
        <f>0.33000000*'Adj Close Prices'!B1090+0.12700000*'Adj Close Prices'!C1090+0.12000000*'Adj Close Prices'!D1090+0.08600000*'Adj Close Prices'!E1090+0.33700000*'Adj Close Prices'!F1090</f>
        <v/>
      </c>
      <c r="C346" s="13">
        <f>C345*(1+B346)</f>
        <v/>
      </c>
    </row>
    <row r="347">
      <c r="A347" s="2">
        <f>'Adj Close Prices'!A1091</f>
        <v/>
      </c>
      <c r="B347" s="5">
        <f>0.33000000*'Adj Close Prices'!B1091+0.12700000*'Adj Close Prices'!C1091+0.12000000*'Adj Close Prices'!D1091+0.08600000*'Adj Close Prices'!E1091+0.33700000*'Adj Close Prices'!F1091</f>
        <v/>
      </c>
      <c r="C347" s="13">
        <f>C346*(1+B347)</f>
        <v/>
      </c>
    </row>
    <row r="348">
      <c r="A348" s="2">
        <f>'Adj Close Prices'!A1092</f>
        <v/>
      </c>
      <c r="B348" s="5">
        <f>0.33000000*'Adj Close Prices'!B1092+0.12700000*'Adj Close Prices'!C1092+0.12000000*'Adj Close Prices'!D1092+0.08600000*'Adj Close Prices'!E1092+0.33700000*'Adj Close Prices'!F1092</f>
        <v/>
      </c>
      <c r="C348" s="13">
        <f>C347*(1+B348)</f>
        <v/>
      </c>
    </row>
    <row r="349">
      <c r="A349" s="2">
        <f>'Adj Close Prices'!A1093</f>
        <v/>
      </c>
      <c r="B349" s="5">
        <f>0.33000000*'Adj Close Prices'!B1093+0.12700000*'Adj Close Prices'!C1093+0.12000000*'Adj Close Prices'!D1093+0.08600000*'Adj Close Prices'!E1093+0.33700000*'Adj Close Prices'!F1093</f>
        <v/>
      </c>
      <c r="C349" s="13">
        <f>C348*(1+B349)</f>
        <v/>
      </c>
    </row>
    <row r="350">
      <c r="A350" s="2">
        <f>'Adj Close Prices'!A1094</f>
        <v/>
      </c>
      <c r="B350" s="5">
        <f>0.33000000*'Adj Close Prices'!B1094+0.12700000*'Adj Close Prices'!C1094+0.12000000*'Adj Close Prices'!D1094+0.08600000*'Adj Close Prices'!E1094+0.33700000*'Adj Close Prices'!F1094</f>
        <v/>
      </c>
      <c r="C350" s="13">
        <f>C349*(1+B350)</f>
        <v/>
      </c>
    </row>
    <row r="351">
      <c r="A351" s="2">
        <f>'Adj Close Prices'!A1095</f>
        <v/>
      </c>
      <c r="B351" s="5">
        <f>0.33000000*'Adj Close Prices'!B1095+0.12700000*'Adj Close Prices'!C1095+0.12000000*'Adj Close Prices'!D1095+0.08600000*'Adj Close Prices'!E1095+0.33700000*'Adj Close Prices'!F1095</f>
        <v/>
      </c>
      <c r="C351" s="13">
        <f>C350*(1+B351)</f>
        <v/>
      </c>
    </row>
    <row r="352">
      <c r="A352" s="2">
        <f>'Adj Close Prices'!A1096</f>
        <v/>
      </c>
      <c r="B352" s="5">
        <f>0.33000000*'Adj Close Prices'!B1096+0.12700000*'Adj Close Prices'!C1096+0.12000000*'Adj Close Prices'!D1096+0.08600000*'Adj Close Prices'!E1096+0.33700000*'Adj Close Prices'!F1096</f>
        <v/>
      </c>
      <c r="C352" s="13">
        <f>C351*(1+B352)</f>
        <v/>
      </c>
    </row>
    <row r="353">
      <c r="A353" s="2">
        <f>'Adj Close Prices'!A1097</f>
        <v/>
      </c>
      <c r="B353" s="5">
        <f>0.33000000*'Adj Close Prices'!B1097+0.12700000*'Adj Close Prices'!C1097+0.12000000*'Adj Close Prices'!D1097+0.08600000*'Adj Close Prices'!E1097+0.33700000*'Adj Close Prices'!F1097</f>
        <v/>
      </c>
      <c r="C353" s="13">
        <f>C352*(1+B353)</f>
        <v/>
      </c>
    </row>
    <row r="354">
      <c r="A354" s="2">
        <f>'Adj Close Prices'!A1098</f>
        <v/>
      </c>
      <c r="B354" s="5">
        <f>0.33000000*'Adj Close Prices'!B1098+0.12700000*'Adj Close Prices'!C1098+0.12000000*'Adj Close Prices'!D1098+0.08600000*'Adj Close Prices'!E1098+0.33700000*'Adj Close Prices'!F1098</f>
        <v/>
      </c>
      <c r="C354" s="13">
        <f>C353*(1+B354)</f>
        <v/>
      </c>
    </row>
    <row r="355">
      <c r="A355" s="2">
        <f>'Adj Close Prices'!A1099</f>
        <v/>
      </c>
      <c r="B355" s="5">
        <f>0.33000000*'Adj Close Prices'!B1099+0.12700000*'Adj Close Prices'!C1099+0.12000000*'Adj Close Prices'!D1099+0.08600000*'Adj Close Prices'!E1099+0.33700000*'Adj Close Prices'!F1099</f>
        <v/>
      </c>
      <c r="C355" s="13">
        <f>C354*(1+B355)</f>
        <v/>
      </c>
    </row>
    <row r="356">
      <c r="A356" s="2">
        <f>'Adj Close Prices'!A1100</f>
        <v/>
      </c>
      <c r="B356" s="5">
        <f>0.33000000*'Adj Close Prices'!B1100+0.12700000*'Adj Close Prices'!C1100+0.12000000*'Adj Close Prices'!D1100+0.08600000*'Adj Close Prices'!E1100+0.33700000*'Adj Close Prices'!F1100</f>
        <v/>
      </c>
      <c r="C356" s="13">
        <f>C355*(1+B356)</f>
        <v/>
      </c>
    </row>
    <row r="357">
      <c r="A357" s="2">
        <f>'Adj Close Prices'!A1101</f>
        <v/>
      </c>
      <c r="B357" s="5">
        <f>0.33000000*'Adj Close Prices'!B1101+0.12700000*'Adj Close Prices'!C1101+0.12000000*'Adj Close Prices'!D1101+0.08600000*'Adj Close Prices'!E1101+0.33700000*'Adj Close Prices'!F1101</f>
        <v/>
      </c>
      <c r="C357" s="13">
        <f>C356*(1+B357)</f>
        <v/>
      </c>
    </row>
    <row r="358">
      <c r="A358" s="2">
        <f>'Adj Close Prices'!A1102</f>
        <v/>
      </c>
      <c r="B358" s="5">
        <f>0.33000000*'Adj Close Prices'!B1102+0.12700000*'Adj Close Prices'!C1102+0.12000000*'Adj Close Prices'!D1102+0.08600000*'Adj Close Prices'!E1102+0.33700000*'Adj Close Prices'!F1102</f>
        <v/>
      </c>
      <c r="C358" s="13">
        <f>C357*(1+B358)</f>
        <v/>
      </c>
    </row>
    <row r="359">
      <c r="A359" s="2">
        <f>'Adj Close Prices'!A1103</f>
        <v/>
      </c>
      <c r="B359" s="5">
        <f>0.33000000*'Adj Close Prices'!B1103+0.12700000*'Adj Close Prices'!C1103+0.12000000*'Adj Close Prices'!D1103+0.08600000*'Adj Close Prices'!E1103+0.33700000*'Adj Close Prices'!F1103</f>
        <v/>
      </c>
      <c r="C359" s="13">
        <f>C358*(1+B359)</f>
        <v/>
      </c>
    </row>
    <row r="360">
      <c r="A360" s="2">
        <f>'Adj Close Prices'!A1104</f>
        <v/>
      </c>
      <c r="B360" s="5">
        <f>0.33000000*'Adj Close Prices'!B1104+0.12700000*'Adj Close Prices'!C1104+0.12000000*'Adj Close Prices'!D1104+0.08600000*'Adj Close Prices'!E1104+0.33700000*'Adj Close Prices'!F1104</f>
        <v/>
      </c>
      <c r="C360" s="13">
        <f>C359*(1+B360)</f>
        <v/>
      </c>
    </row>
    <row r="361">
      <c r="A361" s="2">
        <f>'Adj Close Prices'!A1105</f>
        <v/>
      </c>
      <c r="B361" s="5">
        <f>0.33000000*'Adj Close Prices'!B1105+0.12700000*'Adj Close Prices'!C1105+0.12000000*'Adj Close Prices'!D1105+0.08600000*'Adj Close Prices'!E1105+0.33700000*'Adj Close Prices'!F1105</f>
        <v/>
      </c>
      <c r="C361" s="13">
        <f>C360*(1+B361)</f>
        <v/>
      </c>
    </row>
    <row r="362">
      <c r="A362" s="2">
        <f>'Adj Close Prices'!A1106</f>
        <v/>
      </c>
      <c r="B362" s="5">
        <f>0.33000000*'Adj Close Prices'!B1106+0.12700000*'Adj Close Prices'!C1106+0.12000000*'Adj Close Prices'!D1106+0.08600000*'Adj Close Prices'!E1106+0.33700000*'Adj Close Prices'!F1106</f>
        <v/>
      </c>
      <c r="C362" s="13">
        <f>C361*(1+B362)</f>
        <v/>
      </c>
    </row>
    <row r="363">
      <c r="A363" s="2">
        <f>'Adj Close Prices'!A1107</f>
        <v/>
      </c>
      <c r="B363" s="5">
        <f>0.33000000*'Adj Close Prices'!B1107+0.12700000*'Adj Close Prices'!C1107+0.12000000*'Adj Close Prices'!D1107+0.08600000*'Adj Close Prices'!E1107+0.33700000*'Adj Close Prices'!F1107</f>
        <v/>
      </c>
      <c r="C363" s="13">
        <f>C362*(1+B363)</f>
        <v/>
      </c>
    </row>
    <row r="364">
      <c r="A364" s="2">
        <f>'Adj Close Prices'!A1108</f>
        <v/>
      </c>
      <c r="B364" s="5">
        <f>0.33000000*'Adj Close Prices'!B1108+0.12700000*'Adj Close Prices'!C1108+0.12000000*'Adj Close Prices'!D1108+0.08600000*'Adj Close Prices'!E1108+0.33700000*'Adj Close Prices'!F1108</f>
        <v/>
      </c>
      <c r="C364" s="13">
        <f>C363*(1+B364)</f>
        <v/>
      </c>
    </row>
    <row r="365">
      <c r="A365" s="2">
        <f>'Adj Close Prices'!A1109</f>
        <v/>
      </c>
      <c r="B365" s="5">
        <f>0.33000000*'Adj Close Prices'!B1109+0.12700000*'Adj Close Prices'!C1109+0.12000000*'Adj Close Prices'!D1109+0.08600000*'Adj Close Prices'!E1109+0.33700000*'Adj Close Prices'!F1109</f>
        <v/>
      </c>
      <c r="C365" s="13">
        <f>C364*(1+B365)</f>
        <v/>
      </c>
    </row>
    <row r="366">
      <c r="A366" s="2">
        <f>'Adj Close Prices'!A1110</f>
        <v/>
      </c>
      <c r="B366" s="5">
        <f>0.33000000*'Adj Close Prices'!B1110+0.12700000*'Adj Close Prices'!C1110+0.12000000*'Adj Close Prices'!D1110+0.08600000*'Adj Close Prices'!E1110+0.33700000*'Adj Close Prices'!F1110</f>
        <v/>
      </c>
      <c r="C366" s="13">
        <f>C365*(1+B366)</f>
        <v/>
      </c>
    </row>
    <row r="367">
      <c r="A367" s="2">
        <f>'Adj Close Prices'!A1111</f>
        <v/>
      </c>
      <c r="B367" s="5">
        <f>0.33000000*'Adj Close Prices'!B1111+0.12700000*'Adj Close Prices'!C1111+0.12000000*'Adj Close Prices'!D1111+0.08600000*'Adj Close Prices'!E1111+0.33700000*'Adj Close Prices'!F1111</f>
        <v/>
      </c>
      <c r="C367" s="13">
        <f>C366*(1+B367)</f>
        <v/>
      </c>
    </row>
    <row r="368">
      <c r="A368" s="2">
        <f>'Adj Close Prices'!A1112</f>
        <v/>
      </c>
      <c r="B368" s="5">
        <f>0.33000000*'Adj Close Prices'!B1112+0.12700000*'Adj Close Prices'!C1112+0.12000000*'Adj Close Prices'!D1112+0.08600000*'Adj Close Prices'!E1112+0.33700000*'Adj Close Prices'!F1112</f>
        <v/>
      </c>
      <c r="C368" s="13">
        <f>C367*(1+B368)</f>
        <v/>
      </c>
    </row>
    <row r="369">
      <c r="A369" s="2">
        <f>'Adj Close Prices'!A1113</f>
        <v/>
      </c>
      <c r="B369" s="5">
        <f>0.33000000*'Adj Close Prices'!B1113+0.12700000*'Adj Close Prices'!C1113+0.12000000*'Adj Close Prices'!D1113+0.08600000*'Adj Close Prices'!E1113+0.33700000*'Adj Close Prices'!F1113</f>
        <v/>
      </c>
      <c r="C369" s="13">
        <f>C368*(1+B369)</f>
        <v/>
      </c>
    </row>
    <row r="370">
      <c r="A370" s="2">
        <f>'Adj Close Prices'!A1114</f>
        <v/>
      </c>
      <c r="B370" s="5">
        <f>0.33000000*'Adj Close Prices'!B1114+0.12700000*'Adj Close Prices'!C1114+0.12000000*'Adj Close Prices'!D1114+0.08600000*'Adj Close Prices'!E1114+0.33700000*'Adj Close Prices'!F1114</f>
        <v/>
      </c>
      <c r="C370" s="13">
        <f>C369*(1+B370)</f>
        <v/>
      </c>
    </row>
    <row r="371">
      <c r="A371" s="2">
        <f>'Adj Close Prices'!A1115</f>
        <v/>
      </c>
      <c r="B371" s="5">
        <f>0.33000000*'Adj Close Prices'!B1115+0.12700000*'Adj Close Prices'!C1115+0.12000000*'Adj Close Prices'!D1115+0.08600000*'Adj Close Prices'!E1115+0.33700000*'Adj Close Prices'!F1115</f>
        <v/>
      </c>
      <c r="C371" s="13">
        <f>C370*(1+B371)</f>
        <v/>
      </c>
    </row>
    <row r="372">
      <c r="A372" s="2">
        <f>'Adj Close Prices'!A1116</f>
        <v/>
      </c>
      <c r="B372" s="5">
        <f>0.33000000*'Adj Close Prices'!B1116+0.12700000*'Adj Close Prices'!C1116+0.12000000*'Adj Close Prices'!D1116+0.08600000*'Adj Close Prices'!E1116+0.33700000*'Adj Close Prices'!F1116</f>
        <v/>
      </c>
      <c r="C372" s="13">
        <f>C371*(1+B372)</f>
        <v/>
      </c>
    </row>
    <row r="373">
      <c r="A373" s="2">
        <f>'Adj Close Prices'!A1117</f>
        <v/>
      </c>
      <c r="B373" s="5">
        <f>0.33000000*'Adj Close Prices'!B1117+0.12700000*'Adj Close Prices'!C1117+0.12000000*'Adj Close Prices'!D1117+0.08600000*'Adj Close Prices'!E1117+0.33700000*'Adj Close Prices'!F1117</f>
        <v/>
      </c>
      <c r="C373" s="13">
        <f>C372*(1+B373)</f>
        <v/>
      </c>
    </row>
    <row r="374">
      <c r="A374" s="2">
        <f>'Adj Close Prices'!A1118</f>
        <v/>
      </c>
      <c r="B374" s="5">
        <f>0.33000000*'Adj Close Prices'!B1118+0.12700000*'Adj Close Prices'!C1118+0.12000000*'Adj Close Prices'!D1118+0.08600000*'Adj Close Prices'!E1118+0.33700000*'Adj Close Prices'!F1118</f>
        <v/>
      </c>
      <c r="C374" s="13">
        <f>C373*(1+B374)</f>
        <v/>
      </c>
    </row>
    <row r="375">
      <c r="A375" s="2">
        <f>'Adj Close Prices'!A1119</f>
        <v/>
      </c>
      <c r="B375" s="5">
        <f>0.33000000*'Adj Close Prices'!B1119+0.12700000*'Adj Close Prices'!C1119+0.12000000*'Adj Close Prices'!D1119+0.08600000*'Adj Close Prices'!E1119+0.33700000*'Adj Close Prices'!F1119</f>
        <v/>
      </c>
      <c r="C375" s="13">
        <f>C374*(1+B375)</f>
        <v/>
      </c>
    </row>
    <row r="376">
      <c r="A376" s="2">
        <f>'Adj Close Prices'!A1120</f>
        <v/>
      </c>
      <c r="B376" s="5">
        <f>0.33000000*'Adj Close Prices'!B1120+0.12700000*'Adj Close Prices'!C1120+0.12000000*'Adj Close Prices'!D1120+0.08600000*'Adj Close Prices'!E1120+0.33700000*'Adj Close Prices'!F1120</f>
        <v/>
      </c>
      <c r="C376" s="13">
        <f>C375*(1+B376)</f>
        <v/>
      </c>
    </row>
    <row r="377">
      <c r="A377" s="2">
        <f>'Adj Close Prices'!A1121</f>
        <v/>
      </c>
      <c r="B377" s="5">
        <f>0.33000000*'Adj Close Prices'!B1121+0.12700000*'Adj Close Prices'!C1121+0.12000000*'Adj Close Prices'!D1121+0.08600000*'Adj Close Prices'!E1121+0.33700000*'Adj Close Prices'!F1121</f>
        <v/>
      </c>
      <c r="C377" s="13">
        <f>C376*(1+B377)</f>
        <v/>
      </c>
    </row>
    <row r="378">
      <c r="A378" s="2">
        <f>'Adj Close Prices'!A1122</f>
        <v/>
      </c>
      <c r="B378" s="5">
        <f>0.33000000*'Adj Close Prices'!B1122+0.12700000*'Adj Close Prices'!C1122+0.12000000*'Adj Close Prices'!D1122+0.08600000*'Adj Close Prices'!E1122+0.33700000*'Adj Close Prices'!F1122</f>
        <v/>
      </c>
      <c r="C378" s="13">
        <f>C377*(1+B378)</f>
        <v/>
      </c>
    </row>
    <row r="379">
      <c r="A379" s="2">
        <f>'Adj Close Prices'!A1123</f>
        <v/>
      </c>
      <c r="B379" s="5">
        <f>0.33000000*'Adj Close Prices'!B1123+0.12700000*'Adj Close Prices'!C1123+0.12000000*'Adj Close Prices'!D1123+0.08600000*'Adj Close Prices'!E1123+0.33700000*'Adj Close Prices'!F1123</f>
        <v/>
      </c>
      <c r="C379" s="13">
        <f>C378*(1+B379)</f>
        <v/>
      </c>
    </row>
    <row r="380">
      <c r="A380" s="2">
        <f>'Adj Close Prices'!A1124</f>
        <v/>
      </c>
      <c r="B380" s="5">
        <f>0.33000000*'Adj Close Prices'!B1124+0.12700000*'Adj Close Prices'!C1124+0.12000000*'Adj Close Prices'!D1124+0.08600000*'Adj Close Prices'!E1124+0.33700000*'Adj Close Prices'!F1124</f>
        <v/>
      </c>
      <c r="C380" s="13">
        <f>C379*(1+B380)</f>
        <v/>
      </c>
    </row>
    <row r="381">
      <c r="A381" s="2">
        <f>'Adj Close Prices'!A1125</f>
        <v/>
      </c>
      <c r="B381" s="5">
        <f>0.33000000*'Adj Close Prices'!B1125+0.12700000*'Adj Close Prices'!C1125+0.12000000*'Adj Close Prices'!D1125+0.08600000*'Adj Close Prices'!E1125+0.33700000*'Adj Close Prices'!F1125</f>
        <v/>
      </c>
      <c r="C381" s="13">
        <f>C380*(1+B381)</f>
        <v/>
      </c>
    </row>
    <row r="382">
      <c r="A382" s="2">
        <f>'Adj Close Prices'!A1126</f>
        <v/>
      </c>
      <c r="B382" s="5">
        <f>0.33000000*'Adj Close Prices'!B1126+0.12700000*'Adj Close Prices'!C1126+0.12000000*'Adj Close Prices'!D1126+0.08600000*'Adj Close Prices'!E1126+0.33700000*'Adj Close Prices'!F1126</f>
        <v/>
      </c>
      <c r="C382" s="13">
        <f>C381*(1+B382)</f>
        <v/>
      </c>
    </row>
    <row r="383">
      <c r="A383" s="2">
        <f>'Adj Close Prices'!A1127</f>
        <v/>
      </c>
      <c r="B383" s="5">
        <f>0.33000000*'Adj Close Prices'!B1127+0.12700000*'Adj Close Prices'!C1127+0.12000000*'Adj Close Prices'!D1127+0.08600000*'Adj Close Prices'!E1127+0.33700000*'Adj Close Prices'!F1127</f>
        <v/>
      </c>
      <c r="C383" s="13">
        <f>C382*(1+B383)</f>
        <v/>
      </c>
    </row>
    <row r="384">
      <c r="A384" s="2">
        <f>'Adj Close Prices'!A1128</f>
        <v/>
      </c>
      <c r="B384" s="5">
        <f>0.33000000*'Adj Close Prices'!B1128+0.12700000*'Adj Close Prices'!C1128+0.12000000*'Adj Close Prices'!D1128+0.08600000*'Adj Close Prices'!E1128+0.33700000*'Adj Close Prices'!F1128</f>
        <v/>
      </c>
      <c r="C384" s="13">
        <f>C383*(1+B384)</f>
        <v/>
      </c>
    </row>
    <row r="385">
      <c r="A385" s="2">
        <f>'Adj Close Prices'!A1129</f>
        <v/>
      </c>
      <c r="B385" s="5">
        <f>0.33000000*'Adj Close Prices'!B1129+0.12700000*'Adj Close Prices'!C1129+0.12000000*'Adj Close Prices'!D1129+0.08600000*'Adj Close Prices'!E1129+0.33700000*'Adj Close Prices'!F1129</f>
        <v/>
      </c>
      <c r="C385" s="13">
        <f>C384*(1+B385)</f>
        <v/>
      </c>
    </row>
    <row r="386">
      <c r="A386" s="2">
        <f>'Adj Close Prices'!A1130</f>
        <v/>
      </c>
      <c r="B386" s="5">
        <f>0.33000000*'Adj Close Prices'!B1130+0.12700000*'Adj Close Prices'!C1130+0.12000000*'Adj Close Prices'!D1130+0.08600000*'Adj Close Prices'!E1130+0.33700000*'Adj Close Prices'!F1130</f>
        <v/>
      </c>
      <c r="C386" s="13">
        <f>C385*(1+B386)</f>
        <v/>
      </c>
    </row>
    <row r="387">
      <c r="A387" s="2">
        <f>'Adj Close Prices'!A1131</f>
        <v/>
      </c>
      <c r="B387" s="5">
        <f>0.33000000*'Adj Close Prices'!B1131+0.12700000*'Adj Close Prices'!C1131+0.12000000*'Adj Close Prices'!D1131+0.08600000*'Adj Close Prices'!E1131+0.33700000*'Adj Close Prices'!F1131</f>
        <v/>
      </c>
      <c r="C387" s="13">
        <f>C386*(1+B387)</f>
        <v/>
      </c>
    </row>
    <row r="388">
      <c r="A388" s="2">
        <f>'Adj Close Prices'!A1132</f>
        <v/>
      </c>
      <c r="B388" s="5">
        <f>0.33000000*'Adj Close Prices'!B1132+0.12700000*'Adj Close Prices'!C1132+0.12000000*'Adj Close Prices'!D1132+0.08600000*'Adj Close Prices'!E1132+0.33700000*'Adj Close Prices'!F1132</f>
        <v/>
      </c>
      <c r="C388" s="13">
        <f>C387*(1+B388)</f>
        <v/>
      </c>
    </row>
    <row r="389">
      <c r="A389" s="2">
        <f>'Adj Close Prices'!A1133</f>
        <v/>
      </c>
      <c r="B389" s="5">
        <f>0.33000000*'Adj Close Prices'!B1133+0.12700000*'Adj Close Prices'!C1133+0.12000000*'Adj Close Prices'!D1133+0.08600000*'Adj Close Prices'!E1133+0.33700000*'Adj Close Prices'!F1133</f>
        <v/>
      </c>
      <c r="C389" s="13">
        <f>C388*(1+B389)</f>
        <v/>
      </c>
    </row>
    <row r="390">
      <c r="A390" s="2">
        <f>'Adj Close Prices'!A1134</f>
        <v/>
      </c>
      <c r="B390" s="5">
        <f>0.33000000*'Adj Close Prices'!B1134+0.12700000*'Adj Close Prices'!C1134+0.12000000*'Adj Close Prices'!D1134+0.08600000*'Adj Close Prices'!E1134+0.33700000*'Adj Close Prices'!F1134</f>
        <v/>
      </c>
      <c r="C390" s="13">
        <f>C389*(1+B390)</f>
        <v/>
      </c>
    </row>
    <row r="391">
      <c r="A391" s="2">
        <f>'Adj Close Prices'!A1135</f>
        <v/>
      </c>
      <c r="B391" s="5">
        <f>0.33000000*'Adj Close Prices'!B1135+0.12700000*'Adj Close Prices'!C1135+0.12000000*'Adj Close Prices'!D1135+0.08600000*'Adj Close Prices'!E1135+0.33700000*'Adj Close Prices'!F1135</f>
        <v/>
      </c>
      <c r="C391" s="13">
        <f>C390*(1+B391)</f>
        <v/>
      </c>
    </row>
    <row r="392">
      <c r="A392" s="2">
        <f>'Adj Close Prices'!A1136</f>
        <v/>
      </c>
      <c r="B392" s="5">
        <f>0.33000000*'Adj Close Prices'!B1136+0.12700000*'Adj Close Prices'!C1136+0.12000000*'Adj Close Prices'!D1136+0.08600000*'Adj Close Prices'!E1136+0.33700000*'Adj Close Prices'!F1136</f>
        <v/>
      </c>
      <c r="C392" s="13">
        <f>C391*(1+B392)</f>
        <v/>
      </c>
    </row>
    <row r="393">
      <c r="A393" s="2">
        <f>'Adj Close Prices'!A1137</f>
        <v/>
      </c>
      <c r="B393" s="5">
        <f>0.33000000*'Adj Close Prices'!B1137+0.12700000*'Adj Close Prices'!C1137+0.12000000*'Adj Close Prices'!D1137+0.08600000*'Adj Close Prices'!E1137+0.33700000*'Adj Close Prices'!F1137</f>
        <v/>
      </c>
      <c r="C393" s="13">
        <f>C392*(1+B393)</f>
        <v/>
      </c>
    </row>
    <row r="394">
      <c r="A394" s="2">
        <f>'Adj Close Prices'!A1138</f>
        <v/>
      </c>
      <c r="B394" s="5">
        <f>0.33000000*'Adj Close Prices'!B1138+0.12700000*'Adj Close Prices'!C1138+0.12000000*'Adj Close Prices'!D1138+0.08600000*'Adj Close Prices'!E1138+0.33700000*'Adj Close Prices'!F1138</f>
        <v/>
      </c>
      <c r="C394" s="13">
        <f>C393*(1+B394)</f>
        <v/>
      </c>
    </row>
    <row r="395">
      <c r="A395" s="2">
        <f>'Adj Close Prices'!A1139</f>
        <v/>
      </c>
      <c r="B395" s="5">
        <f>0.33000000*'Adj Close Prices'!B1139+0.12700000*'Adj Close Prices'!C1139+0.12000000*'Adj Close Prices'!D1139+0.08600000*'Adj Close Prices'!E1139+0.33700000*'Adj Close Prices'!F1139</f>
        <v/>
      </c>
      <c r="C395" s="13">
        <f>C394*(1+B395)</f>
        <v/>
      </c>
    </row>
    <row r="396">
      <c r="A396" s="2">
        <f>'Adj Close Prices'!A1140</f>
        <v/>
      </c>
      <c r="B396" s="5">
        <f>0.33000000*'Adj Close Prices'!B1140+0.12700000*'Adj Close Prices'!C1140+0.12000000*'Adj Close Prices'!D1140+0.08600000*'Adj Close Prices'!E1140+0.33700000*'Adj Close Prices'!F1140</f>
        <v/>
      </c>
      <c r="C396" s="13">
        <f>C395*(1+B396)</f>
        <v/>
      </c>
    </row>
    <row r="397">
      <c r="A397" s="2">
        <f>'Adj Close Prices'!A1141</f>
        <v/>
      </c>
      <c r="B397" s="5">
        <f>0.33000000*'Adj Close Prices'!B1141+0.12700000*'Adj Close Prices'!C1141+0.12000000*'Adj Close Prices'!D1141+0.08600000*'Adj Close Prices'!E1141+0.33700000*'Adj Close Prices'!F1141</f>
        <v/>
      </c>
      <c r="C397" s="13">
        <f>C396*(1+B397)</f>
        <v/>
      </c>
    </row>
    <row r="398">
      <c r="A398" s="2">
        <f>'Adj Close Prices'!A1142</f>
        <v/>
      </c>
      <c r="B398" s="5">
        <f>0.33000000*'Adj Close Prices'!B1142+0.12700000*'Adj Close Prices'!C1142+0.12000000*'Adj Close Prices'!D1142+0.08600000*'Adj Close Prices'!E1142+0.33700000*'Adj Close Prices'!F1142</f>
        <v/>
      </c>
      <c r="C398" s="13">
        <f>C397*(1+B398)</f>
        <v/>
      </c>
    </row>
    <row r="399">
      <c r="A399" s="2">
        <f>'Adj Close Prices'!A1143</f>
        <v/>
      </c>
      <c r="B399" s="5">
        <f>0.33000000*'Adj Close Prices'!B1143+0.12700000*'Adj Close Prices'!C1143+0.12000000*'Adj Close Prices'!D1143+0.08600000*'Adj Close Prices'!E1143+0.33700000*'Adj Close Prices'!F1143</f>
        <v/>
      </c>
      <c r="C399" s="13">
        <f>C398*(1+B399)</f>
        <v/>
      </c>
    </row>
    <row r="400">
      <c r="A400" s="2">
        <f>'Adj Close Prices'!A1144</f>
        <v/>
      </c>
      <c r="B400" s="5">
        <f>0.33000000*'Adj Close Prices'!B1144+0.12700000*'Adj Close Prices'!C1144+0.12000000*'Adj Close Prices'!D1144+0.08600000*'Adj Close Prices'!E1144+0.33700000*'Adj Close Prices'!F1144</f>
        <v/>
      </c>
      <c r="C400" s="13">
        <f>C399*(1+B400)</f>
        <v/>
      </c>
    </row>
    <row r="401">
      <c r="A401" s="2">
        <f>'Adj Close Prices'!A1145</f>
        <v/>
      </c>
      <c r="B401" s="5">
        <f>0.33000000*'Adj Close Prices'!B1145+0.12700000*'Adj Close Prices'!C1145+0.12000000*'Adj Close Prices'!D1145+0.08600000*'Adj Close Prices'!E1145+0.33700000*'Adj Close Prices'!F1145</f>
        <v/>
      </c>
      <c r="C401" s="13">
        <f>C400*(1+B401)</f>
        <v/>
      </c>
    </row>
    <row r="402">
      <c r="A402" s="2">
        <f>'Adj Close Prices'!A1146</f>
        <v/>
      </c>
      <c r="B402" s="5">
        <f>0.33000000*'Adj Close Prices'!B1146+0.12700000*'Adj Close Prices'!C1146+0.12000000*'Adj Close Prices'!D1146+0.08600000*'Adj Close Prices'!E1146+0.33700000*'Adj Close Prices'!F1146</f>
        <v/>
      </c>
      <c r="C402" s="13">
        <f>C401*(1+B402)</f>
        <v/>
      </c>
    </row>
    <row r="403">
      <c r="A403" s="2">
        <f>'Adj Close Prices'!A1147</f>
        <v/>
      </c>
      <c r="B403" s="5">
        <f>0.33000000*'Adj Close Prices'!B1147+0.12700000*'Adj Close Prices'!C1147+0.12000000*'Adj Close Prices'!D1147+0.08600000*'Adj Close Prices'!E1147+0.33700000*'Adj Close Prices'!F1147</f>
        <v/>
      </c>
      <c r="C403" s="13">
        <f>C402*(1+B403)</f>
        <v/>
      </c>
    </row>
    <row r="404">
      <c r="A404" s="2">
        <f>'Adj Close Prices'!A1148</f>
        <v/>
      </c>
      <c r="B404" s="5">
        <f>0.33000000*'Adj Close Prices'!B1148+0.12700000*'Adj Close Prices'!C1148+0.12000000*'Adj Close Prices'!D1148+0.08600000*'Adj Close Prices'!E1148+0.33700000*'Adj Close Prices'!F1148</f>
        <v/>
      </c>
      <c r="C404" s="13">
        <f>C403*(1+B404)</f>
        <v/>
      </c>
    </row>
    <row r="405">
      <c r="A405" s="2">
        <f>'Adj Close Prices'!A1149</f>
        <v/>
      </c>
      <c r="B405" s="5">
        <f>0.33000000*'Adj Close Prices'!B1149+0.12700000*'Adj Close Prices'!C1149+0.12000000*'Adj Close Prices'!D1149+0.08600000*'Adj Close Prices'!E1149+0.33700000*'Adj Close Prices'!F1149</f>
        <v/>
      </c>
      <c r="C405" s="13">
        <f>C404*(1+B405)</f>
        <v/>
      </c>
    </row>
    <row r="406">
      <c r="A406" s="2">
        <f>'Adj Close Prices'!A1150</f>
        <v/>
      </c>
      <c r="B406" s="5">
        <f>0.33000000*'Adj Close Prices'!B1150+0.12700000*'Adj Close Prices'!C1150+0.12000000*'Adj Close Prices'!D1150+0.08600000*'Adj Close Prices'!E1150+0.33700000*'Adj Close Prices'!F1150</f>
        <v/>
      </c>
      <c r="C406" s="13">
        <f>C405*(1+B406)</f>
        <v/>
      </c>
    </row>
    <row r="407">
      <c r="A407" s="2">
        <f>'Adj Close Prices'!A1151</f>
        <v/>
      </c>
      <c r="B407" s="5">
        <f>0.33000000*'Adj Close Prices'!B1151+0.12700000*'Adj Close Prices'!C1151+0.12000000*'Adj Close Prices'!D1151+0.08600000*'Adj Close Prices'!E1151+0.33700000*'Adj Close Prices'!F1151</f>
        <v/>
      </c>
      <c r="C407" s="13">
        <f>C406*(1+B407)</f>
        <v/>
      </c>
    </row>
    <row r="408">
      <c r="A408" s="2">
        <f>'Adj Close Prices'!A1152</f>
        <v/>
      </c>
      <c r="B408" s="5">
        <f>0.33000000*'Adj Close Prices'!B1152+0.12700000*'Adj Close Prices'!C1152+0.12000000*'Adj Close Prices'!D1152+0.08600000*'Adj Close Prices'!E1152+0.33700000*'Adj Close Prices'!F1152</f>
        <v/>
      </c>
      <c r="C408" s="13">
        <f>C407*(1+B408)</f>
        <v/>
      </c>
    </row>
    <row r="409">
      <c r="A409" s="2">
        <f>'Adj Close Prices'!A1153</f>
        <v/>
      </c>
      <c r="B409" s="5">
        <f>0.33000000*'Adj Close Prices'!B1153+0.12700000*'Adj Close Prices'!C1153+0.12000000*'Adj Close Prices'!D1153+0.08600000*'Adj Close Prices'!E1153+0.33700000*'Adj Close Prices'!F1153</f>
        <v/>
      </c>
      <c r="C409" s="13">
        <f>C408*(1+B409)</f>
        <v/>
      </c>
    </row>
    <row r="410">
      <c r="A410" s="2">
        <f>'Adj Close Prices'!A1154</f>
        <v/>
      </c>
      <c r="B410" s="5">
        <f>0.33000000*'Adj Close Prices'!B1154+0.12700000*'Adj Close Prices'!C1154+0.12000000*'Adj Close Prices'!D1154+0.08600000*'Adj Close Prices'!E1154+0.33700000*'Adj Close Prices'!F1154</f>
        <v/>
      </c>
      <c r="C410" s="13">
        <f>C409*(1+B410)</f>
        <v/>
      </c>
    </row>
    <row r="411">
      <c r="A411" s="2">
        <f>'Adj Close Prices'!A1155</f>
        <v/>
      </c>
      <c r="B411" s="5">
        <f>0.33000000*'Adj Close Prices'!B1155+0.12700000*'Adj Close Prices'!C1155+0.12000000*'Adj Close Prices'!D1155+0.08600000*'Adj Close Prices'!E1155+0.33700000*'Adj Close Prices'!F1155</f>
        <v/>
      </c>
      <c r="C411" s="13">
        <f>C410*(1+B411)</f>
        <v/>
      </c>
    </row>
    <row r="412">
      <c r="A412" s="2">
        <f>'Adj Close Prices'!A1156</f>
        <v/>
      </c>
      <c r="B412" s="5">
        <f>0.33000000*'Adj Close Prices'!B1156+0.12700000*'Adj Close Prices'!C1156+0.12000000*'Adj Close Prices'!D1156+0.08600000*'Adj Close Prices'!E1156+0.33700000*'Adj Close Prices'!F1156</f>
        <v/>
      </c>
      <c r="C412" s="13">
        <f>C411*(1+B412)</f>
        <v/>
      </c>
    </row>
    <row r="413">
      <c r="A413" s="2">
        <f>'Adj Close Prices'!A1157</f>
        <v/>
      </c>
      <c r="B413" s="5">
        <f>0.33000000*'Adj Close Prices'!B1157+0.12700000*'Adj Close Prices'!C1157+0.12000000*'Adj Close Prices'!D1157+0.08600000*'Adj Close Prices'!E1157+0.33700000*'Adj Close Prices'!F1157</f>
        <v/>
      </c>
      <c r="C413" s="13">
        <f>C412*(1+B413)</f>
        <v/>
      </c>
    </row>
    <row r="414">
      <c r="A414" s="2">
        <f>'Adj Close Prices'!A1158</f>
        <v/>
      </c>
      <c r="B414" s="5">
        <f>0.33000000*'Adj Close Prices'!B1158+0.12700000*'Adj Close Prices'!C1158+0.12000000*'Adj Close Prices'!D1158+0.08600000*'Adj Close Prices'!E1158+0.33700000*'Adj Close Prices'!F1158</f>
        <v/>
      </c>
      <c r="C414" s="13">
        <f>C413*(1+B414)</f>
        <v/>
      </c>
    </row>
    <row r="415">
      <c r="A415" s="2">
        <f>'Adj Close Prices'!A1159</f>
        <v/>
      </c>
      <c r="B415" s="5">
        <f>0.33000000*'Adj Close Prices'!B1159+0.12700000*'Adj Close Prices'!C1159+0.12000000*'Adj Close Prices'!D1159+0.08600000*'Adj Close Prices'!E1159+0.33700000*'Adj Close Prices'!F1159</f>
        <v/>
      </c>
      <c r="C415" s="13">
        <f>C414*(1+B415)</f>
        <v/>
      </c>
    </row>
    <row r="416">
      <c r="A416" s="2">
        <f>'Adj Close Prices'!A1160</f>
        <v/>
      </c>
      <c r="B416" s="5">
        <f>0.33000000*'Adj Close Prices'!B1160+0.12700000*'Adj Close Prices'!C1160+0.12000000*'Adj Close Prices'!D1160+0.08600000*'Adj Close Prices'!E1160+0.33700000*'Adj Close Prices'!F1160</f>
        <v/>
      </c>
      <c r="C416" s="13">
        <f>C415*(1+B416)</f>
        <v/>
      </c>
    </row>
    <row r="417">
      <c r="A417" s="2">
        <f>'Adj Close Prices'!A1161</f>
        <v/>
      </c>
      <c r="B417" s="5">
        <f>0.33000000*'Adj Close Prices'!B1161+0.12700000*'Adj Close Prices'!C1161+0.12000000*'Adj Close Prices'!D1161+0.08600000*'Adj Close Prices'!E1161+0.33700000*'Adj Close Prices'!F1161</f>
        <v/>
      </c>
      <c r="C417" s="13">
        <f>C416*(1+B417)</f>
        <v/>
      </c>
    </row>
    <row r="418">
      <c r="A418" s="2">
        <f>'Adj Close Prices'!A1162</f>
        <v/>
      </c>
      <c r="B418" s="5">
        <f>0.33000000*'Adj Close Prices'!B1162+0.12700000*'Adj Close Prices'!C1162+0.12000000*'Adj Close Prices'!D1162+0.08600000*'Adj Close Prices'!E1162+0.33700000*'Adj Close Prices'!F1162</f>
        <v/>
      </c>
      <c r="C418" s="13">
        <f>C417*(1+B418)</f>
        <v/>
      </c>
    </row>
    <row r="419">
      <c r="A419" s="2">
        <f>'Adj Close Prices'!A1163</f>
        <v/>
      </c>
      <c r="B419" s="5">
        <f>0.33000000*'Adj Close Prices'!B1163+0.12700000*'Adj Close Prices'!C1163+0.12000000*'Adj Close Prices'!D1163+0.08600000*'Adj Close Prices'!E1163+0.33700000*'Adj Close Prices'!F1163</f>
        <v/>
      </c>
      <c r="C419" s="13">
        <f>C418*(1+B419)</f>
        <v/>
      </c>
    </row>
    <row r="420">
      <c r="A420" s="2">
        <f>'Adj Close Prices'!A1164</f>
        <v/>
      </c>
      <c r="B420" s="5">
        <f>0.33000000*'Adj Close Prices'!B1164+0.12700000*'Adj Close Prices'!C1164+0.12000000*'Adj Close Prices'!D1164+0.08600000*'Adj Close Prices'!E1164+0.33700000*'Adj Close Prices'!F1164</f>
        <v/>
      </c>
      <c r="C420" s="13">
        <f>C419*(1+B420)</f>
        <v/>
      </c>
    </row>
    <row r="421">
      <c r="A421" s="2">
        <f>'Adj Close Prices'!A1165</f>
        <v/>
      </c>
      <c r="B421" s="5">
        <f>0.33000000*'Adj Close Prices'!B1165+0.12700000*'Adj Close Prices'!C1165+0.12000000*'Adj Close Prices'!D1165+0.08600000*'Adj Close Prices'!E1165+0.33700000*'Adj Close Prices'!F1165</f>
        <v/>
      </c>
      <c r="C421" s="13">
        <f>C420*(1+B421)</f>
        <v/>
      </c>
    </row>
    <row r="422">
      <c r="A422" s="2">
        <f>'Adj Close Prices'!A1166</f>
        <v/>
      </c>
      <c r="B422" s="5">
        <f>0.33000000*'Adj Close Prices'!B1166+0.12700000*'Adj Close Prices'!C1166+0.12000000*'Adj Close Prices'!D1166+0.08600000*'Adj Close Prices'!E1166+0.33700000*'Adj Close Prices'!F1166</f>
        <v/>
      </c>
      <c r="C422" s="13">
        <f>C421*(1+B422)</f>
        <v/>
      </c>
    </row>
    <row r="423">
      <c r="A423" s="2">
        <f>'Adj Close Prices'!A1167</f>
        <v/>
      </c>
      <c r="B423" s="5">
        <f>0.33000000*'Adj Close Prices'!B1167+0.12700000*'Adj Close Prices'!C1167+0.12000000*'Adj Close Prices'!D1167+0.08600000*'Adj Close Prices'!E1167+0.33700000*'Adj Close Prices'!F1167</f>
        <v/>
      </c>
      <c r="C423" s="13">
        <f>C422*(1+B423)</f>
        <v/>
      </c>
    </row>
    <row r="424">
      <c r="A424" s="2">
        <f>'Adj Close Prices'!A1168</f>
        <v/>
      </c>
      <c r="B424" s="5">
        <f>0.33000000*'Adj Close Prices'!B1168+0.12700000*'Adj Close Prices'!C1168+0.12000000*'Adj Close Prices'!D1168+0.08600000*'Adj Close Prices'!E1168+0.33700000*'Adj Close Prices'!F1168</f>
        <v/>
      </c>
      <c r="C424" s="13">
        <f>C423*(1+B424)</f>
        <v/>
      </c>
    </row>
    <row r="425">
      <c r="A425" s="2">
        <f>'Adj Close Prices'!A1169</f>
        <v/>
      </c>
      <c r="B425" s="5">
        <f>0.33000000*'Adj Close Prices'!B1169+0.12700000*'Adj Close Prices'!C1169+0.12000000*'Adj Close Prices'!D1169+0.08600000*'Adj Close Prices'!E1169+0.33700000*'Adj Close Prices'!F1169</f>
        <v/>
      </c>
      <c r="C425" s="13">
        <f>C424*(1+B425)</f>
        <v/>
      </c>
    </row>
    <row r="426">
      <c r="A426" s="2">
        <f>'Adj Close Prices'!A1170</f>
        <v/>
      </c>
      <c r="B426" s="5">
        <f>0.33000000*'Adj Close Prices'!B1170+0.12700000*'Adj Close Prices'!C1170+0.12000000*'Adj Close Prices'!D1170+0.08600000*'Adj Close Prices'!E1170+0.33700000*'Adj Close Prices'!F1170</f>
        <v/>
      </c>
      <c r="C426" s="13">
        <f>C425*(1+B426)</f>
        <v/>
      </c>
    </row>
    <row r="427">
      <c r="A427" s="2">
        <f>'Adj Close Prices'!A1171</f>
        <v/>
      </c>
      <c r="B427" s="5">
        <f>0.33000000*'Adj Close Prices'!B1171+0.12700000*'Adj Close Prices'!C1171+0.12000000*'Adj Close Prices'!D1171+0.08600000*'Adj Close Prices'!E1171+0.33700000*'Adj Close Prices'!F1171</f>
        <v/>
      </c>
      <c r="C427" s="13">
        <f>C426*(1+B427)</f>
        <v/>
      </c>
    </row>
    <row r="428">
      <c r="A428" s="2">
        <f>'Adj Close Prices'!A1172</f>
        <v/>
      </c>
      <c r="B428" s="5">
        <f>0.33000000*'Adj Close Prices'!B1172+0.12700000*'Adj Close Prices'!C1172+0.12000000*'Adj Close Prices'!D1172+0.08600000*'Adj Close Prices'!E1172+0.33700000*'Adj Close Prices'!F1172</f>
        <v/>
      </c>
      <c r="C428" s="13">
        <f>C427*(1+B428)</f>
        <v/>
      </c>
    </row>
    <row r="429">
      <c r="A429" s="2">
        <f>'Adj Close Prices'!A1173</f>
        <v/>
      </c>
      <c r="B429" s="5">
        <f>0.33000000*'Adj Close Prices'!B1173+0.12700000*'Adj Close Prices'!C1173+0.12000000*'Adj Close Prices'!D1173+0.08600000*'Adj Close Prices'!E1173+0.33700000*'Adj Close Prices'!F1173</f>
        <v/>
      </c>
      <c r="C429" s="13">
        <f>C428*(1+B429)</f>
        <v/>
      </c>
    </row>
    <row r="430">
      <c r="A430" s="2">
        <f>'Adj Close Prices'!A1174</f>
        <v/>
      </c>
      <c r="B430" s="5">
        <f>0.33000000*'Adj Close Prices'!B1174+0.12700000*'Adj Close Prices'!C1174+0.12000000*'Adj Close Prices'!D1174+0.08600000*'Adj Close Prices'!E1174+0.33700000*'Adj Close Prices'!F1174</f>
        <v/>
      </c>
      <c r="C430" s="13">
        <f>C429*(1+B430)</f>
        <v/>
      </c>
    </row>
    <row r="431">
      <c r="A431" s="2">
        <f>'Adj Close Prices'!A1175</f>
        <v/>
      </c>
      <c r="B431" s="5">
        <f>0.33000000*'Adj Close Prices'!B1175+0.12700000*'Adj Close Prices'!C1175+0.12000000*'Adj Close Prices'!D1175+0.08600000*'Adj Close Prices'!E1175+0.33700000*'Adj Close Prices'!F1175</f>
        <v/>
      </c>
      <c r="C431" s="13">
        <f>C430*(1+B431)</f>
        <v/>
      </c>
    </row>
    <row r="432">
      <c r="A432" s="2">
        <f>'Adj Close Prices'!A1176</f>
        <v/>
      </c>
      <c r="B432" s="5">
        <f>0.33000000*'Adj Close Prices'!B1176+0.12700000*'Adj Close Prices'!C1176+0.12000000*'Adj Close Prices'!D1176+0.08600000*'Adj Close Prices'!E1176+0.33700000*'Adj Close Prices'!F1176</f>
        <v/>
      </c>
      <c r="C432" s="13">
        <f>C431*(1+B432)</f>
        <v/>
      </c>
    </row>
    <row r="433">
      <c r="A433" s="2">
        <f>'Adj Close Prices'!A1177</f>
        <v/>
      </c>
      <c r="B433" s="5">
        <f>0.33000000*'Adj Close Prices'!B1177+0.12700000*'Adj Close Prices'!C1177+0.12000000*'Adj Close Prices'!D1177+0.08600000*'Adj Close Prices'!E1177+0.33700000*'Adj Close Prices'!F1177</f>
        <v/>
      </c>
      <c r="C433" s="13">
        <f>C432*(1+B433)</f>
        <v/>
      </c>
    </row>
    <row r="434">
      <c r="A434" s="2">
        <f>'Adj Close Prices'!A1178</f>
        <v/>
      </c>
      <c r="B434" s="5">
        <f>0.33000000*'Adj Close Prices'!B1178+0.12700000*'Adj Close Prices'!C1178+0.12000000*'Adj Close Prices'!D1178+0.08600000*'Adj Close Prices'!E1178+0.33700000*'Adj Close Prices'!F1178</f>
        <v/>
      </c>
      <c r="C434" s="13">
        <f>C433*(1+B434)</f>
        <v/>
      </c>
    </row>
    <row r="435">
      <c r="A435" s="2">
        <f>'Adj Close Prices'!A1179</f>
        <v/>
      </c>
      <c r="B435" s="5">
        <f>0.33000000*'Adj Close Prices'!B1179+0.12700000*'Adj Close Prices'!C1179+0.12000000*'Adj Close Prices'!D1179+0.08600000*'Adj Close Prices'!E1179+0.33700000*'Adj Close Prices'!F1179</f>
        <v/>
      </c>
      <c r="C435" s="13">
        <f>C434*(1+B435)</f>
        <v/>
      </c>
    </row>
    <row r="436">
      <c r="A436" s="2">
        <f>'Adj Close Prices'!A1180</f>
        <v/>
      </c>
      <c r="B436" s="5">
        <f>0.33000000*'Adj Close Prices'!B1180+0.12700000*'Adj Close Prices'!C1180+0.12000000*'Adj Close Prices'!D1180+0.08600000*'Adj Close Prices'!E1180+0.33700000*'Adj Close Prices'!F1180</f>
        <v/>
      </c>
      <c r="C436" s="13">
        <f>C435*(1+B436)</f>
        <v/>
      </c>
    </row>
    <row r="437">
      <c r="A437" s="2">
        <f>'Adj Close Prices'!A1181</f>
        <v/>
      </c>
      <c r="B437" s="5">
        <f>0.33000000*'Adj Close Prices'!B1181+0.12700000*'Adj Close Prices'!C1181+0.12000000*'Adj Close Prices'!D1181+0.08600000*'Adj Close Prices'!E1181+0.33700000*'Adj Close Prices'!F1181</f>
        <v/>
      </c>
      <c r="C437" s="13">
        <f>C436*(1+B437)</f>
        <v/>
      </c>
    </row>
    <row r="438">
      <c r="A438" s="2">
        <f>'Adj Close Prices'!A1182</f>
        <v/>
      </c>
      <c r="B438" s="5">
        <f>0.33000000*'Adj Close Prices'!B1182+0.12700000*'Adj Close Prices'!C1182+0.12000000*'Adj Close Prices'!D1182+0.08600000*'Adj Close Prices'!E1182+0.33700000*'Adj Close Prices'!F1182</f>
        <v/>
      </c>
      <c r="C438" s="13">
        <f>C437*(1+B438)</f>
        <v/>
      </c>
    </row>
    <row r="439">
      <c r="A439" s="2">
        <f>'Adj Close Prices'!A1183</f>
        <v/>
      </c>
      <c r="B439" s="5">
        <f>0.33000000*'Adj Close Prices'!B1183+0.12700000*'Adj Close Prices'!C1183+0.12000000*'Adj Close Prices'!D1183+0.08600000*'Adj Close Prices'!E1183+0.33700000*'Adj Close Prices'!F1183</f>
        <v/>
      </c>
      <c r="C439" s="13">
        <f>C438*(1+B439)</f>
        <v/>
      </c>
    </row>
    <row r="440">
      <c r="A440" s="2">
        <f>'Adj Close Prices'!A1184</f>
        <v/>
      </c>
      <c r="B440" s="5">
        <f>0.33000000*'Adj Close Prices'!B1184+0.12700000*'Adj Close Prices'!C1184+0.12000000*'Adj Close Prices'!D1184+0.08600000*'Adj Close Prices'!E1184+0.33700000*'Adj Close Prices'!F1184</f>
        <v/>
      </c>
      <c r="C440" s="13">
        <f>C439*(1+B440)</f>
        <v/>
      </c>
    </row>
    <row r="441">
      <c r="A441" s="2">
        <f>'Adj Close Prices'!A1185</f>
        <v/>
      </c>
      <c r="B441" s="5">
        <f>0.33000000*'Adj Close Prices'!B1185+0.12700000*'Adj Close Prices'!C1185+0.12000000*'Adj Close Prices'!D1185+0.08600000*'Adj Close Prices'!E1185+0.33700000*'Adj Close Prices'!F1185</f>
        <v/>
      </c>
      <c r="C441" s="13">
        <f>C440*(1+B441)</f>
        <v/>
      </c>
    </row>
    <row r="442">
      <c r="A442" s="2">
        <f>'Adj Close Prices'!A1186</f>
        <v/>
      </c>
      <c r="B442" s="5">
        <f>0.33000000*'Adj Close Prices'!B1186+0.12700000*'Adj Close Prices'!C1186+0.12000000*'Adj Close Prices'!D1186+0.08600000*'Adj Close Prices'!E1186+0.33700000*'Adj Close Prices'!F1186</f>
        <v/>
      </c>
      <c r="C442" s="13">
        <f>C441*(1+B442)</f>
        <v/>
      </c>
    </row>
    <row r="443">
      <c r="A443" s="2">
        <f>'Adj Close Prices'!A1187</f>
        <v/>
      </c>
      <c r="B443" s="5">
        <f>0.33000000*'Adj Close Prices'!B1187+0.12700000*'Adj Close Prices'!C1187+0.12000000*'Adj Close Prices'!D1187+0.08600000*'Adj Close Prices'!E1187+0.33700000*'Adj Close Prices'!F1187</f>
        <v/>
      </c>
      <c r="C443" s="13">
        <f>C442*(1+B443)</f>
        <v/>
      </c>
    </row>
    <row r="444">
      <c r="A444" s="2">
        <f>'Adj Close Prices'!A1188</f>
        <v/>
      </c>
      <c r="B444" s="5">
        <f>0.33000000*'Adj Close Prices'!B1188+0.12700000*'Adj Close Prices'!C1188+0.12000000*'Adj Close Prices'!D1188+0.08600000*'Adj Close Prices'!E1188+0.33700000*'Adj Close Prices'!F1188</f>
        <v/>
      </c>
      <c r="C444" s="13">
        <f>C443*(1+B444)</f>
        <v/>
      </c>
    </row>
    <row r="445">
      <c r="A445" s="2">
        <f>'Adj Close Prices'!A1189</f>
        <v/>
      </c>
      <c r="B445" s="5">
        <f>0.33000000*'Adj Close Prices'!B1189+0.12700000*'Adj Close Prices'!C1189+0.12000000*'Adj Close Prices'!D1189+0.08600000*'Adj Close Prices'!E1189+0.33700000*'Adj Close Prices'!F1189</f>
        <v/>
      </c>
      <c r="C445" s="13">
        <f>C444*(1+B445)</f>
        <v/>
      </c>
    </row>
    <row r="446">
      <c r="A446" s="2">
        <f>'Adj Close Prices'!A1190</f>
        <v/>
      </c>
      <c r="B446" s="5">
        <f>0.33000000*'Adj Close Prices'!B1190+0.12700000*'Adj Close Prices'!C1190+0.12000000*'Adj Close Prices'!D1190+0.08600000*'Adj Close Prices'!E1190+0.33700000*'Adj Close Prices'!F1190</f>
        <v/>
      </c>
      <c r="C446" s="13">
        <f>C445*(1+B446)</f>
        <v/>
      </c>
    </row>
    <row r="447">
      <c r="A447" s="2">
        <f>'Adj Close Prices'!A1191</f>
        <v/>
      </c>
      <c r="B447" s="5">
        <f>0.33000000*'Adj Close Prices'!B1191+0.12700000*'Adj Close Prices'!C1191+0.12000000*'Adj Close Prices'!D1191+0.08600000*'Adj Close Prices'!E1191+0.33700000*'Adj Close Prices'!F1191</f>
        <v/>
      </c>
      <c r="C447" s="13">
        <f>C446*(1+B447)</f>
        <v/>
      </c>
    </row>
    <row r="448">
      <c r="A448" s="2">
        <f>'Adj Close Prices'!A1192</f>
        <v/>
      </c>
      <c r="B448" s="5">
        <f>0.33000000*'Adj Close Prices'!B1192+0.12700000*'Adj Close Prices'!C1192+0.12000000*'Adj Close Prices'!D1192+0.08600000*'Adj Close Prices'!E1192+0.33700000*'Adj Close Prices'!F1192</f>
        <v/>
      </c>
      <c r="C448" s="13">
        <f>C447*(1+B448)</f>
        <v/>
      </c>
    </row>
    <row r="449">
      <c r="A449" s="2">
        <f>'Adj Close Prices'!A1193</f>
        <v/>
      </c>
      <c r="B449" s="5">
        <f>0.33000000*'Adj Close Prices'!B1193+0.12700000*'Adj Close Prices'!C1193+0.12000000*'Adj Close Prices'!D1193+0.08600000*'Adj Close Prices'!E1193+0.33700000*'Adj Close Prices'!F1193</f>
        <v/>
      </c>
      <c r="C449" s="13">
        <f>C448*(1+B449)</f>
        <v/>
      </c>
    </row>
    <row r="450">
      <c r="A450" s="2">
        <f>'Adj Close Prices'!A1194</f>
        <v/>
      </c>
      <c r="B450" s="5">
        <f>0.33000000*'Adj Close Prices'!B1194+0.12700000*'Adj Close Prices'!C1194+0.12000000*'Adj Close Prices'!D1194+0.08600000*'Adj Close Prices'!E1194+0.33700000*'Adj Close Prices'!F1194</f>
        <v/>
      </c>
      <c r="C450" s="13">
        <f>C449*(1+B450)</f>
        <v/>
      </c>
    </row>
    <row r="451">
      <c r="A451" s="2">
        <f>'Adj Close Prices'!A1195</f>
        <v/>
      </c>
      <c r="B451" s="5">
        <f>0.33000000*'Adj Close Prices'!B1195+0.12700000*'Adj Close Prices'!C1195+0.12000000*'Adj Close Prices'!D1195+0.08600000*'Adj Close Prices'!E1195+0.33700000*'Adj Close Prices'!F1195</f>
        <v/>
      </c>
      <c r="C451" s="13">
        <f>C450*(1+B451)</f>
        <v/>
      </c>
    </row>
    <row r="452">
      <c r="A452" s="2">
        <f>'Adj Close Prices'!A1196</f>
        <v/>
      </c>
      <c r="B452" s="5">
        <f>0.33000000*'Adj Close Prices'!B1196+0.12700000*'Adj Close Prices'!C1196+0.12000000*'Adj Close Prices'!D1196+0.08600000*'Adj Close Prices'!E1196+0.33700000*'Adj Close Prices'!F1196</f>
        <v/>
      </c>
      <c r="C452" s="13">
        <f>C451*(1+B452)</f>
        <v/>
      </c>
    </row>
    <row r="453">
      <c r="A453" s="2">
        <f>'Adj Close Prices'!A1197</f>
        <v/>
      </c>
      <c r="B453" s="5">
        <f>0.33000000*'Adj Close Prices'!B1197+0.12700000*'Adj Close Prices'!C1197+0.12000000*'Adj Close Prices'!D1197+0.08600000*'Adj Close Prices'!E1197+0.33700000*'Adj Close Prices'!F1197</f>
        <v/>
      </c>
      <c r="C453" s="13">
        <f>C452*(1+B453)</f>
        <v/>
      </c>
    </row>
    <row r="454">
      <c r="A454" s="2">
        <f>'Adj Close Prices'!A1198</f>
        <v/>
      </c>
      <c r="B454" s="5">
        <f>0.33000000*'Adj Close Prices'!B1198+0.12700000*'Adj Close Prices'!C1198+0.12000000*'Adj Close Prices'!D1198+0.08600000*'Adj Close Prices'!E1198+0.33700000*'Adj Close Prices'!F1198</f>
        <v/>
      </c>
      <c r="C454" s="13">
        <f>C453*(1+B454)</f>
        <v/>
      </c>
    </row>
    <row r="455">
      <c r="A455" s="2">
        <f>'Adj Close Prices'!A1199</f>
        <v/>
      </c>
      <c r="B455" s="5">
        <f>0.33000000*'Adj Close Prices'!B1199+0.12700000*'Adj Close Prices'!C1199+0.12000000*'Adj Close Prices'!D1199+0.08600000*'Adj Close Prices'!E1199+0.33700000*'Adj Close Prices'!F1199</f>
        <v/>
      </c>
      <c r="C455" s="13">
        <f>C454*(1+B455)</f>
        <v/>
      </c>
    </row>
    <row r="456">
      <c r="A456" s="2">
        <f>'Adj Close Prices'!A1200</f>
        <v/>
      </c>
      <c r="B456" s="5">
        <f>0.33000000*'Adj Close Prices'!B1200+0.12700000*'Adj Close Prices'!C1200+0.12000000*'Adj Close Prices'!D1200+0.08600000*'Adj Close Prices'!E1200+0.33700000*'Adj Close Prices'!F1200</f>
        <v/>
      </c>
      <c r="C456" s="13">
        <f>C455*(1+B456)</f>
        <v/>
      </c>
    </row>
    <row r="457">
      <c r="A457" s="2">
        <f>'Adj Close Prices'!A1201</f>
        <v/>
      </c>
      <c r="B457" s="5">
        <f>0.33000000*'Adj Close Prices'!B1201+0.12700000*'Adj Close Prices'!C1201+0.12000000*'Adj Close Prices'!D1201+0.08600000*'Adj Close Prices'!E1201+0.33700000*'Adj Close Prices'!F1201</f>
        <v/>
      </c>
      <c r="C457" s="13">
        <f>C456*(1+B457)</f>
        <v/>
      </c>
    </row>
    <row r="458">
      <c r="A458" s="2">
        <f>'Adj Close Prices'!A1202</f>
        <v/>
      </c>
      <c r="B458" s="5">
        <f>0.33000000*'Adj Close Prices'!B1202+0.12700000*'Adj Close Prices'!C1202+0.12000000*'Adj Close Prices'!D1202+0.08600000*'Adj Close Prices'!E1202+0.33700000*'Adj Close Prices'!F1202</f>
        <v/>
      </c>
      <c r="C458" s="13">
        <f>C457*(1+B458)</f>
        <v/>
      </c>
    </row>
    <row r="459">
      <c r="A459" s="2">
        <f>'Adj Close Prices'!A1203</f>
        <v/>
      </c>
      <c r="B459" s="5">
        <f>0.33000000*'Adj Close Prices'!B1203+0.12700000*'Adj Close Prices'!C1203+0.12000000*'Adj Close Prices'!D1203+0.08600000*'Adj Close Prices'!E1203+0.33700000*'Adj Close Prices'!F1203</f>
        <v/>
      </c>
      <c r="C459" s="13">
        <f>C458*(1+B459)</f>
        <v/>
      </c>
    </row>
    <row r="460">
      <c r="A460" s="2">
        <f>'Adj Close Prices'!A1204</f>
        <v/>
      </c>
      <c r="B460" s="5">
        <f>0.33000000*'Adj Close Prices'!B1204+0.12700000*'Adj Close Prices'!C1204+0.12000000*'Adj Close Prices'!D1204+0.08600000*'Adj Close Prices'!E1204+0.33700000*'Adj Close Prices'!F1204</f>
        <v/>
      </c>
      <c r="C460" s="13">
        <f>C459*(1+B460)</f>
        <v/>
      </c>
    </row>
    <row r="461">
      <c r="A461" s="2">
        <f>'Adj Close Prices'!A1205</f>
        <v/>
      </c>
      <c r="B461" s="5">
        <f>0.33000000*'Adj Close Prices'!B1205+0.12700000*'Adj Close Prices'!C1205+0.12000000*'Adj Close Prices'!D1205+0.08600000*'Adj Close Prices'!E1205+0.33700000*'Adj Close Prices'!F1205</f>
        <v/>
      </c>
      <c r="C461" s="13">
        <f>C460*(1+B461)</f>
        <v/>
      </c>
    </row>
    <row r="462">
      <c r="A462" s="2">
        <f>'Adj Close Prices'!A1206</f>
        <v/>
      </c>
      <c r="B462" s="5">
        <f>0.33000000*'Adj Close Prices'!B1206+0.12700000*'Adj Close Prices'!C1206+0.12000000*'Adj Close Prices'!D1206+0.08600000*'Adj Close Prices'!E1206+0.33700000*'Adj Close Prices'!F1206</f>
        <v/>
      </c>
      <c r="C462" s="13">
        <f>C461*(1+B462)</f>
        <v/>
      </c>
    </row>
    <row r="463">
      <c r="A463" s="2">
        <f>'Adj Close Prices'!A1207</f>
        <v/>
      </c>
      <c r="B463" s="5">
        <f>0.33000000*'Adj Close Prices'!B1207+0.12700000*'Adj Close Prices'!C1207+0.12000000*'Adj Close Prices'!D1207+0.08600000*'Adj Close Prices'!E1207+0.33700000*'Adj Close Prices'!F1207</f>
        <v/>
      </c>
      <c r="C463" s="13">
        <f>C462*(1+B463)</f>
        <v/>
      </c>
    </row>
    <row r="464">
      <c r="A464" s="2">
        <f>'Adj Close Prices'!A1208</f>
        <v/>
      </c>
      <c r="B464" s="5">
        <f>0.33000000*'Adj Close Prices'!B1208+0.12700000*'Adj Close Prices'!C1208+0.12000000*'Adj Close Prices'!D1208+0.08600000*'Adj Close Prices'!E1208+0.33700000*'Adj Close Prices'!F1208</f>
        <v/>
      </c>
      <c r="C464" s="13">
        <f>C463*(1+B464)</f>
        <v/>
      </c>
    </row>
    <row r="465">
      <c r="A465" s="2">
        <f>'Adj Close Prices'!A1209</f>
        <v/>
      </c>
      <c r="B465" s="5">
        <f>0.33000000*'Adj Close Prices'!B1209+0.12700000*'Adj Close Prices'!C1209+0.12000000*'Adj Close Prices'!D1209+0.08600000*'Adj Close Prices'!E1209+0.33700000*'Adj Close Prices'!F1209</f>
        <v/>
      </c>
      <c r="C465" s="13">
        <f>C464*(1+B465)</f>
        <v/>
      </c>
    </row>
    <row r="466">
      <c r="A466" s="2">
        <f>'Adj Close Prices'!A1210</f>
        <v/>
      </c>
      <c r="B466" s="5">
        <f>0.33000000*'Adj Close Prices'!B1210+0.12700000*'Adj Close Prices'!C1210+0.12000000*'Adj Close Prices'!D1210+0.08600000*'Adj Close Prices'!E1210+0.33700000*'Adj Close Prices'!F1210</f>
        <v/>
      </c>
      <c r="C466" s="13">
        <f>C465*(1+B466)</f>
        <v/>
      </c>
    </row>
    <row r="467">
      <c r="A467" s="2">
        <f>'Adj Close Prices'!A1211</f>
        <v/>
      </c>
      <c r="B467" s="5">
        <f>0.33000000*'Adj Close Prices'!B1211+0.12700000*'Adj Close Prices'!C1211+0.12000000*'Adj Close Prices'!D1211+0.08600000*'Adj Close Prices'!E1211+0.33700000*'Adj Close Prices'!F1211</f>
        <v/>
      </c>
      <c r="C467" s="13">
        <f>C466*(1+B467)</f>
        <v/>
      </c>
    </row>
    <row r="468">
      <c r="A468" s="2">
        <f>'Adj Close Prices'!A1212</f>
        <v/>
      </c>
      <c r="B468" s="5">
        <f>0.33000000*'Adj Close Prices'!B1212+0.12700000*'Adj Close Prices'!C1212+0.12000000*'Adj Close Prices'!D1212+0.08600000*'Adj Close Prices'!E1212+0.33700000*'Adj Close Prices'!F1212</f>
        <v/>
      </c>
      <c r="C468" s="13">
        <f>C467*(1+B468)</f>
        <v/>
      </c>
    </row>
    <row r="469">
      <c r="A469" s="2">
        <f>'Adj Close Prices'!A1213</f>
        <v/>
      </c>
      <c r="B469" s="5">
        <f>0.33000000*'Adj Close Prices'!B1213+0.12700000*'Adj Close Prices'!C1213+0.12000000*'Adj Close Prices'!D1213+0.08600000*'Adj Close Prices'!E1213+0.33700000*'Adj Close Prices'!F1213</f>
        <v/>
      </c>
      <c r="C469" s="13">
        <f>C468*(1+B469)</f>
        <v/>
      </c>
    </row>
    <row r="470">
      <c r="A470" s="2">
        <f>'Adj Close Prices'!A1214</f>
        <v/>
      </c>
      <c r="B470" s="5">
        <f>0.33000000*'Adj Close Prices'!B1214+0.12700000*'Adj Close Prices'!C1214+0.12000000*'Adj Close Prices'!D1214+0.08600000*'Adj Close Prices'!E1214+0.33700000*'Adj Close Prices'!F1214</f>
        <v/>
      </c>
      <c r="C470" s="13">
        <f>C469*(1+B470)</f>
        <v/>
      </c>
    </row>
    <row r="471">
      <c r="A471" s="2">
        <f>'Adj Close Prices'!A1215</f>
        <v/>
      </c>
      <c r="B471" s="5">
        <f>0.33000000*'Adj Close Prices'!B1215+0.12700000*'Adj Close Prices'!C1215+0.12000000*'Adj Close Prices'!D1215+0.08600000*'Adj Close Prices'!E1215+0.33700000*'Adj Close Prices'!F1215</f>
        <v/>
      </c>
      <c r="C471" s="13">
        <f>C470*(1+B471)</f>
        <v/>
      </c>
    </row>
    <row r="472">
      <c r="A472" s="2">
        <f>'Adj Close Prices'!A1216</f>
        <v/>
      </c>
      <c r="B472" s="5">
        <f>0.33000000*'Adj Close Prices'!B1216+0.12700000*'Adj Close Prices'!C1216+0.12000000*'Adj Close Prices'!D1216+0.08600000*'Adj Close Prices'!E1216+0.33700000*'Adj Close Prices'!F1216</f>
        <v/>
      </c>
      <c r="C472" s="13">
        <f>C471*(1+B472)</f>
        <v/>
      </c>
    </row>
    <row r="473">
      <c r="A473" s="2">
        <f>'Adj Close Prices'!A1217</f>
        <v/>
      </c>
      <c r="B473" s="5">
        <f>0.33000000*'Adj Close Prices'!B1217+0.12700000*'Adj Close Prices'!C1217+0.12000000*'Adj Close Prices'!D1217+0.08600000*'Adj Close Prices'!E1217+0.33700000*'Adj Close Prices'!F1217</f>
        <v/>
      </c>
      <c r="C473" s="13">
        <f>C472*(1+B473)</f>
        <v/>
      </c>
    </row>
    <row r="474">
      <c r="A474" s="2">
        <f>'Adj Close Prices'!A1218</f>
        <v/>
      </c>
      <c r="B474" s="5">
        <f>0.33000000*'Adj Close Prices'!B1218+0.12700000*'Adj Close Prices'!C1218+0.12000000*'Adj Close Prices'!D1218+0.08600000*'Adj Close Prices'!E1218+0.33700000*'Adj Close Prices'!F1218</f>
        <v/>
      </c>
      <c r="C474" s="13">
        <f>C473*(1+B474)</f>
        <v/>
      </c>
    </row>
    <row r="475">
      <c r="A475" s="2">
        <f>'Adj Close Prices'!A1219</f>
        <v/>
      </c>
      <c r="B475" s="5">
        <f>0.33000000*'Adj Close Prices'!B1219+0.12700000*'Adj Close Prices'!C1219+0.12000000*'Adj Close Prices'!D1219+0.08600000*'Adj Close Prices'!E1219+0.33700000*'Adj Close Prices'!F1219</f>
        <v/>
      </c>
      <c r="C475" s="13">
        <f>C474*(1+B475)</f>
        <v/>
      </c>
    </row>
    <row r="476">
      <c r="A476" s="2">
        <f>'Adj Close Prices'!A1220</f>
        <v/>
      </c>
      <c r="B476" s="5">
        <f>0.33000000*'Adj Close Prices'!B1220+0.12700000*'Adj Close Prices'!C1220+0.12000000*'Adj Close Prices'!D1220+0.08600000*'Adj Close Prices'!E1220+0.33700000*'Adj Close Prices'!F1220</f>
        <v/>
      </c>
      <c r="C476" s="13">
        <f>C475*(1+B476)</f>
        <v/>
      </c>
    </row>
    <row r="477">
      <c r="A477" s="2">
        <f>'Adj Close Prices'!A1221</f>
        <v/>
      </c>
      <c r="B477" s="5">
        <f>0.33000000*'Adj Close Prices'!B1221+0.12700000*'Adj Close Prices'!C1221+0.12000000*'Adj Close Prices'!D1221+0.08600000*'Adj Close Prices'!E1221+0.33700000*'Adj Close Prices'!F1221</f>
        <v/>
      </c>
      <c r="C477" s="13">
        <f>C476*(1+B477)</f>
        <v/>
      </c>
    </row>
    <row r="478">
      <c r="A478" s="2">
        <f>'Adj Close Prices'!A1222</f>
        <v/>
      </c>
      <c r="B478" s="5">
        <f>0.33000000*'Adj Close Prices'!B1222+0.12700000*'Adj Close Prices'!C1222+0.12000000*'Adj Close Prices'!D1222+0.08600000*'Adj Close Prices'!E1222+0.33700000*'Adj Close Prices'!F1222</f>
        <v/>
      </c>
      <c r="C478" s="13">
        <f>C477*(1+B478)</f>
        <v/>
      </c>
    </row>
    <row r="479">
      <c r="A479" s="2">
        <f>'Adj Close Prices'!A1223</f>
        <v/>
      </c>
      <c r="B479" s="5">
        <f>0.33000000*'Adj Close Prices'!B1223+0.12700000*'Adj Close Prices'!C1223+0.12000000*'Adj Close Prices'!D1223+0.08600000*'Adj Close Prices'!E1223+0.33700000*'Adj Close Prices'!F1223</f>
        <v/>
      </c>
      <c r="C479" s="13">
        <f>C478*(1+B479)</f>
        <v/>
      </c>
    </row>
    <row r="480">
      <c r="A480" s="2">
        <f>'Adj Close Prices'!A1224</f>
        <v/>
      </c>
      <c r="B480" s="5">
        <f>0.33000000*'Adj Close Prices'!B1224+0.12700000*'Adj Close Prices'!C1224+0.12000000*'Adj Close Prices'!D1224+0.08600000*'Adj Close Prices'!E1224+0.33700000*'Adj Close Prices'!F1224</f>
        <v/>
      </c>
      <c r="C480" s="13">
        <f>C479*(1+B480)</f>
        <v/>
      </c>
    </row>
    <row r="481">
      <c r="A481" s="2">
        <f>'Adj Close Prices'!A1225</f>
        <v/>
      </c>
      <c r="B481" s="5">
        <f>0.33000000*'Adj Close Prices'!B1225+0.12700000*'Adj Close Prices'!C1225+0.12000000*'Adj Close Prices'!D1225+0.08600000*'Adj Close Prices'!E1225+0.33700000*'Adj Close Prices'!F1225</f>
        <v/>
      </c>
      <c r="C481" s="13">
        <f>C480*(1+B481)</f>
        <v/>
      </c>
    </row>
    <row r="482">
      <c r="A482" s="2">
        <f>'Adj Close Prices'!A1226</f>
        <v/>
      </c>
      <c r="B482" s="5">
        <f>0.33000000*'Adj Close Prices'!B1226+0.12700000*'Adj Close Prices'!C1226+0.12000000*'Adj Close Prices'!D1226+0.08600000*'Adj Close Prices'!E1226+0.33700000*'Adj Close Prices'!F1226</f>
        <v/>
      </c>
      <c r="C482" s="13">
        <f>C481*(1+B482)</f>
        <v/>
      </c>
    </row>
    <row r="483">
      <c r="A483" s="2">
        <f>'Adj Close Prices'!A1227</f>
        <v/>
      </c>
      <c r="B483" s="5">
        <f>0.33000000*'Adj Close Prices'!B1227+0.12700000*'Adj Close Prices'!C1227+0.12000000*'Adj Close Prices'!D1227+0.08600000*'Adj Close Prices'!E1227+0.33700000*'Adj Close Prices'!F1227</f>
        <v/>
      </c>
      <c r="C483" s="13">
        <f>C482*(1+B483)</f>
        <v/>
      </c>
    </row>
    <row r="484">
      <c r="A484" s="2">
        <f>'Adj Close Prices'!A1228</f>
        <v/>
      </c>
      <c r="B484" s="5">
        <f>0.33000000*'Adj Close Prices'!B1228+0.12700000*'Adj Close Prices'!C1228+0.12000000*'Adj Close Prices'!D1228+0.08600000*'Adj Close Prices'!E1228+0.33700000*'Adj Close Prices'!F1228</f>
        <v/>
      </c>
      <c r="C484" s="13">
        <f>C483*(1+B484)</f>
        <v/>
      </c>
    </row>
    <row r="485">
      <c r="A485" s="2">
        <f>'Adj Close Prices'!A1229</f>
        <v/>
      </c>
      <c r="B485" s="5">
        <f>0.33000000*'Adj Close Prices'!B1229+0.12700000*'Adj Close Prices'!C1229+0.12000000*'Adj Close Prices'!D1229+0.08600000*'Adj Close Prices'!E1229+0.33700000*'Adj Close Prices'!F1229</f>
        <v/>
      </c>
      <c r="C485" s="13">
        <f>C484*(1+B485)</f>
        <v/>
      </c>
    </row>
    <row r="486">
      <c r="A486" s="2">
        <f>'Adj Close Prices'!A1230</f>
        <v/>
      </c>
      <c r="B486" s="5">
        <f>0.33000000*'Adj Close Prices'!B1230+0.12700000*'Adj Close Prices'!C1230+0.12000000*'Adj Close Prices'!D1230+0.08600000*'Adj Close Prices'!E1230+0.33700000*'Adj Close Prices'!F1230</f>
        <v/>
      </c>
      <c r="C486" s="13">
        <f>C485*(1+B486)</f>
        <v/>
      </c>
    </row>
    <row r="487">
      <c r="A487" s="2">
        <f>'Adj Close Prices'!A1231</f>
        <v/>
      </c>
      <c r="B487" s="5">
        <f>0.33000000*'Adj Close Prices'!B1231+0.12700000*'Adj Close Prices'!C1231+0.12000000*'Adj Close Prices'!D1231+0.08600000*'Adj Close Prices'!E1231+0.33700000*'Adj Close Prices'!F1231</f>
        <v/>
      </c>
      <c r="C487" s="13">
        <f>C486*(1+B487)</f>
        <v/>
      </c>
    </row>
    <row r="488">
      <c r="A488" s="2">
        <f>'Adj Close Prices'!A1232</f>
        <v/>
      </c>
      <c r="B488" s="5">
        <f>0.33000000*'Adj Close Prices'!B1232+0.12700000*'Adj Close Prices'!C1232+0.12000000*'Adj Close Prices'!D1232+0.08600000*'Adj Close Prices'!E1232+0.33700000*'Adj Close Prices'!F1232</f>
        <v/>
      </c>
      <c r="C488" s="13">
        <f>C487*(1+B488)</f>
        <v/>
      </c>
    </row>
    <row r="489">
      <c r="A489" s="2">
        <f>'Adj Close Prices'!A1233</f>
        <v/>
      </c>
      <c r="B489" s="5">
        <f>0.33000000*'Adj Close Prices'!B1233+0.12700000*'Adj Close Prices'!C1233+0.12000000*'Adj Close Prices'!D1233+0.08600000*'Adj Close Prices'!E1233+0.33700000*'Adj Close Prices'!F1233</f>
        <v/>
      </c>
      <c r="C489" s="13">
        <f>C488*(1+B489)</f>
        <v/>
      </c>
    </row>
    <row r="490">
      <c r="A490" s="2">
        <f>'Adj Close Prices'!A1234</f>
        <v/>
      </c>
      <c r="B490" s="5">
        <f>0.33000000*'Adj Close Prices'!B1234+0.12700000*'Adj Close Prices'!C1234+0.12000000*'Adj Close Prices'!D1234+0.08600000*'Adj Close Prices'!E1234+0.33700000*'Adj Close Prices'!F1234</f>
        <v/>
      </c>
      <c r="C490" s="13">
        <f>C489*(1+B490)</f>
        <v/>
      </c>
    </row>
    <row r="491">
      <c r="A491" s="2">
        <f>'Adj Close Prices'!A1235</f>
        <v/>
      </c>
      <c r="B491" s="5">
        <f>0.33000000*'Adj Close Prices'!B1235+0.12700000*'Adj Close Prices'!C1235+0.12000000*'Adj Close Prices'!D1235+0.08600000*'Adj Close Prices'!E1235+0.33700000*'Adj Close Prices'!F1235</f>
        <v/>
      </c>
      <c r="C491" s="13">
        <f>C490*(1+B491)</f>
        <v/>
      </c>
    </row>
    <row r="492">
      <c r="A492" s="2">
        <f>'Adj Close Prices'!A1236</f>
        <v/>
      </c>
      <c r="B492" s="5">
        <f>0.33000000*'Adj Close Prices'!B1236+0.12700000*'Adj Close Prices'!C1236+0.12000000*'Adj Close Prices'!D1236+0.08600000*'Adj Close Prices'!E1236+0.33700000*'Adj Close Prices'!F1236</f>
        <v/>
      </c>
      <c r="C492" s="13">
        <f>C491*(1+B492)</f>
        <v/>
      </c>
    </row>
    <row r="493">
      <c r="A493" s="2">
        <f>'Adj Close Prices'!A1237</f>
        <v/>
      </c>
      <c r="B493" s="5">
        <f>0.33000000*'Adj Close Prices'!B1237+0.12700000*'Adj Close Prices'!C1237+0.12000000*'Adj Close Prices'!D1237+0.08600000*'Adj Close Prices'!E1237+0.33700000*'Adj Close Prices'!F1237</f>
        <v/>
      </c>
      <c r="C493" s="13">
        <f>C492*(1+B493)</f>
        <v/>
      </c>
    </row>
    <row r="494">
      <c r="A494" s="2">
        <f>'Adj Close Prices'!A1238</f>
        <v/>
      </c>
      <c r="B494" s="5">
        <f>0.33000000*'Adj Close Prices'!B1238+0.12700000*'Adj Close Prices'!C1238+0.12000000*'Adj Close Prices'!D1238+0.08600000*'Adj Close Prices'!E1238+0.33700000*'Adj Close Prices'!F1238</f>
        <v/>
      </c>
      <c r="C494" s="13">
        <f>C493*(1+B494)</f>
        <v/>
      </c>
    </row>
    <row r="495">
      <c r="A495" s="2">
        <f>'Adj Close Prices'!A1239</f>
        <v/>
      </c>
      <c r="B495" s="5">
        <f>0.33000000*'Adj Close Prices'!B1239+0.12700000*'Adj Close Prices'!C1239+0.12000000*'Adj Close Prices'!D1239+0.08600000*'Adj Close Prices'!E1239+0.33700000*'Adj Close Prices'!F1239</f>
        <v/>
      </c>
      <c r="C495" s="13">
        <f>C494*(1+B495)</f>
        <v/>
      </c>
    </row>
    <row r="496">
      <c r="A496" s="2">
        <f>'Adj Close Prices'!A1240</f>
        <v/>
      </c>
      <c r="B496" s="5">
        <f>0.33000000*'Adj Close Prices'!B1240+0.12700000*'Adj Close Prices'!C1240+0.12000000*'Adj Close Prices'!D1240+0.08600000*'Adj Close Prices'!E1240+0.33700000*'Adj Close Prices'!F1240</f>
        <v/>
      </c>
      <c r="C496" s="13">
        <f>C495*(1+B496)</f>
        <v/>
      </c>
    </row>
    <row r="497">
      <c r="A497" s="2">
        <f>'Adj Close Prices'!A1241</f>
        <v/>
      </c>
      <c r="B497" s="5">
        <f>0.33000000*'Adj Close Prices'!B1241+0.12700000*'Adj Close Prices'!C1241+0.12000000*'Adj Close Prices'!D1241+0.08600000*'Adj Close Prices'!E1241+0.33700000*'Adj Close Prices'!F1241</f>
        <v/>
      </c>
      <c r="C497" s="13">
        <f>C496*(1+B497)</f>
        <v/>
      </c>
    </row>
    <row r="498">
      <c r="A498" s="2">
        <f>'Adj Close Prices'!A1242</f>
        <v/>
      </c>
      <c r="B498" s="5">
        <f>0.33000000*'Adj Close Prices'!B1242+0.12700000*'Adj Close Prices'!C1242+0.12000000*'Adj Close Prices'!D1242+0.08600000*'Adj Close Prices'!E1242+0.33700000*'Adj Close Prices'!F1242</f>
        <v/>
      </c>
      <c r="C498" s="13">
        <f>C497*(1+B498)</f>
        <v/>
      </c>
    </row>
    <row r="499">
      <c r="A499" s="2">
        <f>'Adj Close Prices'!A1243</f>
        <v/>
      </c>
      <c r="B499" s="5">
        <f>0.33000000*'Adj Close Prices'!B1243+0.12700000*'Adj Close Prices'!C1243+0.12000000*'Adj Close Prices'!D1243+0.08600000*'Adj Close Prices'!E1243+0.33700000*'Adj Close Prices'!F1243</f>
        <v/>
      </c>
      <c r="C499" s="13">
        <f>C498*(1+B499)</f>
        <v/>
      </c>
    </row>
    <row r="500">
      <c r="A500" s="2">
        <f>'Adj Close Prices'!A1244</f>
        <v/>
      </c>
      <c r="B500" s="5">
        <f>0.33000000*'Adj Close Prices'!B1244+0.12700000*'Adj Close Prices'!C1244+0.12000000*'Adj Close Prices'!D1244+0.08600000*'Adj Close Prices'!E1244+0.33700000*'Adj Close Prices'!F1244</f>
        <v/>
      </c>
      <c r="C500" s="13">
        <f>C499*(1+B500)</f>
        <v/>
      </c>
    </row>
    <row r="501">
      <c r="A501" s="2">
        <f>'Adj Close Prices'!A1245</f>
        <v/>
      </c>
      <c r="B501" s="5">
        <f>0.33000000*'Adj Close Prices'!B1245+0.12700000*'Adj Close Prices'!C1245+0.12000000*'Adj Close Prices'!D1245+0.08600000*'Adj Close Prices'!E1245+0.33700000*'Adj Close Prices'!F1245</f>
        <v/>
      </c>
      <c r="C501" s="13">
        <f>C500*(1+B501)</f>
        <v/>
      </c>
    </row>
    <row r="502">
      <c r="A502" s="2">
        <f>'Adj Close Prices'!A1246</f>
        <v/>
      </c>
      <c r="B502" s="5">
        <f>0.33000000*'Adj Close Prices'!B1246+0.12700000*'Adj Close Prices'!C1246+0.12000000*'Adj Close Prices'!D1246+0.08600000*'Adj Close Prices'!E1246+0.33700000*'Adj Close Prices'!F1246</f>
        <v/>
      </c>
      <c r="C502" s="13">
        <f>C501*(1+B502)</f>
        <v/>
      </c>
    </row>
    <row r="503">
      <c r="A503" s="2">
        <f>'Adj Close Prices'!A1247</f>
        <v/>
      </c>
      <c r="B503" s="5">
        <f>0.33000000*'Adj Close Prices'!B1247+0.12700000*'Adj Close Prices'!C1247+0.12000000*'Adj Close Prices'!D1247+0.08600000*'Adj Close Prices'!E1247+0.33700000*'Adj Close Prices'!F1247</f>
        <v/>
      </c>
      <c r="C503" s="13">
        <f>C502*(1+B503)</f>
        <v/>
      </c>
    </row>
    <row r="504">
      <c r="A504" s="2">
        <f>'Adj Close Prices'!A1248</f>
        <v/>
      </c>
      <c r="B504" s="5">
        <f>0.33000000*'Adj Close Prices'!B1248+0.12700000*'Adj Close Prices'!C1248+0.12000000*'Adj Close Prices'!D1248+0.08600000*'Adj Close Prices'!E1248+0.33700000*'Adj Close Prices'!F1248</f>
        <v/>
      </c>
      <c r="C504" s="13">
        <f>C503*(1+B504)</f>
        <v/>
      </c>
    </row>
    <row r="505">
      <c r="A505" s="2">
        <f>'Adj Close Prices'!A1249</f>
        <v/>
      </c>
      <c r="B505" s="5">
        <f>0.33000000*'Adj Close Prices'!B1249+0.12700000*'Adj Close Prices'!C1249+0.12000000*'Adj Close Prices'!D1249+0.08600000*'Adj Close Prices'!E1249+0.33700000*'Adj Close Prices'!F1249</f>
        <v/>
      </c>
      <c r="C505" s="13">
        <f>C504*(1+B505)</f>
        <v/>
      </c>
    </row>
    <row r="506">
      <c r="A506" s="2">
        <f>'Adj Close Prices'!A1250</f>
        <v/>
      </c>
      <c r="B506" s="5">
        <f>0.33000000*'Adj Close Prices'!B1250+0.12700000*'Adj Close Prices'!C1250+0.12000000*'Adj Close Prices'!D1250+0.08600000*'Adj Close Prices'!E1250+0.33700000*'Adj Close Prices'!F1250</f>
        <v/>
      </c>
      <c r="C506" s="13">
        <f>C505*(1+B506)</f>
        <v/>
      </c>
    </row>
    <row r="507">
      <c r="A507" s="2">
        <f>'Adj Close Prices'!A1251</f>
        <v/>
      </c>
      <c r="B507" s="5">
        <f>0.33000000*'Adj Close Prices'!B1251+0.12700000*'Adj Close Prices'!C1251+0.12000000*'Adj Close Prices'!D1251+0.08600000*'Adj Close Prices'!E1251+0.33700000*'Adj Close Prices'!F1251</f>
        <v/>
      </c>
      <c r="C507" s="13">
        <f>C506*(1+B507)</f>
        <v/>
      </c>
    </row>
    <row r="508">
      <c r="A508" s="2">
        <f>'Adj Close Prices'!A1252</f>
        <v/>
      </c>
      <c r="B508" s="5">
        <f>0.33000000*'Adj Close Prices'!B1252+0.12700000*'Adj Close Prices'!C1252+0.12000000*'Adj Close Prices'!D1252+0.08600000*'Adj Close Prices'!E1252+0.33700000*'Adj Close Prices'!F1252</f>
        <v/>
      </c>
      <c r="C508" s="13">
        <f>C507*(1+B508)</f>
        <v/>
      </c>
    </row>
    <row r="509">
      <c r="A509" s="2">
        <f>'Adj Close Prices'!A1253</f>
        <v/>
      </c>
      <c r="B509" s="5">
        <f>0.33000000*'Adj Close Prices'!B1253+0.12700000*'Adj Close Prices'!C1253+0.12000000*'Adj Close Prices'!D1253+0.08600000*'Adj Close Prices'!E1253+0.33700000*'Adj Close Prices'!F1253</f>
        <v/>
      </c>
      <c r="C509" s="13">
        <f>C508*(1+B509)</f>
        <v/>
      </c>
    </row>
    <row r="510">
      <c r="A510" s="2">
        <f>'Adj Close Prices'!A1254</f>
        <v/>
      </c>
      <c r="B510" s="5">
        <f>0.33000000*'Adj Close Prices'!B1254+0.12700000*'Adj Close Prices'!C1254+0.12000000*'Adj Close Prices'!D1254+0.08600000*'Adj Close Prices'!E1254+0.33700000*'Adj Close Prices'!F1254</f>
        <v/>
      </c>
      <c r="C510" s="13">
        <f>C509*(1+B510)</f>
        <v/>
      </c>
    </row>
    <row r="511">
      <c r="A511" s="2">
        <f>'Adj Close Prices'!A1255</f>
        <v/>
      </c>
      <c r="B511" s="5">
        <f>0.33000000*'Adj Close Prices'!B1255+0.12700000*'Adj Close Prices'!C1255+0.12000000*'Adj Close Prices'!D1255+0.08600000*'Adj Close Prices'!E1255+0.33700000*'Adj Close Prices'!F1255</f>
        <v/>
      </c>
      <c r="C511" s="13">
        <f>C510*(1+B511)</f>
        <v/>
      </c>
    </row>
    <row r="512">
      <c r="A512" s="2">
        <f>'Adj Close Prices'!A1256</f>
        <v/>
      </c>
      <c r="B512" s="5">
        <f>0.33000000*'Adj Close Prices'!B1256+0.12700000*'Adj Close Prices'!C1256+0.12000000*'Adj Close Prices'!D1256+0.08600000*'Adj Close Prices'!E1256+0.33700000*'Adj Close Prices'!F1256</f>
        <v/>
      </c>
      <c r="C512" s="13">
        <f>C511*(1+B512)</f>
        <v/>
      </c>
    </row>
    <row r="513">
      <c r="A513" s="2">
        <f>'Adj Close Prices'!A1257</f>
        <v/>
      </c>
      <c r="B513" s="5">
        <f>0.33000000*'Adj Close Prices'!B1257+0.12700000*'Adj Close Prices'!C1257+0.12000000*'Adj Close Prices'!D1257+0.08600000*'Adj Close Prices'!E1257+0.33700000*'Adj Close Prices'!F1257</f>
        <v/>
      </c>
      <c r="C513" s="13">
        <f>C512*(1+B513)</f>
        <v/>
      </c>
    </row>
    <row r="514">
      <c r="A514" s="2">
        <f>'Adj Close Prices'!A1258</f>
        <v/>
      </c>
      <c r="B514" s="5">
        <f>0.33000000*'Adj Close Prices'!B1258+0.12700000*'Adj Close Prices'!C1258+0.12000000*'Adj Close Prices'!D1258+0.08600000*'Adj Close Prices'!E1258+0.33700000*'Adj Close Prices'!F1258</f>
        <v/>
      </c>
      <c r="C514" s="13">
        <f>C513*(1+B514)</f>
        <v/>
      </c>
    </row>
    <row r="515">
      <c r="A515" s="2">
        <f>'Adj Close Prices'!A1259</f>
        <v/>
      </c>
      <c r="B515" s="5">
        <f>0.33000000*'Adj Close Prices'!B1259+0.12700000*'Adj Close Prices'!C1259+0.12000000*'Adj Close Prices'!D1259+0.08600000*'Adj Close Prices'!E1259+0.33700000*'Adj Close Prices'!F1259</f>
        <v/>
      </c>
      <c r="C515" s="13">
        <f>C514*(1+B515)</f>
        <v/>
      </c>
    </row>
    <row r="516">
      <c r="A516" s="2">
        <f>'Adj Close Prices'!A1260</f>
        <v/>
      </c>
      <c r="B516" s="5">
        <f>0.33000000*'Adj Close Prices'!B1260+0.12700000*'Adj Close Prices'!C1260+0.12000000*'Adj Close Prices'!D1260+0.08600000*'Adj Close Prices'!E1260+0.33700000*'Adj Close Prices'!F1260</f>
        <v/>
      </c>
      <c r="C516" s="13">
        <f>C515*(1+B516)</f>
        <v/>
      </c>
    </row>
    <row r="517">
      <c r="A517" s="2">
        <f>'Adj Close Prices'!A1261</f>
        <v/>
      </c>
      <c r="B517" s="5">
        <f>0.33000000*'Adj Close Prices'!B1261+0.12700000*'Adj Close Prices'!C1261+0.12000000*'Adj Close Prices'!D1261+0.08600000*'Adj Close Prices'!E1261+0.33700000*'Adj Close Prices'!F1261</f>
        <v/>
      </c>
      <c r="C517" s="13">
        <f>C516*(1+B517)</f>
        <v/>
      </c>
    </row>
    <row r="518">
      <c r="A518" s="2">
        <f>'Adj Close Prices'!A1262</f>
        <v/>
      </c>
      <c r="B518" s="5">
        <f>0.33000000*'Adj Close Prices'!B1262+0.12700000*'Adj Close Prices'!C1262+0.12000000*'Adj Close Prices'!D1262+0.08600000*'Adj Close Prices'!E1262+0.33700000*'Adj Close Prices'!F1262</f>
        <v/>
      </c>
      <c r="C518" s="13">
        <f>C517*(1+B518)</f>
        <v/>
      </c>
    </row>
    <row r="519">
      <c r="A519" s="2">
        <f>'Adj Close Prices'!A1263</f>
        <v/>
      </c>
      <c r="B519" s="5">
        <f>0.33000000*'Adj Close Prices'!B1263+0.12700000*'Adj Close Prices'!C1263+0.12000000*'Adj Close Prices'!D1263+0.08600000*'Adj Close Prices'!E1263+0.33700000*'Adj Close Prices'!F1263</f>
        <v/>
      </c>
      <c r="C519" s="13">
        <f>C518*(1+B519)</f>
        <v/>
      </c>
    </row>
    <row r="520">
      <c r="A520" s="2">
        <f>'Adj Close Prices'!A1264</f>
        <v/>
      </c>
      <c r="B520" s="5">
        <f>0.33000000*'Adj Close Prices'!B1264+0.12700000*'Adj Close Prices'!C1264+0.12000000*'Adj Close Prices'!D1264+0.08600000*'Adj Close Prices'!E1264+0.33700000*'Adj Close Prices'!F1264</f>
        <v/>
      </c>
      <c r="C520" s="13">
        <f>C519*(1+B520)</f>
        <v/>
      </c>
    </row>
    <row r="521">
      <c r="A521" s="2">
        <f>'Adj Close Prices'!A1265</f>
        <v/>
      </c>
      <c r="B521" s="5">
        <f>0.33000000*'Adj Close Prices'!B1265+0.12700000*'Adj Close Prices'!C1265+0.12000000*'Adj Close Prices'!D1265+0.08600000*'Adj Close Prices'!E1265+0.33700000*'Adj Close Prices'!F1265</f>
        <v/>
      </c>
      <c r="C521" s="13">
        <f>C520*(1+B521)</f>
        <v/>
      </c>
    </row>
    <row r="522">
      <c r="A522" s="2">
        <f>'Adj Close Prices'!A1266</f>
        <v/>
      </c>
      <c r="B522" s="5">
        <f>0.33000000*'Adj Close Prices'!B1266+0.12700000*'Adj Close Prices'!C1266+0.12000000*'Adj Close Prices'!D1266+0.08600000*'Adj Close Prices'!E1266+0.33700000*'Adj Close Prices'!F1266</f>
        <v/>
      </c>
      <c r="C522" s="13">
        <f>C521*(1+B522)</f>
        <v/>
      </c>
    </row>
    <row r="523">
      <c r="A523" s="2">
        <f>'Adj Close Prices'!A1267</f>
        <v/>
      </c>
      <c r="B523" s="5">
        <f>0.33000000*'Adj Close Prices'!B1267+0.12700000*'Adj Close Prices'!C1267+0.12000000*'Adj Close Prices'!D1267+0.08600000*'Adj Close Prices'!E1267+0.33700000*'Adj Close Prices'!F1267</f>
        <v/>
      </c>
      <c r="C523" s="13">
        <f>C522*(1+B523)</f>
        <v/>
      </c>
    </row>
    <row r="524">
      <c r="A524" s="2">
        <f>'Adj Close Prices'!A1268</f>
        <v/>
      </c>
      <c r="B524" s="5">
        <f>0.33000000*'Adj Close Prices'!B1268+0.12700000*'Adj Close Prices'!C1268+0.12000000*'Adj Close Prices'!D1268+0.08600000*'Adj Close Prices'!E1268+0.33700000*'Adj Close Prices'!F1268</f>
        <v/>
      </c>
      <c r="C524" s="13">
        <f>C523*(1+B524)</f>
        <v/>
      </c>
    </row>
    <row r="525">
      <c r="A525" s="2">
        <f>'Adj Close Prices'!A1269</f>
        <v/>
      </c>
      <c r="B525" s="5">
        <f>0.33000000*'Adj Close Prices'!B1269+0.12700000*'Adj Close Prices'!C1269+0.12000000*'Adj Close Prices'!D1269+0.08600000*'Adj Close Prices'!E1269+0.33700000*'Adj Close Prices'!F1269</f>
        <v/>
      </c>
      <c r="C525" s="13">
        <f>C524*(1+B525)</f>
        <v/>
      </c>
    </row>
    <row r="526">
      <c r="A526" s="2">
        <f>'Adj Close Prices'!A1270</f>
        <v/>
      </c>
      <c r="B526" s="5">
        <f>0.33000000*'Adj Close Prices'!B1270+0.12700000*'Adj Close Prices'!C1270+0.12000000*'Adj Close Prices'!D1270+0.08600000*'Adj Close Prices'!E1270+0.33700000*'Adj Close Prices'!F1270</f>
        <v/>
      </c>
      <c r="C526" s="13">
        <f>C525*(1+B526)</f>
        <v/>
      </c>
    </row>
    <row r="527">
      <c r="A527" s="2">
        <f>'Adj Close Prices'!A1271</f>
        <v/>
      </c>
      <c r="B527" s="5">
        <f>0.33000000*'Adj Close Prices'!B1271+0.12700000*'Adj Close Prices'!C1271+0.12000000*'Adj Close Prices'!D1271+0.08600000*'Adj Close Prices'!E1271+0.33700000*'Adj Close Prices'!F1271</f>
        <v/>
      </c>
      <c r="C527" s="13">
        <f>C526*(1+B527)</f>
        <v/>
      </c>
    </row>
    <row r="528">
      <c r="A528" s="2">
        <f>'Adj Close Prices'!A1272</f>
        <v/>
      </c>
      <c r="B528" s="5">
        <f>0.33000000*'Adj Close Prices'!B1272+0.12700000*'Adj Close Prices'!C1272+0.12000000*'Adj Close Prices'!D1272+0.08600000*'Adj Close Prices'!E1272+0.33700000*'Adj Close Prices'!F1272</f>
        <v/>
      </c>
      <c r="C528" s="13">
        <f>C527*(1+B528)</f>
        <v/>
      </c>
    </row>
    <row r="529">
      <c r="A529" s="2">
        <f>'Adj Close Prices'!A1273</f>
        <v/>
      </c>
      <c r="B529" s="5">
        <f>0.33000000*'Adj Close Prices'!B1273+0.12700000*'Adj Close Prices'!C1273+0.12000000*'Adj Close Prices'!D1273+0.08600000*'Adj Close Prices'!E1273+0.33700000*'Adj Close Prices'!F1273</f>
        <v/>
      </c>
      <c r="C529" s="13">
        <f>C528*(1+B529)</f>
        <v/>
      </c>
    </row>
    <row r="530">
      <c r="A530" s="2">
        <f>'Adj Close Prices'!A1274</f>
        <v/>
      </c>
      <c r="B530" s="5">
        <f>0.33000000*'Adj Close Prices'!B1274+0.12700000*'Adj Close Prices'!C1274+0.12000000*'Adj Close Prices'!D1274+0.08600000*'Adj Close Prices'!E1274+0.33700000*'Adj Close Prices'!F1274</f>
        <v/>
      </c>
      <c r="C530" s="13">
        <f>C529*(1+B530)</f>
        <v/>
      </c>
    </row>
    <row r="531">
      <c r="A531" s="2">
        <f>'Adj Close Prices'!A1275</f>
        <v/>
      </c>
      <c r="B531" s="5">
        <f>0.33000000*'Adj Close Prices'!B1275+0.12700000*'Adj Close Prices'!C1275+0.12000000*'Adj Close Prices'!D1275+0.08600000*'Adj Close Prices'!E1275+0.33700000*'Adj Close Prices'!F1275</f>
        <v/>
      </c>
      <c r="C531" s="13">
        <f>C530*(1+B531)</f>
        <v/>
      </c>
    </row>
    <row r="532">
      <c r="A532" s="2">
        <f>'Adj Close Prices'!A1276</f>
        <v/>
      </c>
      <c r="B532" s="5">
        <f>0.33000000*'Adj Close Prices'!B1276+0.12700000*'Adj Close Prices'!C1276+0.12000000*'Adj Close Prices'!D1276+0.08600000*'Adj Close Prices'!E1276+0.33700000*'Adj Close Prices'!F1276</f>
        <v/>
      </c>
      <c r="C532" s="13">
        <f>C531*(1+B532)</f>
        <v/>
      </c>
    </row>
    <row r="533">
      <c r="A533" s="2">
        <f>'Adj Close Prices'!A1277</f>
        <v/>
      </c>
      <c r="B533" s="5">
        <f>0.33000000*'Adj Close Prices'!B1277+0.12700000*'Adj Close Prices'!C1277+0.12000000*'Adj Close Prices'!D1277+0.08600000*'Adj Close Prices'!E1277+0.33700000*'Adj Close Prices'!F1277</f>
        <v/>
      </c>
      <c r="C533" s="13">
        <f>C532*(1+B533)</f>
        <v/>
      </c>
    </row>
    <row r="534">
      <c r="A534" s="2">
        <f>'Adj Close Prices'!A1278</f>
        <v/>
      </c>
      <c r="B534" s="5">
        <f>0.33000000*'Adj Close Prices'!B1278+0.12700000*'Adj Close Prices'!C1278+0.12000000*'Adj Close Prices'!D1278+0.08600000*'Adj Close Prices'!E1278+0.33700000*'Adj Close Prices'!F1278</f>
        <v/>
      </c>
      <c r="C534" s="13">
        <f>C533*(1+B534)</f>
        <v/>
      </c>
    </row>
    <row r="535">
      <c r="A535" s="2">
        <f>'Adj Close Prices'!A1279</f>
        <v/>
      </c>
      <c r="B535" s="5">
        <f>0.33000000*'Adj Close Prices'!B1279+0.12700000*'Adj Close Prices'!C1279+0.12000000*'Adj Close Prices'!D1279+0.08600000*'Adj Close Prices'!E1279+0.33700000*'Adj Close Prices'!F1279</f>
        <v/>
      </c>
      <c r="C535" s="13">
        <f>C534*(1+B535)</f>
        <v/>
      </c>
    </row>
    <row r="536">
      <c r="A536" s="2">
        <f>'Adj Close Prices'!A1280</f>
        <v/>
      </c>
      <c r="B536" s="5">
        <f>0.33000000*'Adj Close Prices'!B1280+0.12700000*'Adj Close Prices'!C1280+0.12000000*'Adj Close Prices'!D1280+0.08600000*'Adj Close Prices'!E1280+0.33700000*'Adj Close Prices'!F1280</f>
        <v/>
      </c>
      <c r="C536" s="13">
        <f>C535*(1+B536)</f>
        <v/>
      </c>
    </row>
    <row r="537">
      <c r="A537" s="2">
        <f>'Adj Close Prices'!A1281</f>
        <v/>
      </c>
      <c r="B537" s="5">
        <f>0.33000000*'Adj Close Prices'!B1281+0.12700000*'Adj Close Prices'!C1281+0.12000000*'Adj Close Prices'!D1281+0.08600000*'Adj Close Prices'!E1281+0.33700000*'Adj Close Prices'!F1281</f>
        <v/>
      </c>
      <c r="C537" s="13">
        <f>C536*(1+B537)</f>
        <v/>
      </c>
    </row>
    <row r="538">
      <c r="A538" s="2">
        <f>'Adj Close Prices'!A1282</f>
        <v/>
      </c>
      <c r="B538" s="5">
        <f>0.33000000*'Adj Close Prices'!B1282+0.12700000*'Adj Close Prices'!C1282+0.12000000*'Adj Close Prices'!D1282+0.08600000*'Adj Close Prices'!E1282+0.33700000*'Adj Close Prices'!F1282</f>
        <v/>
      </c>
      <c r="C538" s="13">
        <f>C537*(1+B538)</f>
        <v/>
      </c>
    </row>
    <row r="539">
      <c r="A539" s="2">
        <f>'Adj Close Prices'!A1283</f>
        <v/>
      </c>
      <c r="B539" s="5">
        <f>0.33000000*'Adj Close Prices'!B1283+0.12700000*'Adj Close Prices'!C1283+0.12000000*'Adj Close Prices'!D1283+0.08600000*'Adj Close Prices'!E1283+0.33700000*'Adj Close Prices'!F1283</f>
        <v/>
      </c>
      <c r="C539" s="13">
        <f>C538*(1+B539)</f>
        <v/>
      </c>
    </row>
    <row r="540">
      <c r="A540" s="2">
        <f>'Adj Close Prices'!A1284</f>
        <v/>
      </c>
      <c r="B540" s="5">
        <f>0.33000000*'Adj Close Prices'!B1284+0.12700000*'Adj Close Prices'!C1284+0.12000000*'Adj Close Prices'!D1284+0.08600000*'Adj Close Prices'!E1284+0.33700000*'Adj Close Prices'!F1284</f>
        <v/>
      </c>
      <c r="C540" s="13">
        <f>C539*(1+B540)</f>
        <v/>
      </c>
    </row>
    <row r="541">
      <c r="A541" s="2">
        <f>'Adj Close Prices'!A1285</f>
        <v/>
      </c>
      <c r="B541" s="5">
        <f>0.33000000*'Adj Close Prices'!B1285+0.12700000*'Adj Close Prices'!C1285+0.12000000*'Adj Close Prices'!D1285+0.08600000*'Adj Close Prices'!E1285+0.33700000*'Adj Close Prices'!F1285</f>
        <v/>
      </c>
      <c r="C541" s="13">
        <f>C540*(1+B541)</f>
        <v/>
      </c>
    </row>
    <row r="542">
      <c r="A542" s="2">
        <f>'Adj Close Prices'!A1286</f>
        <v/>
      </c>
      <c r="B542" s="5">
        <f>0.33000000*'Adj Close Prices'!B1286+0.12700000*'Adj Close Prices'!C1286+0.12000000*'Adj Close Prices'!D1286+0.08600000*'Adj Close Prices'!E1286+0.33700000*'Adj Close Prices'!F1286</f>
        <v/>
      </c>
      <c r="C542" s="13">
        <f>C541*(1+B542)</f>
        <v/>
      </c>
    </row>
    <row r="543">
      <c r="A543" s="2">
        <f>'Adj Close Prices'!A1287</f>
        <v/>
      </c>
      <c r="B543" s="5">
        <f>0.33000000*'Adj Close Prices'!B1287+0.12700000*'Adj Close Prices'!C1287+0.12000000*'Adj Close Prices'!D1287+0.08600000*'Adj Close Prices'!E1287+0.33700000*'Adj Close Prices'!F1287</f>
        <v/>
      </c>
      <c r="C543" s="13">
        <f>C542*(1+B543)</f>
        <v/>
      </c>
    </row>
    <row r="544">
      <c r="A544" s="2">
        <f>'Adj Close Prices'!A1288</f>
        <v/>
      </c>
      <c r="B544" s="5">
        <f>0.33000000*'Adj Close Prices'!B1288+0.12700000*'Adj Close Prices'!C1288+0.12000000*'Adj Close Prices'!D1288+0.08600000*'Adj Close Prices'!E1288+0.33700000*'Adj Close Prices'!F1288</f>
        <v/>
      </c>
      <c r="C544" s="13">
        <f>C543*(1+B544)</f>
        <v/>
      </c>
    </row>
    <row r="545">
      <c r="A545" s="2">
        <f>'Adj Close Prices'!A1289</f>
        <v/>
      </c>
      <c r="B545" s="5">
        <f>0.33000000*'Adj Close Prices'!B1289+0.12700000*'Adj Close Prices'!C1289+0.12000000*'Adj Close Prices'!D1289+0.08600000*'Adj Close Prices'!E1289+0.33700000*'Adj Close Prices'!F1289</f>
        <v/>
      </c>
      <c r="C545" s="13">
        <f>C544*(1+B545)</f>
        <v/>
      </c>
    </row>
    <row r="546">
      <c r="A546" s="2">
        <f>'Adj Close Prices'!A1290</f>
        <v/>
      </c>
      <c r="B546" s="5">
        <f>0.33000000*'Adj Close Prices'!B1290+0.12700000*'Adj Close Prices'!C1290+0.12000000*'Adj Close Prices'!D1290+0.08600000*'Adj Close Prices'!E1290+0.33700000*'Adj Close Prices'!F1290</f>
        <v/>
      </c>
      <c r="C546" s="13">
        <f>C545*(1+B546)</f>
        <v/>
      </c>
    </row>
    <row r="547">
      <c r="A547" s="2">
        <f>'Adj Close Prices'!A1291</f>
        <v/>
      </c>
      <c r="B547" s="5">
        <f>0.33000000*'Adj Close Prices'!B1291+0.12700000*'Adj Close Prices'!C1291+0.12000000*'Adj Close Prices'!D1291+0.08600000*'Adj Close Prices'!E1291+0.33700000*'Adj Close Prices'!F1291</f>
        <v/>
      </c>
      <c r="C547" s="13">
        <f>C546*(1+B547)</f>
        <v/>
      </c>
    </row>
    <row r="548">
      <c r="A548" s="2">
        <f>'Adj Close Prices'!A1292</f>
        <v/>
      </c>
      <c r="B548" s="5">
        <f>0.33000000*'Adj Close Prices'!B1292+0.12700000*'Adj Close Prices'!C1292+0.12000000*'Adj Close Prices'!D1292+0.08600000*'Adj Close Prices'!E1292+0.33700000*'Adj Close Prices'!F1292</f>
        <v/>
      </c>
      <c r="C548" s="13">
        <f>C547*(1+B548)</f>
        <v/>
      </c>
    </row>
    <row r="549">
      <c r="A549" s="2">
        <f>'Adj Close Prices'!A1293</f>
        <v/>
      </c>
      <c r="B549" s="5">
        <f>0.33000000*'Adj Close Prices'!B1293+0.12700000*'Adj Close Prices'!C1293+0.12000000*'Adj Close Prices'!D1293+0.08600000*'Adj Close Prices'!E1293+0.33700000*'Adj Close Prices'!F1293</f>
        <v/>
      </c>
      <c r="C549" s="13">
        <f>C548*(1+B549)</f>
        <v/>
      </c>
    </row>
    <row r="550">
      <c r="A550" s="2">
        <f>'Adj Close Prices'!A1294</f>
        <v/>
      </c>
      <c r="B550" s="5">
        <f>0.33000000*'Adj Close Prices'!B1294+0.12700000*'Adj Close Prices'!C1294+0.12000000*'Adj Close Prices'!D1294+0.08600000*'Adj Close Prices'!E1294+0.33700000*'Adj Close Prices'!F1294</f>
        <v/>
      </c>
      <c r="C550" s="13">
        <f>C549*(1+B550)</f>
        <v/>
      </c>
    </row>
    <row r="551">
      <c r="A551" s="2">
        <f>'Adj Close Prices'!A1295</f>
        <v/>
      </c>
      <c r="B551" s="5">
        <f>0.33000000*'Adj Close Prices'!B1295+0.12700000*'Adj Close Prices'!C1295+0.12000000*'Adj Close Prices'!D1295+0.08600000*'Adj Close Prices'!E1295+0.33700000*'Adj Close Prices'!F1295</f>
        <v/>
      </c>
      <c r="C551" s="13">
        <f>C550*(1+B551)</f>
        <v/>
      </c>
    </row>
    <row r="552">
      <c r="A552" s="2">
        <f>'Adj Close Prices'!A1296</f>
        <v/>
      </c>
      <c r="B552" s="5">
        <f>0.33000000*'Adj Close Prices'!B1296+0.12700000*'Adj Close Prices'!C1296+0.12000000*'Adj Close Prices'!D1296+0.08600000*'Adj Close Prices'!E1296+0.33700000*'Adj Close Prices'!F1296</f>
        <v/>
      </c>
      <c r="C552" s="13">
        <f>C551*(1+B552)</f>
        <v/>
      </c>
    </row>
    <row r="553">
      <c r="A553" s="2">
        <f>'Adj Close Prices'!A1297</f>
        <v/>
      </c>
      <c r="B553" s="5">
        <f>0.33000000*'Adj Close Prices'!B1297+0.12700000*'Adj Close Prices'!C1297+0.12000000*'Adj Close Prices'!D1297+0.08600000*'Adj Close Prices'!E1297+0.33700000*'Adj Close Prices'!F1297</f>
        <v/>
      </c>
      <c r="C553" s="13">
        <f>C552*(1+B553)</f>
        <v/>
      </c>
    </row>
    <row r="554">
      <c r="A554" s="2">
        <f>'Adj Close Prices'!A1298</f>
        <v/>
      </c>
      <c r="B554" s="5">
        <f>0.33000000*'Adj Close Prices'!B1298+0.12700000*'Adj Close Prices'!C1298+0.12000000*'Adj Close Prices'!D1298+0.08600000*'Adj Close Prices'!E1298+0.33700000*'Adj Close Prices'!F1298</f>
        <v/>
      </c>
      <c r="C554" s="13">
        <f>C553*(1+B554)</f>
        <v/>
      </c>
    </row>
    <row r="555">
      <c r="A555" s="2">
        <f>'Adj Close Prices'!A1299</f>
        <v/>
      </c>
      <c r="B555" s="5">
        <f>0.33000000*'Adj Close Prices'!B1299+0.12700000*'Adj Close Prices'!C1299+0.12000000*'Adj Close Prices'!D1299+0.08600000*'Adj Close Prices'!E1299+0.33700000*'Adj Close Prices'!F1299</f>
        <v/>
      </c>
      <c r="C555" s="13">
        <f>C554*(1+B555)</f>
        <v/>
      </c>
    </row>
    <row r="556">
      <c r="A556" s="2">
        <f>'Adj Close Prices'!A1300</f>
        <v/>
      </c>
      <c r="B556" s="5">
        <f>0.33000000*'Adj Close Prices'!B1300+0.12700000*'Adj Close Prices'!C1300+0.12000000*'Adj Close Prices'!D1300+0.08600000*'Adj Close Prices'!E1300+0.33700000*'Adj Close Prices'!F1300</f>
        <v/>
      </c>
      <c r="C556" s="13">
        <f>C555*(1+B556)</f>
        <v/>
      </c>
    </row>
    <row r="557">
      <c r="A557" s="2">
        <f>'Adj Close Prices'!A1301</f>
        <v/>
      </c>
      <c r="B557" s="5">
        <f>0.33000000*'Adj Close Prices'!B1301+0.12700000*'Adj Close Prices'!C1301+0.12000000*'Adj Close Prices'!D1301+0.08600000*'Adj Close Prices'!E1301+0.33700000*'Adj Close Prices'!F1301</f>
        <v/>
      </c>
      <c r="C557" s="13">
        <f>C556*(1+B557)</f>
        <v/>
      </c>
    </row>
    <row r="558">
      <c r="A558" s="2">
        <f>'Adj Close Prices'!A1302</f>
        <v/>
      </c>
      <c r="B558" s="5">
        <f>0.33000000*'Adj Close Prices'!B1302+0.12700000*'Adj Close Prices'!C1302+0.12000000*'Adj Close Prices'!D1302+0.08600000*'Adj Close Prices'!E1302+0.33700000*'Adj Close Prices'!F1302</f>
        <v/>
      </c>
      <c r="C558" s="13">
        <f>C557*(1+B558)</f>
        <v/>
      </c>
    </row>
    <row r="559">
      <c r="A559" s="2">
        <f>'Adj Close Prices'!A1303</f>
        <v/>
      </c>
      <c r="B559" s="5">
        <f>0.33000000*'Adj Close Prices'!B1303+0.12700000*'Adj Close Prices'!C1303+0.12000000*'Adj Close Prices'!D1303+0.08600000*'Adj Close Prices'!E1303+0.33700000*'Adj Close Prices'!F1303</f>
        <v/>
      </c>
      <c r="C559" s="13">
        <f>C558*(1+B559)</f>
        <v/>
      </c>
    </row>
    <row r="560">
      <c r="A560" s="2">
        <f>'Adj Close Prices'!A1304</f>
        <v/>
      </c>
      <c r="B560" s="5">
        <f>0.33000000*'Adj Close Prices'!B1304+0.12700000*'Adj Close Prices'!C1304+0.12000000*'Adj Close Prices'!D1304+0.08600000*'Adj Close Prices'!E1304+0.33700000*'Adj Close Prices'!F1304</f>
        <v/>
      </c>
      <c r="C560" s="13">
        <f>C559*(1+B560)</f>
        <v/>
      </c>
    </row>
    <row r="561">
      <c r="A561" s="2">
        <f>'Adj Close Prices'!A1305</f>
        <v/>
      </c>
      <c r="B561" s="5">
        <f>0.33000000*'Adj Close Prices'!B1305+0.12700000*'Adj Close Prices'!C1305+0.12000000*'Adj Close Prices'!D1305+0.08600000*'Adj Close Prices'!E1305+0.33700000*'Adj Close Prices'!F1305</f>
        <v/>
      </c>
      <c r="C561" s="13">
        <f>C560*(1+B561)</f>
        <v/>
      </c>
    </row>
    <row r="562">
      <c r="A562" s="2">
        <f>'Adj Close Prices'!A1306</f>
        <v/>
      </c>
      <c r="B562" s="5">
        <f>0.33000000*'Adj Close Prices'!B1306+0.12700000*'Adj Close Prices'!C1306+0.12000000*'Adj Close Prices'!D1306+0.08600000*'Adj Close Prices'!E1306+0.33700000*'Adj Close Prices'!F1306</f>
        <v/>
      </c>
      <c r="C562" s="13">
        <f>C561*(1+B562)</f>
        <v/>
      </c>
    </row>
    <row r="563">
      <c r="A563" s="2">
        <f>'Adj Close Prices'!A1307</f>
        <v/>
      </c>
      <c r="B563" s="5">
        <f>0.33000000*'Adj Close Prices'!B1307+0.12700000*'Adj Close Prices'!C1307+0.12000000*'Adj Close Prices'!D1307+0.08600000*'Adj Close Prices'!E1307+0.33700000*'Adj Close Prices'!F1307</f>
        <v/>
      </c>
      <c r="C563" s="13">
        <f>C562*(1+B563)</f>
        <v/>
      </c>
    </row>
    <row r="564">
      <c r="A564" s="2">
        <f>'Adj Close Prices'!A1308</f>
        <v/>
      </c>
      <c r="B564" s="5">
        <f>0.33000000*'Adj Close Prices'!B1308+0.12700000*'Adj Close Prices'!C1308+0.12000000*'Adj Close Prices'!D1308+0.08600000*'Adj Close Prices'!E1308+0.33700000*'Adj Close Prices'!F1308</f>
        <v/>
      </c>
      <c r="C564" s="13">
        <f>C563*(1+B564)</f>
        <v/>
      </c>
    </row>
    <row r="565">
      <c r="A565" s="2">
        <f>'Adj Close Prices'!A1309</f>
        <v/>
      </c>
      <c r="B565" s="5">
        <f>0.33000000*'Adj Close Prices'!B1309+0.12700000*'Adj Close Prices'!C1309+0.12000000*'Adj Close Prices'!D1309+0.08600000*'Adj Close Prices'!E1309+0.33700000*'Adj Close Prices'!F1309</f>
        <v/>
      </c>
      <c r="C565" s="13">
        <f>C564*(1+B565)</f>
        <v/>
      </c>
    </row>
    <row r="566">
      <c r="A566" s="2">
        <f>'Adj Close Prices'!A1310</f>
        <v/>
      </c>
      <c r="B566" s="5">
        <f>0.33000000*'Adj Close Prices'!B1310+0.12700000*'Adj Close Prices'!C1310+0.12000000*'Adj Close Prices'!D1310+0.08600000*'Adj Close Prices'!E1310+0.33700000*'Adj Close Prices'!F1310</f>
        <v/>
      </c>
      <c r="C566" s="13">
        <f>C565*(1+B566)</f>
        <v/>
      </c>
    </row>
    <row r="567">
      <c r="A567" s="2">
        <f>'Adj Close Prices'!A1311</f>
        <v/>
      </c>
      <c r="B567" s="5">
        <f>0.33000000*'Adj Close Prices'!B1311+0.12700000*'Adj Close Prices'!C1311+0.12000000*'Adj Close Prices'!D1311+0.08600000*'Adj Close Prices'!E1311+0.33700000*'Adj Close Prices'!F1311</f>
        <v/>
      </c>
      <c r="C567" s="13">
        <f>C566*(1+B567)</f>
        <v/>
      </c>
    </row>
    <row r="568">
      <c r="A568" s="2">
        <f>'Adj Close Prices'!A1312</f>
        <v/>
      </c>
      <c r="B568" s="5">
        <f>0.33000000*'Adj Close Prices'!B1312+0.12700000*'Adj Close Prices'!C1312+0.12000000*'Adj Close Prices'!D1312+0.08600000*'Adj Close Prices'!E1312+0.33700000*'Adj Close Prices'!F1312</f>
        <v/>
      </c>
      <c r="C568" s="13">
        <f>C567*(1+B568)</f>
        <v/>
      </c>
    </row>
    <row r="569">
      <c r="A569" s="2">
        <f>'Adj Close Prices'!A1313</f>
        <v/>
      </c>
      <c r="B569" s="5">
        <f>0.33000000*'Adj Close Prices'!B1313+0.12700000*'Adj Close Prices'!C1313+0.12000000*'Adj Close Prices'!D1313+0.08600000*'Adj Close Prices'!E1313+0.33700000*'Adj Close Prices'!F1313</f>
        <v/>
      </c>
      <c r="C569" s="13">
        <f>C568*(1+B569)</f>
        <v/>
      </c>
    </row>
    <row r="570">
      <c r="A570" s="2">
        <f>'Adj Close Prices'!A1314</f>
        <v/>
      </c>
      <c r="B570" s="5">
        <f>0.33000000*'Adj Close Prices'!B1314+0.12700000*'Adj Close Prices'!C1314+0.12000000*'Adj Close Prices'!D1314+0.08600000*'Adj Close Prices'!E1314+0.33700000*'Adj Close Prices'!F1314</f>
        <v/>
      </c>
      <c r="C570" s="13">
        <f>C569*(1+B570)</f>
        <v/>
      </c>
    </row>
    <row r="571">
      <c r="A571" s="2">
        <f>'Adj Close Prices'!A1315</f>
        <v/>
      </c>
      <c r="B571" s="5">
        <f>0.33000000*'Adj Close Prices'!B1315+0.12700000*'Adj Close Prices'!C1315+0.12000000*'Adj Close Prices'!D1315+0.08600000*'Adj Close Prices'!E1315+0.33700000*'Adj Close Prices'!F1315</f>
        <v/>
      </c>
      <c r="C571" s="13">
        <f>C570*(1+B571)</f>
        <v/>
      </c>
    </row>
    <row r="572">
      <c r="A572" s="2">
        <f>'Adj Close Prices'!A1316</f>
        <v/>
      </c>
      <c r="B572" s="5">
        <f>0.33000000*'Adj Close Prices'!B1316+0.12700000*'Adj Close Prices'!C1316+0.12000000*'Adj Close Prices'!D1316+0.08600000*'Adj Close Prices'!E1316+0.33700000*'Adj Close Prices'!F1316</f>
        <v/>
      </c>
      <c r="C572" s="13">
        <f>C571*(1+B572)</f>
        <v/>
      </c>
    </row>
    <row r="573">
      <c r="A573" s="2">
        <f>'Adj Close Prices'!A1317</f>
        <v/>
      </c>
      <c r="B573" s="5">
        <f>0.33000000*'Adj Close Prices'!B1317+0.12700000*'Adj Close Prices'!C1317+0.12000000*'Adj Close Prices'!D1317+0.08600000*'Adj Close Prices'!E1317+0.33700000*'Adj Close Prices'!F1317</f>
        <v/>
      </c>
      <c r="C573" s="13">
        <f>C572*(1+B573)</f>
        <v/>
      </c>
    </row>
    <row r="574">
      <c r="A574" s="2">
        <f>'Adj Close Prices'!A1318</f>
        <v/>
      </c>
      <c r="B574" s="5">
        <f>0.33000000*'Adj Close Prices'!B1318+0.12700000*'Adj Close Prices'!C1318+0.12000000*'Adj Close Prices'!D1318+0.08600000*'Adj Close Prices'!E1318+0.33700000*'Adj Close Prices'!F1318</f>
        <v/>
      </c>
      <c r="C574" s="13">
        <f>C573*(1+B574)</f>
        <v/>
      </c>
    </row>
    <row r="575">
      <c r="A575" s="2">
        <f>'Adj Close Prices'!A1319</f>
        <v/>
      </c>
      <c r="B575" s="5">
        <f>0.33000000*'Adj Close Prices'!B1319+0.12700000*'Adj Close Prices'!C1319+0.12000000*'Adj Close Prices'!D1319+0.08600000*'Adj Close Prices'!E1319+0.33700000*'Adj Close Prices'!F1319</f>
        <v/>
      </c>
      <c r="C575" s="13">
        <f>C574*(1+B575)</f>
        <v/>
      </c>
    </row>
    <row r="576">
      <c r="A576" s="2">
        <f>'Adj Close Prices'!A1320</f>
        <v/>
      </c>
      <c r="B576" s="5">
        <f>0.33000000*'Adj Close Prices'!B1320+0.12700000*'Adj Close Prices'!C1320+0.12000000*'Adj Close Prices'!D1320+0.08600000*'Adj Close Prices'!E1320+0.33700000*'Adj Close Prices'!F1320</f>
        <v/>
      </c>
      <c r="C576" s="13">
        <f>C575*(1+B576)</f>
        <v/>
      </c>
    </row>
    <row r="577">
      <c r="A577" s="2">
        <f>'Adj Close Prices'!A1321</f>
        <v/>
      </c>
      <c r="B577" s="5">
        <f>0.33000000*'Adj Close Prices'!B1321+0.12700000*'Adj Close Prices'!C1321+0.12000000*'Adj Close Prices'!D1321+0.08600000*'Adj Close Prices'!E1321+0.33700000*'Adj Close Prices'!F1321</f>
        <v/>
      </c>
      <c r="C577" s="13">
        <f>C576*(1+B577)</f>
        <v/>
      </c>
    </row>
    <row r="578">
      <c r="A578" s="2">
        <f>'Adj Close Prices'!A1322</f>
        <v/>
      </c>
      <c r="B578" s="5">
        <f>0.33000000*'Adj Close Prices'!B1322+0.12700000*'Adj Close Prices'!C1322+0.12000000*'Adj Close Prices'!D1322+0.08600000*'Adj Close Prices'!E1322+0.33700000*'Adj Close Prices'!F1322</f>
        <v/>
      </c>
      <c r="C578" s="13">
        <f>C577*(1+B578)</f>
        <v/>
      </c>
    </row>
    <row r="579">
      <c r="A579" s="2">
        <f>'Adj Close Prices'!A1323</f>
        <v/>
      </c>
      <c r="B579" s="5">
        <f>0.33000000*'Adj Close Prices'!B1323+0.12700000*'Adj Close Prices'!C1323+0.12000000*'Adj Close Prices'!D1323+0.08600000*'Adj Close Prices'!E1323+0.33700000*'Adj Close Prices'!F1323</f>
        <v/>
      </c>
      <c r="C579" s="13">
        <f>C578*(1+B579)</f>
        <v/>
      </c>
    </row>
    <row r="580">
      <c r="A580" s="2">
        <f>'Adj Close Prices'!A1324</f>
        <v/>
      </c>
      <c r="B580" s="5">
        <f>0.33000000*'Adj Close Prices'!B1324+0.12700000*'Adj Close Prices'!C1324+0.12000000*'Adj Close Prices'!D1324+0.08600000*'Adj Close Prices'!E1324+0.33700000*'Adj Close Prices'!F1324</f>
        <v/>
      </c>
      <c r="C580" s="13">
        <f>C579*(1+B580)</f>
        <v/>
      </c>
    </row>
    <row r="581">
      <c r="A581" s="2">
        <f>'Adj Close Prices'!A1325</f>
        <v/>
      </c>
      <c r="B581" s="5">
        <f>0.33000000*'Adj Close Prices'!B1325+0.12700000*'Adj Close Prices'!C1325+0.12000000*'Adj Close Prices'!D1325+0.08600000*'Adj Close Prices'!E1325+0.33700000*'Adj Close Prices'!F1325</f>
        <v/>
      </c>
      <c r="C581" s="13">
        <f>C580*(1+B581)</f>
        <v/>
      </c>
    </row>
    <row r="582">
      <c r="A582" s="2">
        <f>'Adj Close Prices'!A1326</f>
        <v/>
      </c>
      <c r="B582" s="5">
        <f>0.33000000*'Adj Close Prices'!B1326+0.12700000*'Adj Close Prices'!C1326+0.12000000*'Adj Close Prices'!D1326+0.08600000*'Adj Close Prices'!E1326+0.33700000*'Adj Close Prices'!F1326</f>
        <v/>
      </c>
      <c r="C582" s="13">
        <f>C581*(1+B582)</f>
        <v/>
      </c>
    </row>
    <row r="583">
      <c r="A583" s="2">
        <f>'Adj Close Prices'!A1327</f>
        <v/>
      </c>
      <c r="B583" s="5">
        <f>0.33000000*'Adj Close Prices'!B1327+0.12700000*'Adj Close Prices'!C1327+0.12000000*'Adj Close Prices'!D1327+0.08600000*'Adj Close Prices'!E1327+0.33700000*'Adj Close Prices'!F1327</f>
        <v/>
      </c>
      <c r="C583" s="13">
        <f>C582*(1+B583)</f>
        <v/>
      </c>
    </row>
    <row r="584">
      <c r="A584" s="2">
        <f>'Adj Close Prices'!A1328</f>
        <v/>
      </c>
      <c r="B584" s="5">
        <f>0.33000000*'Adj Close Prices'!B1328+0.12700000*'Adj Close Prices'!C1328+0.12000000*'Adj Close Prices'!D1328+0.08600000*'Adj Close Prices'!E1328+0.33700000*'Adj Close Prices'!F1328</f>
        <v/>
      </c>
      <c r="C584" s="13">
        <f>C583*(1+B584)</f>
        <v/>
      </c>
    </row>
    <row r="585">
      <c r="A585" s="2">
        <f>'Adj Close Prices'!A1329</f>
        <v/>
      </c>
      <c r="B585" s="5">
        <f>0.33000000*'Adj Close Prices'!B1329+0.12700000*'Adj Close Prices'!C1329+0.12000000*'Adj Close Prices'!D1329+0.08600000*'Adj Close Prices'!E1329+0.33700000*'Adj Close Prices'!F1329</f>
        <v/>
      </c>
      <c r="C585" s="13">
        <f>C584*(1+B585)</f>
        <v/>
      </c>
    </row>
    <row r="586">
      <c r="A586" s="2">
        <f>'Adj Close Prices'!A1330</f>
        <v/>
      </c>
      <c r="B586" s="5">
        <f>0.33000000*'Adj Close Prices'!B1330+0.12700000*'Adj Close Prices'!C1330+0.12000000*'Adj Close Prices'!D1330+0.08600000*'Adj Close Prices'!E1330+0.33700000*'Adj Close Prices'!F1330</f>
        <v/>
      </c>
      <c r="C586" s="13">
        <f>C585*(1+B586)</f>
        <v/>
      </c>
    </row>
    <row r="587">
      <c r="A587" s="2">
        <f>'Adj Close Prices'!A1331</f>
        <v/>
      </c>
      <c r="B587" s="5">
        <f>0.33000000*'Adj Close Prices'!B1331+0.12700000*'Adj Close Prices'!C1331+0.12000000*'Adj Close Prices'!D1331+0.08600000*'Adj Close Prices'!E1331+0.33700000*'Adj Close Prices'!F1331</f>
        <v/>
      </c>
      <c r="C587" s="13">
        <f>C586*(1+B587)</f>
        <v/>
      </c>
    </row>
    <row r="588">
      <c r="A588" s="2">
        <f>'Adj Close Prices'!A1332</f>
        <v/>
      </c>
      <c r="B588" s="5">
        <f>0.33000000*'Adj Close Prices'!B1332+0.12700000*'Adj Close Prices'!C1332+0.12000000*'Adj Close Prices'!D1332+0.08600000*'Adj Close Prices'!E1332+0.33700000*'Adj Close Prices'!F1332</f>
        <v/>
      </c>
      <c r="C588" s="13">
        <f>C587*(1+B588)</f>
        <v/>
      </c>
    </row>
    <row r="589">
      <c r="A589" s="2">
        <f>'Adj Close Prices'!A1333</f>
        <v/>
      </c>
      <c r="B589" s="5">
        <f>0.33000000*'Adj Close Prices'!B1333+0.12700000*'Adj Close Prices'!C1333+0.12000000*'Adj Close Prices'!D1333+0.08600000*'Adj Close Prices'!E1333+0.33700000*'Adj Close Prices'!F1333</f>
        <v/>
      </c>
      <c r="C589" s="13">
        <f>C588*(1+B589)</f>
        <v/>
      </c>
    </row>
    <row r="590">
      <c r="A590" s="2">
        <f>'Adj Close Prices'!A1334</f>
        <v/>
      </c>
      <c r="B590" s="5">
        <f>0.33000000*'Adj Close Prices'!B1334+0.12700000*'Adj Close Prices'!C1334+0.12000000*'Adj Close Prices'!D1334+0.08600000*'Adj Close Prices'!E1334+0.33700000*'Adj Close Prices'!F1334</f>
        <v/>
      </c>
      <c r="C590" s="13">
        <f>C589*(1+B590)</f>
        <v/>
      </c>
    </row>
    <row r="591">
      <c r="A591" s="2">
        <f>'Adj Close Prices'!A1335</f>
        <v/>
      </c>
      <c r="B591" s="5">
        <f>0.33000000*'Adj Close Prices'!B1335+0.12700000*'Adj Close Prices'!C1335+0.12000000*'Adj Close Prices'!D1335+0.08600000*'Adj Close Prices'!E1335+0.33700000*'Adj Close Prices'!F1335</f>
        <v/>
      </c>
      <c r="C591" s="13">
        <f>C590*(1+B591)</f>
        <v/>
      </c>
    </row>
    <row r="592">
      <c r="A592" s="2">
        <f>'Adj Close Prices'!A1336</f>
        <v/>
      </c>
      <c r="B592" s="5">
        <f>0.33000000*'Adj Close Prices'!B1336+0.12700000*'Adj Close Prices'!C1336+0.12000000*'Adj Close Prices'!D1336+0.08600000*'Adj Close Prices'!E1336+0.33700000*'Adj Close Prices'!F1336</f>
        <v/>
      </c>
      <c r="C592" s="13">
        <f>C591*(1+B592)</f>
        <v/>
      </c>
    </row>
    <row r="593">
      <c r="A593" s="2">
        <f>'Adj Close Prices'!A1337</f>
        <v/>
      </c>
      <c r="B593" s="5">
        <f>0.33000000*'Adj Close Prices'!B1337+0.12700000*'Adj Close Prices'!C1337+0.12000000*'Adj Close Prices'!D1337+0.08600000*'Adj Close Prices'!E1337+0.33700000*'Adj Close Prices'!F1337</f>
        <v/>
      </c>
      <c r="C593" s="13">
        <f>C592*(1+B593)</f>
        <v/>
      </c>
    </row>
    <row r="594">
      <c r="A594" s="2">
        <f>'Adj Close Prices'!A1338</f>
        <v/>
      </c>
      <c r="B594" s="5">
        <f>0.33000000*'Adj Close Prices'!B1338+0.12700000*'Adj Close Prices'!C1338+0.12000000*'Adj Close Prices'!D1338+0.08600000*'Adj Close Prices'!E1338+0.33700000*'Adj Close Prices'!F1338</f>
        <v/>
      </c>
      <c r="C594" s="13">
        <f>C593*(1+B594)</f>
        <v/>
      </c>
    </row>
    <row r="595">
      <c r="A595" s="2">
        <f>'Adj Close Prices'!A1339</f>
        <v/>
      </c>
      <c r="B595" s="5">
        <f>0.33000000*'Adj Close Prices'!B1339+0.12700000*'Adj Close Prices'!C1339+0.12000000*'Adj Close Prices'!D1339+0.08600000*'Adj Close Prices'!E1339+0.33700000*'Adj Close Prices'!F1339</f>
        <v/>
      </c>
      <c r="C595" s="13">
        <f>C594*(1+B595)</f>
        <v/>
      </c>
    </row>
    <row r="596">
      <c r="A596" s="2">
        <f>'Adj Close Prices'!A1340</f>
        <v/>
      </c>
      <c r="B596" s="5">
        <f>0.33000000*'Adj Close Prices'!B1340+0.12700000*'Adj Close Prices'!C1340+0.12000000*'Adj Close Prices'!D1340+0.08600000*'Adj Close Prices'!E1340+0.33700000*'Adj Close Prices'!F1340</f>
        <v/>
      </c>
      <c r="C596" s="13">
        <f>C595*(1+B596)</f>
        <v/>
      </c>
    </row>
    <row r="597">
      <c r="A597" s="2">
        <f>'Adj Close Prices'!A1341</f>
        <v/>
      </c>
      <c r="B597" s="5">
        <f>0.33000000*'Adj Close Prices'!B1341+0.12700000*'Adj Close Prices'!C1341+0.12000000*'Adj Close Prices'!D1341+0.08600000*'Adj Close Prices'!E1341+0.33700000*'Adj Close Prices'!F1341</f>
        <v/>
      </c>
      <c r="C597" s="13">
        <f>C596*(1+B597)</f>
        <v/>
      </c>
    </row>
    <row r="598">
      <c r="A598" s="2">
        <f>'Adj Close Prices'!A1342</f>
        <v/>
      </c>
      <c r="B598" s="5">
        <f>0.33000000*'Adj Close Prices'!B1342+0.12700000*'Adj Close Prices'!C1342+0.12000000*'Adj Close Prices'!D1342+0.08600000*'Adj Close Prices'!E1342+0.33700000*'Adj Close Prices'!F1342</f>
        <v/>
      </c>
      <c r="C598" s="13">
        <f>C597*(1+B598)</f>
        <v/>
      </c>
    </row>
    <row r="599">
      <c r="A599" s="2">
        <f>'Adj Close Prices'!A1343</f>
        <v/>
      </c>
      <c r="B599" s="5">
        <f>0.33000000*'Adj Close Prices'!B1343+0.12700000*'Adj Close Prices'!C1343+0.12000000*'Adj Close Prices'!D1343+0.08600000*'Adj Close Prices'!E1343+0.33700000*'Adj Close Prices'!F1343</f>
        <v/>
      </c>
      <c r="C599" s="13">
        <f>C598*(1+B599)</f>
        <v/>
      </c>
    </row>
    <row r="600">
      <c r="A600" s="2">
        <f>'Adj Close Prices'!A1344</f>
        <v/>
      </c>
      <c r="B600" s="5">
        <f>0.33000000*'Adj Close Prices'!B1344+0.12700000*'Adj Close Prices'!C1344+0.12000000*'Adj Close Prices'!D1344+0.08600000*'Adj Close Prices'!E1344+0.33700000*'Adj Close Prices'!F1344</f>
        <v/>
      </c>
      <c r="C600" s="13">
        <f>C599*(1+B600)</f>
        <v/>
      </c>
    </row>
    <row r="601">
      <c r="A601" s="2">
        <f>'Adj Close Prices'!A1345</f>
        <v/>
      </c>
      <c r="B601" s="5">
        <f>0.33000000*'Adj Close Prices'!B1345+0.12700000*'Adj Close Prices'!C1345+0.12000000*'Adj Close Prices'!D1345+0.08600000*'Adj Close Prices'!E1345+0.33700000*'Adj Close Prices'!F1345</f>
        <v/>
      </c>
      <c r="C601" s="13">
        <f>C600*(1+B601)</f>
        <v/>
      </c>
    </row>
    <row r="602">
      <c r="A602" s="2">
        <f>'Adj Close Prices'!A1346</f>
        <v/>
      </c>
      <c r="B602" s="5">
        <f>0.33000000*'Adj Close Prices'!B1346+0.12700000*'Adj Close Prices'!C1346+0.12000000*'Adj Close Prices'!D1346+0.08600000*'Adj Close Prices'!E1346+0.33700000*'Adj Close Prices'!F1346</f>
        <v/>
      </c>
      <c r="C602" s="13">
        <f>C601*(1+B602)</f>
        <v/>
      </c>
    </row>
    <row r="603">
      <c r="A603" s="2">
        <f>'Adj Close Prices'!A1347</f>
        <v/>
      </c>
      <c r="B603" s="5">
        <f>0.33000000*'Adj Close Prices'!B1347+0.12700000*'Adj Close Prices'!C1347+0.12000000*'Adj Close Prices'!D1347+0.08600000*'Adj Close Prices'!E1347+0.33700000*'Adj Close Prices'!F1347</f>
        <v/>
      </c>
      <c r="C603" s="13">
        <f>C602*(1+B603)</f>
        <v/>
      </c>
    </row>
    <row r="604">
      <c r="A604" s="2">
        <f>'Adj Close Prices'!A1348</f>
        <v/>
      </c>
      <c r="B604" s="5">
        <f>0.33000000*'Adj Close Prices'!B1348+0.12700000*'Adj Close Prices'!C1348+0.12000000*'Adj Close Prices'!D1348+0.08600000*'Adj Close Prices'!E1348+0.33700000*'Adj Close Prices'!F1348</f>
        <v/>
      </c>
      <c r="C604" s="13">
        <f>C603*(1+B604)</f>
        <v/>
      </c>
    </row>
    <row r="605">
      <c r="A605" s="2">
        <f>'Adj Close Prices'!A1349</f>
        <v/>
      </c>
      <c r="B605" s="5">
        <f>0.33000000*'Adj Close Prices'!B1349+0.12700000*'Adj Close Prices'!C1349+0.12000000*'Adj Close Prices'!D1349+0.08600000*'Adj Close Prices'!E1349+0.33700000*'Adj Close Prices'!F1349</f>
        <v/>
      </c>
      <c r="C605" s="13">
        <f>C604*(1+B605)</f>
        <v/>
      </c>
    </row>
    <row r="606">
      <c r="A606" s="2">
        <f>'Adj Close Prices'!A1350</f>
        <v/>
      </c>
      <c r="B606" s="5">
        <f>0.33000000*'Adj Close Prices'!B1350+0.12700000*'Adj Close Prices'!C1350+0.12000000*'Adj Close Prices'!D1350+0.08600000*'Adj Close Prices'!E1350+0.33700000*'Adj Close Prices'!F1350</f>
        <v/>
      </c>
      <c r="C606" s="13">
        <f>C605*(1+B606)</f>
        <v/>
      </c>
    </row>
    <row r="607">
      <c r="A607" s="2">
        <f>'Adj Close Prices'!A1351</f>
        <v/>
      </c>
      <c r="B607" s="5">
        <f>0.33000000*'Adj Close Prices'!B1351+0.12700000*'Adj Close Prices'!C1351+0.12000000*'Adj Close Prices'!D1351+0.08600000*'Adj Close Prices'!E1351+0.33700000*'Adj Close Prices'!F1351</f>
        <v/>
      </c>
      <c r="C607" s="13">
        <f>C606*(1+B607)</f>
        <v/>
      </c>
    </row>
    <row r="608">
      <c r="A608" s="2">
        <f>'Adj Close Prices'!A1352</f>
        <v/>
      </c>
      <c r="B608" s="5">
        <f>0.33000000*'Adj Close Prices'!B1352+0.12700000*'Adj Close Prices'!C1352+0.12000000*'Adj Close Prices'!D1352+0.08600000*'Adj Close Prices'!E1352+0.33700000*'Adj Close Prices'!F1352</f>
        <v/>
      </c>
      <c r="C608" s="13">
        <f>C607*(1+B608)</f>
        <v/>
      </c>
    </row>
    <row r="609">
      <c r="A609" s="2">
        <f>'Adj Close Prices'!A1353</f>
        <v/>
      </c>
      <c r="B609" s="5">
        <f>0.33000000*'Adj Close Prices'!B1353+0.12700000*'Adj Close Prices'!C1353+0.12000000*'Adj Close Prices'!D1353+0.08600000*'Adj Close Prices'!E1353+0.33700000*'Adj Close Prices'!F1353</f>
        <v/>
      </c>
      <c r="C609" s="13">
        <f>C608*(1+B609)</f>
        <v/>
      </c>
    </row>
    <row r="610">
      <c r="A610" s="2">
        <f>'Adj Close Prices'!A1354</f>
        <v/>
      </c>
      <c r="B610" s="5">
        <f>0.33000000*'Adj Close Prices'!B1354+0.12700000*'Adj Close Prices'!C1354+0.12000000*'Adj Close Prices'!D1354+0.08600000*'Adj Close Prices'!E1354+0.33700000*'Adj Close Prices'!F1354</f>
        <v/>
      </c>
      <c r="C610" s="13">
        <f>C609*(1+B610)</f>
        <v/>
      </c>
    </row>
    <row r="611">
      <c r="A611" s="2">
        <f>'Adj Close Prices'!A1355</f>
        <v/>
      </c>
      <c r="B611" s="5">
        <f>0.33000000*'Adj Close Prices'!B1355+0.12700000*'Adj Close Prices'!C1355+0.12000000*'Adj Close Prices'!D1355+0.08600000*'Adj Close Prices'!E1355+0.33700000*'Adj Close Prices'!F1355</f>
        <v/>
      </c>
      <c r="C611" s="13">
        <f>C610*(1+B611)</f>
        <v/>
      </c>
    </row>
    <row r="612">
      <c r="A612" s="2">
        <f>'Adj Close Prices'!A1356</f>
        <v/>
      </c>
      <c r="B612" s="5">
        <f>0.33000000*'Adj Close Prices'!B1356+0.12700000*'Adj Close Prices'!C1356+0.12000000*'Adj Close Prices'!D1356+0.08600000*'Adj Close Prices'!E1356+0.33700000*'Adj Close Prices'!F1356</f>
        <v/>
      </c>
      <c r="C612" s="13">
        <f>C611*(1+B612)</f>
        <v/>
      </c>
    </row>
    <row r="613">
      <c r="A613" s="2">
        <f>'Adj Close Prices'!A1357</f>
        <v/>
      </c>
      <c r="B613" s="5">
        <f>0.33000000*'Adj Close Prices'!B1357+0.12700000*'Adj Close Prices'!C1357+0.12000000*'Adj Close Prices'!D1357+0.08600000*'Adj Close Prices'!E1357+0.33700000*'Adj Close Prices'!F1357</f>
        <v/>
      </c>
      <c r="C613" s="13">
        <f>C612*(1+B613)</f>
        <v/>
      </c>
    </row>
    <row r="614">
      <c r="A614" s="2">
        <f>'Adj Close Prices'!A1358</f>
        <v/>
      </c>
      <c r="B614" s="5">
        <f>0.33000000*'Adj Close Prices'!B1358+0.12700000*'Adj Close Prices'!C1358+0.12000000*'Adj Close Prices'!D1358+0.08600000*'Adj Close Prices'!E1358+0.33700000*'Adj Close Prices'!F1358</f>
        <v/>
      </c>
      <c r="C614" s="13">
        <f>C613*(1+B614)</f>
        <v/>
      </c>
    </row>
    <row r="615">
      <c r="A615" s="2">
        <f>'Adj Close Prices'!A1359</f>
        <v/>
      </c>
      <c r="B615" s="5">
        <f>0.33000000*'Adj Close Prices'!B1359+0.12700000*'Adj Close Prices'!C1359+0.12000000*'Adj Close Prices'!D1359+0.08600000*'Adj Close Prices'!E1359+0.33700000*'Adj Close Prices'!F1359</f>
        <v/>
      </c>
      <c r="C615" s="13">
        <f>C614*(1+B615)</f>
        <v/>
      </c>
    </row>
    <row r="616">
      <c r="A616" s="2">
        <f>'Adj Close Prices'!A1360</f>
        <v/>
      </c>
      <c r="B616" s="5">
        <f>0.33000000*'Adj Close Prices'!B1360+0.12700000*'Adj Close Prices'!C1360+0.12000000*'Adj Close Prices'!D1360+0.08600000*'Adj Close Prices'!E1360+0.33700000*'Adj Close Prices'!F1360</f>
        <v/>
      </c>
      <c r="C616" s="13">
        <f>C615*(1+B616)</f>
        <v/>
      </c>
    </row>
    <row r="617">
      <c r="A617" s="2">
        <f>'Adj Close Prices'!A1361</f>
        <v/>
      </c>
      <c r="B617" s="5">
        <f>0.33000000*'Adj Close Prices'!B1361+0.12700000*'Adj Close Prices'!C1361+0.12000000*'Adj Close Prices'!D1361+0.08600000*'Adj Close Prices'!E1361+0.33700000*'Adj Close Prices'!F1361</f>
        <v/>
      </c>
      <c r="C617" s="13">
        <f>C616*(1+B617)</f>
        <v/>
      </c>
    </row>
    <row r="618">
      <c r="A618" s="2">
        <f>'Adj Close Prices'!A1362</f>
        <v/>
      </c>
      <c r="B618" s="5">
        <f>0.33000000*'Adj Close Prices'!B1362+0.12700000*'Adj Close Prices'!C1362+0.12000000*'Adj Close Prices'!D1362+0.08600000*'Adj Close Prices'!E1362+0.33700000*'Adj Close Prices'!F1362</f>
        <v/>
      </c>
      <c r="C618" s="13">
        <f>C617*(1+B618)</f>
        <v/>
      </c>
    </row>
    <row r="619">
      <c r="A619" s="2">
        <f>'Adj Close Prices'!A1363</f>
        <v/>
      </c>
      <c r="B619" s="5">
        <f>0.33000000*'Adj Close Prices'!B1363+0.12700000*'Adj Close Prices'!C1363+0.12000000*'Adj Close Prices'!D1363+0.08600000*'Adj Close Prices'!E1363+0.33700000*'Adj Close Prices'!F1363</f>
        <v/>
      </c>
      <c r="C619" s="13">
        <f>C618*(1+B619)</f>
        <v/>
      </c>
    </row>
    <row r="620">
      <c r="A620" s="2">
        <f>'Adj Close Prices'!A1364</f>
        <v/>
      </c>
      <c r="B620" s="5">
        <f>0.33000000*'Adj Close Prices'!B1364+0.12700000*'Adj Close Prices'!C1364+0.12000000*'Adj Close Prices'!D1364+0.08600000*'Adj Close Prices'!E1364+0.33700000*'Adj Close Prices'!F1364</f>
        <v/>
      </c>
      <c r="C620" s="13">
        <f>C619*(1+B620)</f>
        <v/>
      </c>
    </row>
    <row r="621">
      <c r="A621" s="2">
        <f>'Adj Close Prices'!A1365</f>
        <v/>
      </c>
      <c r="B621" s="5">
        <f>0.33000000*'Adj Close Prices'!B1365+0.12700000*'Adj Close Prices'!C1365+0.12000000*'Adj Close Prices'!D1365+0.08600000*'Adj Close Prices'!E1365+0.33700000*'Adj Close Prices'!F1365</f>
        <v/>
      </c>
      <c r="C621" s="13">
        <f>C620*(1+B621)</f>
        <v/>
      </c>
    </row>
    <row r="622">
      <c r="A622" s="2">
        <f>'Adj Close Prices'!A1366</f>
        <v/>
      </c>
      <c r="B622" s="5">
        <f>0.33000000*'Adj Close Prices'!B1366+0.12700000*'Adj Close Prices'!C1366+0.12000000*'Adj Close Prices'!D1366+0.08600000*'Adj Close Prices'!E1366+0.33700000*'Adj Close Prices'!F1366</f>
        <v/>
      </c>
      <c r="C622" s="13">
        <f>C621*(1+B622)</f>
        <v/>
      </c>
    </row>
    <row r="623">
      <c r="A623" s="2">
        <f>'Adj Close Prices'!A1367</f>
        <v/>
      </c>
      <c r="B623" s="5">
        <f>0.33000000*'Adj Close Prices'!B1367+0.12700000*'Adj Close Prices'!C1367+0.12000000*'Adj Close Prices'!D1367+0.08600000*'Adj Close Prices'!E1367+0.33700000*'Adj Close Prices'!F1367</f>
        <v/>
      </c>
      <c r="C623" s="13">
        <f>C622*(1+B623)</f>
        <v/>
      </c>
    </row>
    <row r="624">
      <c r="A624" s="2">
        <f>'Adj Close Prices'!A1368</f>
        <v/>
      </c>
      <c r="B624" s="5">
        <f>0.33000000*'Adj Close Prices'!B1368+0.12700000*'Adj Close Prices'!C1368+0.12000000*'Adj Close Prices'!D1368+0.08600000*'Adj Close Prices'!E1368+0.33700000*'Adj Close Prices'!F1368</f>
        <v/>
      </c>
      <c r="C624" s="13">
        <f>C623*(1+B624)</f>
        <v/>
      </c>
    </row>
    <row r="625">
      <c r="A625" s="2">
        <f>'Adj Close Prices'!A1369</f>
        <v/>
      </c>
      <c r="B625" s="5">
        <f>0.33000000*'Adj Close Prices'!B1369+0.12700000*'Adj Close Prices'!C1369+0.12000000*'Adj Close Prices'!D1369+0.08600000*'Adj Close Prices'!E1369+0.33700000*'Adj Close Prices'!F1369</f>
        <v/>
      </c>
      <c r="C625" s="13">
        <f>C624*(1+B625)</f>
        <v/>
      </c>
    </row>
    <row r="626">
      <c r="A626" s="2">
        <f>'Adj Close Prices'!A1370</f>
        <v/>
      </c>
      <c r="B626" s="5">
        <f>0.33000000*'Adj Close Prices'!B1370+0.12700000*'Adj Close Prices'!C1370+0.12000000*'Adj Close Prices'!D1370+0.08600000*'Adj Close Prices'!E1370+0.33700000*'Adj Close Prices'!F1370</f>
        <v/>
      </c>
      <c r="C626" s="13">
        <f>C625*(1+B626)</f>
        <v/>
      </c>
    </row>
    <row r="627">
      <c r="A627" s="2">
        <f>'Adj Close Prices'!A1371</f>
        <v/>
      </c>
      <c r="B627" s="5">
        <f>0.33000000*'Adj Close Prices'!B1371+0.12700000*'Adj Close Prices'!C1371+0.12000000*'Adj Close Prices'!D1371+0.08600000*'Adj Close Prices'!E1371+0.33700000*'Adj Close Prices'!F1371</f>
        <v/>
      </c>
      <c r="C627" s="13">
        <f>C626*(1+B627)</f>
        <v/>
      </c>
    </row>
    <row r="628">
      <c r="A628" s="2">
        <f>'Adj Close Prices'!A1372</f>
        <v/>
      </c>
      <c r="B628" s="5">
        <f>0.33000000*'Adj Close Prices'!B1372+0.12700000*'Adj Close Prices'!C1372+0.12000000*'Adj Close Prices'!D1372+0.08600000*'Adj Close Prices'!E1372+0.33700000*'Adj Close Prices'!F1372</f>
        <v/>
      </c>
      <c r="C628" s="13">
        <f>C627*(1+B628)</f>
        <v/>
      </c>
    </row>
    <row r="629">
      <c r="A629" s="2">
        <f>'Adj Close Prices'!A1373</f>
        <v/>
      </c>
      <c r="B629" s="5">
        <f>0.33000000*'Adj Close Prices'!B1373+0.12700000*'Adj Close Prices'!C1373+0.12000000*'Adj Close Prices'!D1373+0.08600000*'Adj Close Prices'!E1373+0.33700000*'Adj Close Prices'!F1373</f>
        <v/>
      </c>
      <c r="C629" s="13">
        <f>C628*(1+B629)</f>
        <v/>
      </c>
    </row>
    <row r="630">
      <c r="A630" s="2">
        <f>'Adj Close Prices'!A1374</f>
        <v/>
      </c>
      <c r="B630" s="5">
        <f>0.33000000*'Adj Close Prices'!B1374+0.12700000*'Adj Close Prices'!C1374+0.12000000*'Adj Close Prices'!D1374+0.08600000*'Adj Close Prices'!E1374+0.33700000*'Adj Close Prices'!F1374</f>
        <v/>
      </c>
      <c r="C630" s="13">
        <f>C629*(1+B630)</f>
        <v/>
      </c>
    </row>
    <row r="631">
      <c r="A631" s="2">
        <f>'Adj Close Prices'!A1375</f>
        <v/>
      </c>
      <c r="B631" s="5">
        <f>0.33000000*'Adj Close Prices'!B1375+0.12700000*'Adj Close Prices'!C1375+0.12000000*'Adj Close Prices'!D1375+0.08600000*'Adj Close Prices'!E1375+0.33700000*'Adj Close Prices'!F1375</f>
        <v/>
      </c>
      <c r="C631" s="13">
        <f>C630*(1+B631)</f>
        <v/>
      </c>
    </row>
    <row r="632">
      <c r="A632" s="2">
        <f>'Adj Close Prices'!A1376</f>
        <v/>
      </c>
      <c r="B632" s="5">
        <f>0.33000000*'Adj Close Prices'!B1376+0.12700000*'Adj Close Prices'!C1376+0.12000000*'Adj Close Prices'!D1376+0.08600000*'Adj Close Prices'!E1376+0.33700000*'Adj Close Prices'!F1376</f>
        <v/>
      </c>
      <c r="C632" s="13">
        <f>C631*(1+B632)</f>
        <v/>
      </c>
    </row>
    <row r="633">
      <c r="A633" s="2">
        <f>'Adj Close Prices'!A1377</f>
        <v/>
      </c>
      <c r="B633" s="5">
        <f>0.33000000*'Adj Close Prices'!B1377+0.12700000*'Adj Close Prices'!C1377+0.12000000*'Adj Close Prices'!D1377+0.08600000*'Adj Close Prices'!E1377+0.33700000*'Adj Close Prices'!F1377</f>
        <v/>
      </c>
      <c r="C633" s="13">
        <f>C632*(1+B633)</f>
        <v/>
      </c>
    </row>
    <row r="634">
      <c r="A634" s="2">
        <f>'Adj Close Prices'!A1378</f>
        <v/>
      </c>
      <c r="B634" s="5">
        <f>0.33000000*'Adj Close Prices'!B1378+0.12700000*'Adj Close Prices'!C1378+0.12000000*'Adj Close Prices'!D1378+0.08600000*'Adj Close Prices'!E1378+0.33700000*'Adj Close Prices'!F1378</f>
        <v/>
      </c>
      <c r="C634" s="13">
        <f>C633*(1+B634)</f>
        <v/>
      </c>
    </row>
    <row r="635">
      <c r="A635" s="2">
        <f>'Adj Close Prices'!A1379</f>
        <v/>
      </c>
      <c r="B635" s="5">
        <f>0.33000000*'Adj Close Prices'!B1379+0.12700000*'Adj Close Prices'!C1379+0.12000000*'Adj Close Prices'!D1379+0.08600000*'Adj Close Prices'!E1379+0.33700000*'Adj Close Prices'!F1379</f>
        <v/>
      </c>
      <c r="C635" s="13">
        <f>C634*(1+B635)</f>
        <v/>
      </c>
    </row>
    <row r="636">
      <c r="A636" s="2">
        <f>'Adj Close Prices'!A1380</f>
        <v/>
      </c>
      <c r="B636" s="5">
        <f>0.33000000*'Adj Close Prices'!B1380+0.12700000*'Adj Close Prices'!C1380+0.12000000*'Adj Close Prices'!D1380+0.08600000*'Adj Close Prices'!E1380+0.33700000*'Adj Close Prices'!F1380</f>
        <v/>
      </c>
      <c r="C636" s="13">
        <f>C635*(1+B636)</f>
        <v/>
      </c>
    </row>
    <row r="637">
      <c r="A637" s="2">
        <f>'Adj Close Prices'!A1381</f>
        <v/>
      </c>
      <c r="B637" s="5">
        <f>0.33000000*'Adj Close Prices'!B1381+0.12700000*'Adj Close Prices'!C1381+0.12000000*'Adj Close Prices'!D1381+0.08600000*'Adj Close Prices'!E1381+0.33700000*'Adj Close Prices'!F1381</f>
        <v/>
      </c>
      <c r="C637" s="13">
        <f>C636*(1+B637)</f>
        <v/>
      </c>
    </row>
    <row r="638">
      <c r="A638" s="2">
        <f>'Adj Close Prices'!A1382</f>
        <v/>
      </c>
      <c r="B638" s="5">
        <f>0.33000000*'Adj Close Prices'!B1382+0.12700000*'Adj Close Prices'!C1382+0.12000000*'Adj Close Prices'!D1382+0.08600000*'Adj Close Prices'!E1382+0.33700000*'Adj Close Prices'!F1382</f>
        <v/>
      </c>
      <c r="C638" s="13">
        <f>C637*(1+B638)</f>
        <v/>
      </c>
    </row>
    <row r="639">
      <c r="A639" s="2">
        <f>'Adj Close Prices'!A1383</f>
        <v/>
      </c>
      <c r="B639" s="5">
        <f>0.33000000*'Adj Close Prices'!B1383+0.12700000*'Adj Close Prices'!C1383+0.12000000*'Adj Close Prices'!D1383+0.08600000*'Adj Close Prices'!E1383+0.33700000*'Adj Close Prices'!F1383</f>
        <v/>
      </c>
      <c r="C639" s="13">
        <f>C638*(1+B639)</f>
        <v/>
      </c>
    </row>
    <row r="640">
      <c r="A640" s="2">
        <f>'Adj Close Prices'!A1384</f>
        <v/>
      </c>
      <c r="B640" s="5">
        <f>0.33000000*'Adj Close Prices'!B1384+0.12700000*'Adj Close Prices'!C1384+0.12000000*'Adj Close Prices'!D1384+0.08600000*'Adj Close Prices'!E1384+0.33700000*'Adj Close Prices'!F1384</f>
        <v/>
      </c>
      <c r="C640" s="13">
        <f>C639*(1+B640)</f>
        <v/>
      </c>
    </row>
    <row r="641">
      <c r="A641" s="2">
        <f>'Adj Close Prices'!A1385</f>
        <v/>
      </c>
      <c r="B641" s="5">
        <f>0.33000000*'Adj Close Prices'!B1385+0.12700000*'Adj Close Prices'!C1385+0.12000000*'Adj Close Prices'!D1385+0.08600000*'Adj Close Prices'!E1385+0.33700000*'Adj Close Prices'!F1385</f>
        <v/>
      </c>
      <c r="C641" s="13">
        <f>C640*(1+B641)</f>
        <v/>
      </c>
    </row>
    <row r="642">
      <c r="A642" s="2">
        <f>'Adj Close Prices'!A1386</f>
        <v/>
      </c>
      <c r="B642" s="5">
        <f>0.33000000*'Adj Close Prices'!B1386+0.12700000*'Adj Close Prices'!C1386+0.12000000*'Adj Close Prices'!D1386+0.08600000*'Adj Close Prices'!E1386+0.33700000*'Adj Close Prices'!F1386</f>
        <v/>
      </c>
      <c r="C642" s="13">
        <f>C641*(1+B642)</f>
        <v/>
      </c>
    </row>
    <row r="643">
      <c r="A643" s="2">
        <f>'Adj Close Prices'!A1387</f>
        <v/>
      </c>
      <c r="B643" s="5">
        <f>0.33000000*'Adj Close Prices'!B1387+0.12700000*'Adj Close Prices'!C1387+0.12000000*'Adj Close Prices'!D1387+0.08600000*'Adj Close Prices'!E1387+0.33700000*'Adj Close Prices'!F1387</f>
        <v/>
      </c>
      <c r="C643" s="13">
        <f>C642*(1+B643)</f>
        <v/>
      </c>
    </row>
    <row r="644">
      <c r="A644" s="2">
        <f>'Adj Close Prices'!A1388</f>
        <v/>
      </c>
      <c r="B644" s="5">
        <f>0.33000000*'Adj Close Prices'!B1388+0.12700000*'Adj Close Prices'!C1388+0.12000000*'Adj Close Prices'!D1388+0.08600000*'Adj Close Prices'!E1388+0.33700000*'Adj Close Prices'!F1388</f>
        <v/>
      </c>
      <c r="C644" s="13">
        <f>C643*(1+B644)</f>
        <v/>
      </c>
    </row>
    <row r="645">
      <c r="A645" s="2">
        <f>'Adj Close Prices'!A1389</f>
        <v/>
      </c>
      <c r="B645" s="5">
        <f>0.33000000*'Adj Close Prices'!B1389+0.12700000*'Adj Close Prices'!C1389+0.12000000*'Adj Close Prices'!D1389+0.08600000*'Adj Close Prices'!E1389+0.33700000*'Adj Close Prices'!F1389</f>
        <v/>
      </c>
      <c r="C645" s="13">
        <f>C644*(1+B645)</f>
        <v/>
      </c>
    </row>
    <row r="646">
      <c r="A646" s="2">
        <f>'Adj Close Prices'!A1390</f>
        <v/>
      </c>
      <c r="B646" s="5">
        <f>0.33000000*'Adj Close Prices'!B1390+0.12700000*'Adj Close Prices'!C1390+0.12000000*'Adj Close Prices'!D1390+0.08600000*'Adj Close Prices'!E1390+0.33700000*'Adj Close Prices'!F1390</f>
        <v/>
      </c>
      <c r="C646" s="13">
        <f>C645*(1+B646)</f>
        <v/>
      </c>
    </row>
    <row r="647">
      <c r="A647" s="2">
        <f>'Adj Close Prices'!A1391</f>
        <v/>
      </c>
      <c r="B647" s="5">
        <f>0.33000000*'Adj Close Prices'!B1391+0.12700000*'Adj Close Prices'!C1391+0.12000000*'Adj Close Prices'!D1391+0.08600000*'Adj Close Prices'!E1391+0.33700000*'Adj Close Prices'!F1391</f>
        <v/>
      </c>
      <c r="C647" s="13">
        <f>C646*(1+B647)</f>
        <v/>
      </c>
    </row>
    <row r="648">
      <c r="A648" s="2">
        <f>'Adj Close Prices'!A1392</f>
        <v/>
      </c>
      <c r="B648" s="5">
        <f>0.33000000*'Adj Close Prices'!B1392+0.12700000*'Adj Close Prices'!C1392+0.12000000*'Adj Close Prices'!D1392+0.08600000*'Adj Close Prices'!E1392+0.33700000*'Adj Close Prices'!F1392</f>
        <v/>
      </c>
      <c r="C648" s="13">
        <f>C647*(1+B648)</f>
        <v/>
      </c>
    </row>
    <row r="649">
      <c r="A649" s="2">
        <f>'Adj Close Prices'!A1393</f>
        <v/>
      </c>
      <c r="B649" s="5">
        <f>0.33000000*'Adj Close Prices'!B1393+0.12700000*'Adj Close Prices'!C1393+0.12000000*'Adj Close Prices'!D1393+0.08600000*'Adj Close Prices'!E1393+0.33700000*'Adj Close Prices'!F1393</f>
        <v/>
      </c>
      <c r="C649" s="13">
        <f>C648*(1+B649)</f>
        <v/>
      </c>
    </row>
    <row r="650">
      <c r="A650" s="2">
        <f>'Adj Close Prices'!A1394</f>
        <v/>
      </c>
      <c r="B650" s="5">
        <f>0.33000000*'Adj Close Prices'!B1394+0.12700000*'Adj Close Prices'!C1394+0.12000000*'Adj Close Prices'!D1394+0.08600000*'Adj Close Prices'!E1394+0.33700000*'Adj Close Prices'!F1394</f>
        <v/>
      </c>
      <c r="C650" s="13">
        <f>C649*(1+B650)</f>
        <v/>
      </c>
    </row>
    <row r="651">
      <c r="A651" s="2">
        <f>'Adj Close Prices'!A1395</f>
        <v/>
      </c>
      <c r="B651" s="5">
        <f>0.33000000*'Adj Close Prices'!B1395+0.12700000*'Adj Close Prices'!C1395+0.12000000*'Adj Close Prices'!D1395+0.08600000*'Adj Close Prices'!E1395+0.33700000*'Adj Close Prices'!F1395</f>
        <v/>
      </c>
      <c r="C651" s="13">
        <f>C650*(1+B651)</f>
        <v/>
      </c>
    </row>
    <row r="652">
      <c r="A652" s="2">
        <f>'Adj Close Prices'!A1396</f>
        <v/>
      </c>
      <c r="B652" s="5">
        <f>0.33000000*'Adj Close Prices'!B1396+0.12700000*'Adj Close Prices'!C1396+0.12000000*'Adj Close Prices'!D1396+0.08600000*'Adj Close Prices'!E1396+0.33700000*'Adj Close Prices'!F1396</f>
        <v/>
      </c>
      <c r="C652" s="13">
        <f>C651*(1+B652)</f>
        <v/>
      </c>
    </row>
    <row r="653">
      <c r="A653" s="2">
        <f>'Adj Close Prices'!A1397</f>
        <v/>
      </c>
      <c r="B653" s="5">
        <f>0.33000000*'Adj Close Prices'!B1397+0.12700000*'Adj Close Prices'!C1397+0.12000000*'Adj Close Prices'!D1397+0.08600000*'Adj Close Prices'!E1397+0.33700000*'Adj Close Prices'!F1397</f>
        <v/>
      </c>
      <c r="C653" s="13">
        <f>C652*(1+B653)</f>
        <v/>
      </c>
    </row>
    <row r="654">
      <c r="A654" s="2">
        <f>'Adj Close Prices'!A1398</f>
        <v/>
      </c>
      <c r="B654" s="5">
        <f>0.33000000*'Adj Close Prices'!B1398+0.12700000*'Adj Close Prices'!C1398+0.12000000*'Adj Close Prices'!D1398+0.08600000*'Adj Close Prices'!E1398+0.33700000*'Adj Close Prices'!F1398</f>
        <v/>
      </c>
      <c r="C654" s="13">
        <f>C653*(1+B654)</f>
        <v/>
      </c>
    </row>
    <row r="655">
      <c r="A655" s="2">
        <f>'Adj Close Prices'!A1399</f>
        <v/>
      </c>
      <c r="B655" s="5">
        <f>0.33000000*'Adj Close Prices'!B1399+0.12700000*'Adj Close Prices'!C1399+0.12000000*'Adj Close Prices'!D1399+0.08600000*'Adj Close Prices'!E1399+0.33700000*'Adj Close Prices'!F1399</f>
        <v/>
      </c>
      <c r="C655" s="13">
        <f>C654*(1+B655)</f>
        <v/>
      </c>
    </row>
    <row r="656">
      <c r="A656" s="2">
        <f>'Adj Close Prices'!A1400</f>
        <v/>
      </c>
      <c r="B656" s="5">
        <f>0.33000000*'Adj Close Prices'!B1400+0.12700000*'Adj Close Prices'!C1400+0.12000000*'Adj Close Prices'!D1400+0.08600000*'Adj Close Prices'!E1400+0.33700000*'Adj Close Prices'!F1400</f>
        <v/>
      </c>
      <c r="C656" s="13">
        <f>C655*(1+B656)</f>
        <v/>
      </c>
    </row>
    <row r="657">
      <c r="A657" s="2">
        <f>'Adj Close Prices'!A1401</f>
        <v/>
      </c>
      <c r="B657" s="5">
        <f>0.33000000*'Adj Close Prices'!B1401+0.12700000*'Adj Close Prices'!C1401+0.12000000*'Adj Close Prices'!D1401+0.08600000*'Adj Close Prices'!E1401+0.33700000*'Adj Close Prices'!F1401</f>
        <v/>
      </c>
      <c r="C657" s="13">
        <f>C656*(1+B657)</f>
        <v/>
      </c>
    </row>
    <row r="658">
      <c r="A658" s="2">
        <f>'Adj Close Prices'!A1402</f>
        <v/>
      </c>
      <c r="B658" s="5">
        <f>0.33000000*'Adj Close Prices'!B1402+0.12700000*'Adj Close Prices'!C1402+0.12000000*'Adj Close Prices'!D1402+0.08600000*'Adj Close Prices'!E1402+0.33700000*'Adj Close Prices'!F1402</f>
        <v/>
      </c>
      <c r="C658" s="13">
        <f>C657*(1+B658)</f>
        <v/>
      </c>
    </row>
    <row r="659">
      <c r="A659" s="2">
        <f>'Adj Close Prices'!A1403</f>
        <v/>
      </c>
      <c r="B659" s="5">
        <f>0.33000000*'Adj Close Prices'!B1403+0.12700000*'Adj Close Prices'!C1403+0.12000000*'Adj Close Prices'!D1403+0.08600000*'Adj Close Prices'!E1403+0.33700000*'Adj Close Prices'!F1403</f>
        <v/>
      </c>
      <c r="C659" s="13">
        <f>C658*(1+B659)</f>
        <v/>
      </c>
    </row>
    <row r="660">
      <c r="A660" s="2">
        <f>'Adj Close Prices'!A1404</f>
        <v/>
      </c>
      <c r="B660" s="5">
        <f>0.33000000*'Adj Close Prices'!B1404+0.12700000*'Adj Close Prices'!C1404+0.12000000*'Adj Close Prices'!D1404+0.08600000*'Adj Close Prices'!E1404+0.33700000*'Adj Close Prices'!F1404</f>
        <v/>
      </c>
      <c r="C660" s="13">
        <f>C659*(1+B660)</f>
        <v/>
      </c>
    </row>
    <row r="661">
      <c r="A661" s="2">
        <f>'Adj Close Prices'!A1405</f>
        <v/>
      </c>
      <c r="B661" s="5">
        <f>0.33000000*'Adj Close Prices'!B1405+0.12700000*'Adj Close Prices'!C1405+0.12000000*'Adj Close Prices'!D1405+0.08600000*'Adj Close Prices'!E1405+0.33700000*'Adj Close Prices'!F1405</f>
        <v/>
      </c>
      <c r="C661" s="13">
        <f>C660*(1+B661)</f>
        <v/>
      </c>
    </row>
    <row r="662">
      <c r="A662" s="2">
        <f>'Adj Close Prices'!A1406</f>
        <v/>
      </c>
      <c r="B662" s="5">
        <f>0.33000000*'Adj Close Prices'!B1406+0.12700000*'Adj Close Prices'!C1406+0.12000000*'Adj Close Prices'!D1406+0.08600000*'Adj Close Prices'!E1406+0.33700000*'Adj Close Prices'!F1406</f>
        <v/>
      </c>
      <c r="C662" s="13">
        <f>C661*(1+B662)</f>
        <v/>
      </c>
    </row>
    <row r="663">
      <c r="A663" s="2">
        <f>'Adj Close Prices'!A1407</f>
        <v/>
      </c>
      <c r="B663" s="5">
        <f>0.33000000*'Adj Close Prices'!B1407+0.12700000*'Adj Close Prices'!C1407+0.12000000*'Adj Close Prices'!D1407+0.08600000*'Adj Close Prices'!E1407+0.33700000*'Adj Close Prices'!F1407</f>
        <v/>
      </c>
      <c r="C663" s="13">
        <f>C662*(1+B663)</f>
        <v/>
      </c>
    </row>
    <row r="664">
      <c r="A664" s="2">
        <f>'Adj Close Prices'!A1408</f>
        <v/>
      </c>
      <c r="B664" s="5">
        <f>0.33000000*'Adj Close Prices'!B1408+0.12700000*'Adj Close Prices'!C1408+0.12000000*'Adj Close Prices'!D1408+0.08600000*'Adj Close Prices'!E1408+0.33700000*'Adj Close Prices'!F1408</f>
        <v/>
      </c>
      <c r="C664" s="13">
        <f>C663*(1+B664)</f>
        <v/>
      </c>
    </row>
    <row r="665">
      <c r="A665" s="2">
        <f>'Adj Close Prices'!A1409</f>
        <v/>
      </c>
      <c r="B665" s="5">
        <f>0.33000000*'Adj Close Prices'!B1409+0.12700000*'Adj Close Prices'!C1409+0.12000000*'Adj Close Prices'!D1409+0.08600000*'Adj Close Prices'!E1409+0.33700000*'Adj Close Prices'!F1409</f>
        <v/>
      </c>
      <c r="C665" s="13">
        <f>C664*(1+B665)</f>
        <v/>
      </c>
    </row>
    <row r="666">
      <c r="A666" s="2">
        <f>'Adj Close Prices'!A1410</f>
        <v/>
      </c>
      <c r="B666" s="5">
        <f>0.33000000*'Adj Close Prices'!B1410+0.12700000*'Adj Close Prices'!C1410+0.12000000*'Adj Close Prices'!D1410+0.08600000*'Adj Close Prices'!E1410+0.33700000*'Adj Close Prices'!F1410</f>
        <v/>
      </c>
      <c r="C666" s="13">
        <f>C665*(1+B666)</f>
        <v/>
      </c>
    </row>
    <row r="667">
      <c r="A667" s="2">
        <f>'Adj Close Prices'!A1411</f>
        <v/>
      </c>
      <c r="B667" s="5">
        <f>0.33000000*'Adj Close Prices'!B1411+0.12700000*'Adj Close Prices'!C1411+0.12000000*'Adj Close Prices'!D1411+0.08600000*'Adj Close Prices'!E1411+0.33700000*'Adj Close Prices'!F1411</f>
        <v/>
      </c>
      <c r="C667" s="13">
        <f>C666*(1+B667)</f>
        <v/>
      </c>
    </row>
    <row r="668">
      <c r="A668" s="2">
        <f>'Adj Close Prices'!A1412</f>
        <v/>
      </c>
      <c r="B668" s="5">
        <f>0.33000000*'Adj Close Prices'!B1412+0.12700000*'Adj Close Prices'!C1412+0.12000000*'Adj Close Prices'!D1412+0.08600000*'Adj Close Prices'!E1412+0.33700000*'Adj Close Prices'!F1412</f>
        <v/>
      </c>
      <c r="C668" s="13">
        <f>C667*(1+B668)</f>
        <v/>
      </c>
    </row>
    <row r="669">
      <c r="A669" s="2">
        <f>'Adj Close Prices'!A1413</f>
        <v/>
      </c>
      <c r="B669" s="5">
        <f>0.33000000*'Adj Close Prices'!B1413+0.12700000*'Adj Close Prices'!C1413+0.12000000*'Adj Close Prices'!D1413+0.08600000*'Adj Close Prices'!E1413+0.33700000*'Adj Close Prices'!F1413</f>
        <v/>
      </c>
      <c r="C669" s="13">
        <f>C668*(1+B669)</f>
        <v/>
      </c>
    </row>
    <row r="670">
      <c r="A670" s="2">
        <f>'Adj Close Prices'!A1414</f>
        <v/>
      </c>
      <c r="B670" s="5">
        <f>0.33000000*'Adj Close Prices'!B1414+0.12700000*'Adj Close Prices'!C1414+0.12000000*'Adj Close Prices'!D1414+0.08600000*'Adj Close Prices'!E1414+0.33700000*'Adj Close Prices'!F1414</f>
        <v/>
      </c>
      <c r="C670" s="13">
        <f>C669*(1+B670)</f>
        <v/>
      </c>
    </row>
    <row r="671">
      <c r="A671" s="2">
        <f>'Adj Close Prices'!A1415</f>
        <v/>
      </c>
      <c r="B671" s="5">
        <f>0.33000000*'Adj Close Prices'!B1415+0.12700000*'Adj Close Prices'!C1415+0.12000000*'Adj Close Prices'!D1415+0.08600000*'Adj Close Prices'!E1415+0.33700000*'Adj Close Prices'!F1415</f>
        <v/>
      </c>
      <c r="C671" s="13">
        <f>C670*(1+B671)</f>
        <v/>
      </c>
    </row>
    <row r="672">
      <c r="A672" s="2">
        <f>'Adj Close Prices'!A1416</f>
        <v/>
      </c>
      <c r="B672" s="5">
        <f>0.33000000*'Adj Close Prices'!B1416+0.12700000*'Adj Close Prices'!C1416+0.12000000*'Adj Close Prices'!D1416+0.08600000*'Adj Close Prices'!E1416+0.33700000*'Adj Close Prices'!F1416</f>
        <v/>
      </c>
      <c r="C672" s="13">
        <f>C671*(1+B672)</f>
        <v/>
      </c>
    </row>
    <row r="673">
      <c r="A673" s="2">
        <f>'Adj Close Prices'!A1417</f>
        <v/>
      </c>
      <c r="B673" s="5">
        <f>0.33000000*'Adj Close Prices'!B1417+0.12700000*'Adj Close Prices'!C1417+0.12000000*'Adj Close Prices'!D1417+0.08600000*'Adj Close Prices'!E1417+0.33700000*'Adj Close Prices'!F1417</f>
        <v/>
      </c>
      <c r="C673" s="13">
        <f>C672*(1+B673)</f>
        <v/>
      </c>
    </row>
    <row r="674">
      <c r="A674" s="2">
        <f>'Adj Close Prices'!A1418</f>
        <v/>
      </c>
      <c r="B674" s="5">
        <f>0.33000000*'Adj Close Prices'!B1418+0.12700000*'Adj Close Prices'!C1418+0.12000000*'Adj Close Prices'!D1418+0.08600000*'Adj Close Prices'!E1418+0.33700000*'Adj Close Prices'!F1418</f>
        <v/>
      </c>
      <c r="C674" s="13">
        <f>C673*(1+B674)</f>
        <v/>
      </c>
    </row>
    <row r="675">
      <c r="A675" s="2">
        <f>'Adj Close Prices'!A1419</f>
        <v/>
      </c>
      <c r="B675" s="5">
        <f>0.33000000*'Adj Close Prices'!B1419+0.12700000*'Adj Close Prices'!C1419+0.12000000*'Adj Close Prices'!D1419+0.08600000*'Adj Close Prices'!E1419+0.33700000*'Adj Close Prices'!F1419</f>
        <v/>
      </c>
      <c r="C675" s="13">
        <f>C674*(1+B675)</f>
        <v/>
      </c>
    </row>
    <row r="676">
      <c r="A676" s="2">
        <f>'Adj Close Prices'!A1420</f>
        <v/>
      </c>
      <c r="B676" s="5">
        <f>0.33000000*'Adj Close Prices'!B1420+0.12700000*'Adj Close Prices'!C1420+0.12000000*'Adj Close Prices'!D1420+0.08600000*'Adj Close Prices'!E1420+0.33700000*'Adj Close Prices'!F1420</f>
        <v/>
      </c>
      <c r="C676" s="13">
        <f>C675*(1+B676)</f>
        <v/>
      </c>
    </row>
    <row r="677">
      <c r="A677" s="2">
        <f>'Adj Close Prices'!A1421</f>
        <v/>
      </c>
      <c r="B677" s="5">
        <f>0.33000000*'Adj Close Prices'!B1421+0.12700000*'Adj Close Prices'!C1421+0.12000000*'Adj Close Prices'!D1421+0.08600000*'Adj Close Prices'!E1421+0.33700000*'Adj Close Prices'!F1421</f>
        <v/>
      </c>
      <c r="C677" s="13">
        <f>C676*(1+B677)</f>
        <v/>
      </c>
    </row>
    <row r="678">
      <c r="A678" s="2">
        <f>'Adj Close Prices'!A1422</f>
        <v/>
      </c>
      <c r="B678" s="5">
        <f>0.33000000*'Adj Close Prices'!B1422+0.12700000*'Adj Close Prices'!C1422+0.12000000*'Adj Close Prices'!D1422+0.08600000*'Adj Close Prices'!E1422+0.33700000*'Adj Close Prices'!F1422</f>
        <v/>
      </c>
      <c r="C678" s="13">
        <f>C677*(1+B678)</f>
        <v/>
      </c>
    </row>
    <row r="679">
      <c r="A679" s="2">
        <f>'Adj Close Prices'!A1423</f>
        <v/>
      </c>
      <c r="B679" s="5">
        <f>0.33000000*'Adj Close Prices'!B1423+0.12700000*'Adj Close Prices'!C1423+0.12000000*'Adj Close Prices'!D1423+0.08600000*'Adj Close Prices'!E1423+0.33700000*'Adj Close Prices'!F1423</f>
        <v/>
      </c>
      <c r="C679" s="13">
        <f>C678*(1+B679)</f>
        <v/>
      </c>
    </row>
    <row r="680">
      <c r="A680" s="2">
        <f>'Adj Close Prices'!A1424</f>
        <v/>
      </c>
      <c r="B680" s="5">
        <f>0.33000000*'Adj Close Prices'!B1424+0.12700000*'Adj Close Prices'!C1424+0.12000000*'Adj Close Prices'!D1424+0.08600000*'Adj Close Prices'!E1424+0.33700000*'Adj Close Prices'!F1424</f>
        <v/>
      </c>
      <c r="C680" s="13">
        <f>C679*(1+B680)</f>
        <v/>
      </c>
    </row>
    <row r="681">
      <c r="A681" s="2">
        <f>'Adj Close Prices'!A1425</f>
        <v/>
      </c>
      <c r="B681" s="5">
        <f>0.33000000*'Adj Close Prices'!B1425+0.12700000*'Adj Close Prices'!C1425+0.12000000*'Adj Close Prices'!D1425+0.08600000*'Adj Close Prices'!E1425+0.33700000*'Adj Close Prices'!F1425</f>
        <v/>
      </c>
      <c r="C681" s="13">
        <f>C680*(1+B681)</f>
        <v/>
      </c>
    </row>
    <row r="682">
      <c r="A682" s="2">
        <f>'Adj Close Prices'!A1426</f>
        <v/>
      </c>
      <c r="B682" s="5">
        <f>0.33000000*'Adj Close Prices'!B1426+0.12700000*'Adj Close Prices'!C1426+0.12000000*'Adj Close Prices'!D1426+0.08600000*'Adj Close Prices'!E1426+0.33700000*'Adj Close Prices'!F1426</f>
        <v/>
      </c>
      <c r="C682" s="13">
        <f>C681*(1+B682)</f>
        <v/>
      </c>
    </row>
    <row r="683">
      <c r="A683" s="2">
        <f>'Adj Close Prices'!A1427</f>
        <v/>
      </c>
      <c r="B683" s="5">
        <f>0.33000000*'Adj Close Prices'!B1427+0.12700000*'Adj Close Prices'!C1427+0.12000000*'Adj Close Prices'!D1427+0.08600000*'Adj Close Prices'!E1427+0.33700000*'Adj Close Prices'!F1427</f>
        <v/>
      </c>
      <c r="C683" s="13">
        <f>C682*(1+B683)</f>
        <v/>
      </c>
    </row>
    <row r="684">
      <c r="A684" s="2">
        <f>'Adj Close Prices'!A1428</f>
        <v/>
      </c>
      <c r="B684" s="5">
        <f>0.33000000*'Adj Close Prices'!B1428+0.12700000*'Adj Close Prices'!C1428+0.12000000*'Adj Close Prices'!D1428+0.08600000*'Adj Close Prices'!E1428+0.33700000*'Adj Close Prices'!F1428</f>
        <v/>
      </c>
      <c r="C684" s="13">
        <f>C683*(1+B684)</f>
        <v/>
      </c>
    </row>
    <row r="685">
      <c r="A685" s="2">
        <f>'Adj Close Prices'!A1429</f>
        <v/>
      </c>
      <c r="B685" s="5">
        <f>0.33000000*'Adj Close Prices'!B1429+0.12700000*'Adj Close Prices'!C1429+0.12000000*'Adj Close Prices'!D1429+0.08600000*'Adj Close Prices'!E1429+0.33700000*'Adj Close Prices'!F1429</f>
        <v/>
      </c>
      <c r="C685" s="13">
        <f>C684*(1+B685)</f>
        <v/>
      </c>
    </row>
    <row r="686">
      <c r="A686" s="2">
        <f>'Adj Close Prices'!A1430</f>
        <v/>
      </c>
      <c r="B686" s="5">
        <f>0.33000000*'Adj Close Prices'!B1430+0.12700000*'Adj Close Prices'!C1430+0.12000000*'Adj Close Prices'!D1430+0.08600000*'Adj Close Prices'!E1430+0.33700000*'Adj Close Prices'!F1430</f>
        <v/>
      </c>
      <c r="C686" s="13">
        <f>C685*(1+B686)</f>
        <v/>
      </c>
    </row>
    <row r="687">
      <c r="A687" s="2">
        <f>'Adj Close Prices'!A1431</f>
        <v/>
      </c>
      <c r="B687" s="5">
        <f>0.33000000*'Adj Close Prices'!B1431+0.12700000*'Adj Close Prices'!C1431+0.12000000*'Adj Close Prices'!D1431+0.08600000*'Adj Close Prices'!E1431+0.33700000*'Adj Close Prices'!F1431</f>
        <v/>
      </c>
      <c r="C687" s="13">
        <f>C686*(1+B687)</f>
        <v/>
      </c>
    </row>
    <row r="688">
      <c r="A688" s="2">
        <f>'Adj Close Prices'!A1432</f>
        <v/>
      </c>
      <c r="B688" s="5">
        <f>0.33000000*'Adj Close Prices'!B1432+0.12700000*'Adj Close Prices'!C1432+0.12000000*'Adj Close Prices'!D1432+0.08600000*'Adj Close Prices'!E1432+0.33700000*'Adj Close Prices'!F1432</f>
        <v/>
      </c>
      <c r="C688" s="13">
        <f>C687*(1+B688)</f>
        <v/>
      </c>
    </row>
    <row r="689">
      <c r="A689" s="2">
        <f>'Adj Close Prices'!A1433</f>
        <v/>
      </c>
      <c r="B689" s="5">
        <f>0.33000000*'Adj Close Prices'!B1433+0.12700000*'Adj Close Prices'!C1433+0.12000000*'Adj Close Prices'!D1433+0.08600000*'Adj Close Prices'!E1433+0.33700000*'Adj Close Prices'!F1433</f>
        <v/>
      </c>
      <c r="C689" s="13">
        <f>C688*(1+B689)</f>
        <v/>
      </c>
    </row>
    <row r="690">
      <c r="A690" s="2">
        <f>'Adj Close Prices'!A1434</f>
        <v/>
      </c>
      <c r="B690" s="5">
        <f>0.33000000*'Adj Close Prices'!B1434+0.12700000*'Adj Close Prices'!C1434+0.12000000*'Adj Close Prices'!D1434+0.08600000*'Adj Close Prices'!E1434+0.33700000*'Adj Close Prices'!F1434</f>
        <v/>
      </c>
      <c r="C690" s="13">
        <f>C689*(1+B690)</f>
        <v/>
      </c>
    </row>
    <row r="691">
      <c r="A691" s="2">
        <f>'Adj Close Prices'!A1435</f>
        <v/>
      </c>
      <c r="B691" s="5">
        <f>0.33000000*'Adj Close Prices'!B1435+0.12700000*'Adj Close Prices'!C1435+0.12000000*'Adj Close Prices'!D1435+0.08600000*'Adj Close Prices'!E1435+0.33700000*'Adj Close Prices'!F1435</f>
        <v/>
      </c>
      <c r="C691" s="13">
        <f>C690*(1+B691)</f>
        <v/>
      </c>
    </row>
    <row r="692">
      <c r="A692" s="2">
        <f>'Adj Close Prices'!A1436</f>
        <v/>
      </c>
      <c r="B692" s="5">
        <f>0.33000000*'Adj Close Prices'!B1436+0.12700000*'Adj Close Prices'!C1436+0.12000000*'Adj Close Prices'!D1436+0.08600000*'Adj Close Prices'!E1436+0.33700000*'Adj Close Prices'!F1436</f>
        <v/>
      </c>
      <c r="C692" s="13">
        <f>C691*(1+B692)</f>
        <v/>
      </c>
    </row>
    <row r="693">
      <c r="A693" s="2">
        <f>'Adj Close Prices'!A1437</f>
        <v/>
      </c>
      <c r="B693" s="5">
        <f>0.33000000*'Adj Close Prices'!B1437+0.12700000*'Adj Close Prices'!C1437+0.12000000*'Adj Close Prices'!D1437+0.08600000*'Adj Close Prices'!E1437+0.33700000*'Adj Close Prices'!F1437</f>
        <v/>
      </c>
      <c r="C693" s="13">
        <f>C692*(1+B693)</f>
        <v/>
      </c>
    </row>
    <row r="694">
      <c r="A694" s="2">
        <f>'Adj Close Prices'!A1438</f>
        <v/>
      </c>
      <c r="B694" s="5">
        <f>0.33000000*'Adj Close Prices'!B1438+0.12700000*'Adj Close Prices'!C1438+0.12000000*'Adj Close Prices'!D1438+0.08600000*'Adj Close Prices'!E1438+0.33700000*'Adj Close Prices'!F1438</f>
        <v/>
      </c>
      <c r="C694" s="13">
        <f>C693*(1+B694)</f>
        <v/>
      </c>
    </row>
    <row r="695">
      <c r="A695" s="2">
        <f>'Adj Close Prices'!A1439</f>
        <v/>
      </c>
      <c r="B695" s="5">
        <f>0.33000000*'Adj Close Prices'!B1439+0.12700000*'Adj Close Prices'!C1439+0.12000000*'Adj Close Prices'!D1439+0.08600000*'Adj Close Prices'!E1439+0.33700000*'Adj Close Prices'!F1439</f>
        <v/>
      </c>
      <c r="C695" s="13">
        <f>C694*(1+B695)</f>
        <v/>
      </c>
    </row>
    <row r="696">
      <c r="A696" s="2">
        <f>'Adj Close Prices'!A1440</f>
        <v/>
      </c>
      <c r="B696" s="5">
        <f>0.33000000*'Adj Close Prices'!B1440+0.12700000*'Adj Close Prices'!C1440+0.12000000*'Adj Close Prices'!D1440+0.08600000*'Adj Close Prices'!E1440+0.33700000*'Adj Close Prices'!F1440</f>
        <v/>
      </c>
      <c r="C696" s="13">
        <f>C695*(1+B696)</f>
        <v/>
      </c>
    </row>
    <row r="697">
      <c r="A697" s="2">
        <f>'Adj Close Prices'!A1441</f>
        <v/>
      </c>
      <c r="B697" s="5">
        <f>0.33000000*'Adj Close Prices'!B1441+0.12700000*'Adj Close Prices'!C1441+0.12000000*'Adj Close Prices'!D1441+0.08600000*'Adj Close Prices'!E1441+0.33700000*'Adj Close Prices'!F1441</f>
        <v/>
      </c>
      <c r="C697" s="13">
        <f>C696*(1+B697)</f>
        <v/>
      </c>
    </row>
    <row r="698">
      <c r="A698" s="2">
        <f>'Adj Close Prices'!A1442</f>
        <v/>
      </c>
      <c r="B698" s="5">
        <f>0.33000000*'Adj Close Prices'!B1442+0.12700000*'Adj Close Prices'!C1442+0.12000000*'Adj Close Prices'!D1442+0.08600000*'Adj Close Prices'!E1442+0.33700000*'Adj Close Prices'!F1442</f>
        <v/>
      </c>
      <c r="C698" s="13">
        <f>C697*(1+B698)</f>
        <v/>
      </c>
    </row>
    <row r="699">
      <c r="A699" s="2">
        <f>'Adj Close Prices'!A1443</f>
        <v/>
      </c>
      <c r="B699" s="5">
        <f>0.33000000*'Adj Close Prices'!B1443+0.12700000*'Adj Close Prices'!C1443+0.12000000*'Adj Close Prices'!D1443+0.08600000*'Adj Close Prices'!E1443+0.33700000*'Adj Close Prices'!F1443</f>
        <v/>
      </c>
      <c r="C699" s="13">
        <f>C698*(1+B699)</f>
        <v/>
      </c>
    </row>
    <row r="700">
      <c r="A700" s="2">
        <f>'Adj Close Prices'!A1444</f>
        <v/>
      </c>
      <c r="B700" s="5">
        <f>0.33000000*'Adj Close Prices'!B1444+0.12700000*'Adj Close Prices'!C1444+0.12000000*'Adj Close Prices'!D1444+0.08600000*'Adj Close Prices'!E1444+0.33700000*'Adj Close Prices'!F1444</f>
        <v/>
      </c>
      <c r="C700" s="13">
        <f>C699*(1+B700)</f>
        <v/>
      </c>
    </row>
    <row r="701">
      <c r="A701" s="2">
        <f>'Adj Close Prices'!A1445</f>
        <v/>
      </c>
      <c r="B701" s="5">
        <f>0.33000000*'Adj Close Prices'!B1445+0.12700000*'Adj Close Prices'!C1445+0.12000000*'Adj Close Prices'!D1445+0.08600000*'Adj Close Prices'!E1445+0.33700000*'Adj Close Prices'!F1445</f>
        <v/>
      </c>
      <c r="C701" s="13">
        <f>C700*(1+B701)</f>
        <v/>
      </c>
    </row>
    <row r="702">
      <c r="A702" s="2">
        <f>'Adj Close Prices'!A1446</f>
        <v/>
      </c>
      <c r="B702" s="5">
        <f>0.33000000*'Adj Close Prices'!B1446+0.12700000*'Adj Close Prices'!C1446+0.12000000*'Adj Close Prices'!D1446+0.08600000*'Adj Close Prices'!E1446+0.33700000*'Adj Close Prices'!F1446</f>
        <v/>
      </c>
      <c r="C702" s="13">
        <f>C701*(1+B702)</f>
        <v/>
      </c>
    </row>
    <row r="703">
      <c r="A703" s="2">
        <f>'Adj Close Prices'!A1447</f>
        <v/>
      </c>
      <c r="B703" s="5">
        <f>0.33000000*'Adj Close Prices'!B1447+0.12700000*'Adj Close Prices'!C1447+0.12000000*'Adj Close Prices'!D1447+0.08600000*'Adj Close Prices'!E1447+0.33700000*'Adj Close Prices'!F1447</f>
        <v/>
      </c>
      <c r="C703" s="13">
        <f>C702*(1+B703)</f>
        <v/>
      </c>
    </row>
    <row r="704">
      <c r="A704" s="2">
        <f>'Adj Close Prices'!A1448</f>
        <v/>
      </c>
      <c r="B704" s="5">
        <f>0.33000000*'Adj Close Prices'!B1448+0.12700000*'Adj Close Prices'!C1448+0.12000000*'Adj Close Prices'!D1448+0.08600000*'Adj Close Prices'!E1448+0.33700000*'Adj Close Prices'!F1448</f>
        <v/>
      </c>
      <c r="C704" s="13">
        <f>C703*(1+B704)</f>
        <v/>
      </c>
    </row>
    <row r="705">
      <c r="A705" s="2">
        <f>'Adj Close Prices'!A1449</f>
        <v/>
      </c>
      <c r="B705" s="5">
        <f>0.33000000*'Adj Close Prices'!B1449+0.12700000*'Adj Close Prices'!C1449+0.12000000*'Adj Close Prices'!D1449+0.08600000*'Adj Close Prices'!E1449+0.33700000*'Adj Close Prices'!F1449</f>
        <v/>
      </c>
      <c r="C705" s="13">
        <f>C704*(1+B705)</f>
        <v/>
      </c>
    </row>
    <row r="706">
      <c r="A706" s="2">
        <f>'Adj Close Prices'!A1450</f>
        <v/>
      </c>
      <c r="B706" s="5">
        <f>0.33000000*'Adj Close Prices'!B1450+0.12700000*'Adj Close Prices'!C1450+0.12000000*'Adj Close Prices'!D1450+0.08600000*'Adj Close Prices'!E1450+0.33700000*'Adj Close Prices'!F1450</f>
        <v/>
      </c>
      <c r="C706" s="13">
        <f>C705*(1+B706)</f>
        <v/>
      </c>
    </row>
    <row r="707">
      <c r="A707" s="2">
        <f>'Adj Close Prices'!A1451</f>
        <v/>
      </c>
      <c r="B707" s="5">
        <f>0.33000000*'Adj Close Prices'!B1451+0.12700000*'Adj Close Prices'!C1451+0.12000000*'Adj Close Prices'!D1451+0.08600000*'Adj Close Prices'!E1451+0.33700000*'Adj Close Prices'!F1451</f>
        <v/>
      </c>
      <c r="C707" s="13">
        <f>C706*(1+B707)</f>
        <v/>
      </c>
    </row>
    <row r="708">
      <c r="A708" s="2">
        <f>'Adj Close Prices'!A1452</f>
        <v/>
      </c>
      <c r="B708" s="5">
        <f>0.33000000*'Adj Close Prices'!B1452+0.12700000*'Adj Close Prices'!C1452+0.12000000*'Adj Close Prices'!D1452+0.08600000*'Adj Close Prices'!E1452+0.33700000*'Adj Close Prices'!F1452</f>
        <v/>
      </c>
      <c r="C708" s="13">
        <f>C707*(1+B708)</f>
        <v/>
      </c>
    </row>
    <row r="709">
      <c r="A709" s="2">
        <f>'Adj Close Prices'!A1453</f>
        <v/>
      </c>
      <c r="B709" s="5">
        <f>0.33000000*'Adj Close Prices'!B1453+0.12700000*'Adj Close Prices'!C1453+0.12000000*'Adj Close Prices'!D1453+0.08600000*'Adj Close Prices'!E1453+0.33700000*'Adj Close Prices'!F1453</f>
        <v/>
      </c>
      <c r="C709" s="13">
        <f>C708*(1+B709)</f>
        <v/>
      </c>
    </row>
    <row r="710">
      <c r="A710" s="2">
        <f>'Adj Close Prices'!A1454</f>
        <v/>
      </c>
      <c r="B710" s="5">
        <f>0.33000000*'Adj Close Prices'!B1454+0.12700000*'Adj Close Prices'!C1454+0.12000000*'Adj Close Prices'!D1454+0.08600000*'Adj Close Prices'!E1454+0.33700000*'Adj Close Prices'!F1454</f>
        <v/>
      </c>
      <c r="C710" s="13">
        <f>C709*(1+B710)</f>
        <v/>
      </c>
    </row>
    <row r="711">
      <c r="A711" s="2">
        <f>'Adj Close Prices'!A1455</f>
        <v/>
      </c>
      <c r="B711" s="5">
        <f>0.33000000*'Adj Close Prices'!B1455+0.12700000*'Adj Close Prices'!C1455+0.12000000*'Adj Close Prices'!D1455+0.08600000*'Adj Close Prices'!E1455+0.33700000*'Adj Close Prices'!F1455</f>
        <v/>
      </c>
      <c r="C711" s="13">
        <f>C710*(1+B711)</f>
        <v/>
      </c>
    </row>
    <row r="712">
      <c r="A712" s="2">
        <f>'Adj Close Prices'!A1456</f>
        <v/>
      </c>
      <c r="B712" s="5">
        <f>0.33000000*'Adj Close Prices'!B1456+0.12700000*'Adj Close Prices'!C1456+0.12000000*'Adj Close Prices'!D1456+0.08600000*'Adj Close Prices'!E1456+0.33700000*'Adj Close Prices'!F1456</f>
        <v/>
      </c>
      <c r="C712" s="13">
        <f>C711*(1+B712)</f>
        <v/>
      </c>
    </row>
    <row r="713">
      <c r="A713" s="2">
        <f>'Adj Close Prices'!A1457</f>
        <v/>
      </c>
      <c r="B713" s="5">
        <f>0.33000000*'Adj Close Prices'!B1457+0.12700000*'Adj Close Prices'!C1457+0.12000000*'Adj Close Prices'!D1457+0.08600000*'Adj Close Prices'!E1457+0.33700000*'Adj Close Prices'!F1457</f>
        <v/>
      </c>
      <c r="C713" s="13">
        <f>C712*(1+B713)</f>
        <v/>
      </c>
    </row>
    <row r="714">
      <c r="A714" s="2">
        <f>'Adj Close Prices'!A1458</f>
        <v/>
      </c>
      <c r="B714" s="5">
        <f>0.33000000*'Adj Close Prices'!B1458+0.12700000*'Adj Close Prices'!C1458+0.12000000*'Adj Close Prices'!D1458+0.08600000*'Adj Close Prices'!E1458+0.33700000*'Adj Close Prices'!F1458</f>
        <v/>
      </c>
      <c r="C714" s="13">
        <f>C713*(1+B714)</f>
        <v/>
      </c>
    </row>
    <row r="715">
      <c r="A715" s="2">
        <f>'Adj Close Prices'!A1459</f>
        <v/>
      </c>
      <c r="B715" s="5">
        <f>0.33000000*'Adj Close Prices'!B1459+0.12700000*'Adj Close Prices'!C1459+0.12000000*'Adj Close Prices'!D1459+0.08600000*'Adj Close Prices'!E1459+0.33700000*'Adj Close Prices'!F1459</f>
        <v/>
      </c>
      <c r="C715" s="13">
        <f>C714*(1+B715)</f>
        <v/>
      </c>
    </row>
    <row r="716">
      <c r="A716" s="2">
        <f>'Adj Close Prices'!A1460</f>
        <v/>
      </c>
      <c r="B716" s="5">
        <f>0.33000000*'Adj Close Prices'!B1460+0.12700000*'Adj Close Prices'!C1460+0.12000000*'Adj Close Prices'!D1460+0.08600000*'Adj Close Prices'!E1460+0.33700000*'Adj Close Prices'!F1460</f>
        <v/>
      </c>
      <c r="C716" s="13">
        <f>C715*(1+B716)</f>
        <v/>
      </c>
    </row>
    <row r="717">
      <c r="A717" s="2">
        <f>'Adj Close Prices'!A1461</f>
        <v/>
      </c>
      <c r="B717" s="5">
        <f>0.33000000*'Adj Close Prices'!B1461+0.12700000*'Adj Close Prices'!C1461+0.12000000*'Adj Close Prices'!D1461+0.08600000*'Adj Close Prices'!E1461+0.33700000*'Adj Close Prices'!F1461</f>
        <v/>
      </c>
      <c r="C717" s="13">
        <f>C716*(1+B717)</f>
        <v/>
      </c>
    </row>
    <row r="718">
      <c r="A718" s="2">
        <f>'Adj Close Prices'!A1462</f>
        <v/>
      </c>
      <c r="B718" s="5">
        <f>0.33000000*'Adj Close Prices'!B1462+0.12700000*'Adj Close Prices'!C1462+0.12000000*'Adj Close Prices'!D1462+0.08600000*'Adj Close Prices'!E1462+0.33700000*'Adj Close Prices'!F1462</f>
        <v/>
      </c>
      <c r="C718" s="13">
        <f>C717*(1+B718)</f>
        <v/>
      </c>
    </row>
    <row r="719">
      <c r="A719" s="2">
        <f>'Adj Close Prices'!A1463</f>
        <v/>
      </c>
      <c r="B719" s="5">
        <f>0.33000000*'Adj Close Prices'!B1463+0.12700000*'Adj Close Prices'!C1463+0.12000000*'Adj Close Prices'!D1463+0.08600000*'Adj Close Prices'!E1463+0.33700000*'Adj Close Prices'!F1463</f>
        <v/>
      </c>
      <c r="C719" s="13">
        <f>C718*(1+B719)</f>
        <v/>
      </c>
    </row>
    <row r="720">
      <c r="A720" s="2">
        <f>'Adj Close Prices'!A1464</f>
        <v/>
      </c>
      <c r="B720" s="5">
        <f>0.33000000*'Adj Close Prices'!B1464+0.12700000*'Adj Close Prices'!C1464+0.12000000*'Adj Close Prices'!D1464+0.08600000*'Adj Close Prices'!E1464+0.33700000*'Adj Close Prices'!F1464</f>
        <v/>
      </c>
      <c r="C720" s="13">
        <f>C719*(1+B720)</f>
        <v/>
      </c>
    </row>
    <row r="721">
      <c r="A721" s="2">
        <f>'Adj Close Prices'!A1465</f>
        <v/>
      </c>
      <c r="B721" s="5">
        <f>0.33000000*'Adj Close Prices'!B1465+0.12700000*'Adj Close Prices'!C1465+0.12000000*'Adj Close Prices'!D1465+0.08600000*'Adj Close Prices'!E1465+0.33700000*'Adj Close Prices'!F1465</f>
        <v/>
      </c>
      <c r="C721" s="13">
        <f>C720*(1+B721)</f>
        <v/>
      </c>
    </row>
    <row r="722">
      <c r="A722" s="2">
        <f>'Adj Close Prices'!A1466</f>
        <v/>
      </c>
      <c r="B722" s="5">
        <f>0.33000000*'Adj Close Prices'!B1466+0.12700000*'Adj Close Prices'!C1466+0.12000000*'Adj Close Prices'!D1466+0.08600000*'Adj Close Prices'!E1466+0.33700000*'Adj Close Prices'!F1466</f>
        <v/>
      </c>
      <c r="C722" s="13">
        <f>C721*(1+B722)</f>
        <v/>
      </c>
    </row>
    <row r="723">
      <c r="A723" s="2">
        <f>'Adj Close Prices'!A1467</f>
        <v/>
      </c>
      <c r="B723" s="5">
        <f>0.33000000*'Adj Close Prices'!B1467+0.12700000*'Adj Close Prices'!C1467+0.12000000*'Adj Close Prices'!D1467+0.08600000*'Adj Close Prices'!E1467+0.33700000*'Adj Close Prices'!F1467</f>
        <v/>
      </c>
      <c r="C723" s="13">
        <f>C722*(1+B723)</f>
        <v/>
      </c>
    </row>
    <row r="724">
      <c r="A724" s="2">
        <f>'Adj Close Prices'!A1468</f>
        <v/>
      </c>
      <c r="B724" s="5">
        <f>0.33000000*'Adj Close Prices'!B1468+0.12700000*'Adj Close Prices'!C1468+0.12000000*'Adj Close Prices'!D1468+0.08600000*'Adj Close Prices'!E1468+0.33700000*'Adj Close Prices'!F1468</f>
        <v/>
      </c>
      <c r="C724" s="13">
        <f>C723*(1+B724)</f>
        <v/>
      </c>
    </row>
    <row r="725">
      <c r="A725" s="2">
        <f>'Adj Close Prices'!A1469</f>
        <v/>
      </c>
      <c r="B725" s="5">
        <f>0.33000000*'Adj Close Prices'!B1469+0.12700000*'Adj Close Prices'!C1469+0.12000000*'Adj Close Prices'!D1469+0.08600000*'Adj Close Prices'!E1469+0.33700000*'Adj Close Prices'!F1469</f>
        <v/>
      </c>
      <c r="C725" s="13">
        <f>C724*(1+B725)</f>
        <v/>
      </c>
    </row>
    <row r="726">
      <c r="A726" s="2">
        <f>'Adj Close Prices'!A1470</f>
        <v/>
      </c>
      <c r="B726" s="5">
        <f>0.33000000*'Adj Close Prices'!B1470+0.12700000*'Adj Close Prices'!C1470+0.12000000*'Adj Close Prices'!D1470+0.08600000*'Adj Close Prices'!E1470+0.33700000*'Adj Close Prices'!F1470</f>
        <v/>
      </c>
      <c r="C726" s="13">
        <f>C725*(1+B726)</f>
        <v/>
      </c>
    </row>
    <row r="727">
      <c r="A727" s="2">
        <f>'Adj Close Prices'!A1471</f>
        <v/>
      </c>
      <c r="B727" s="5">
        <f>0.33000000*'Adj Close Prices'!B1471+0.12700000*'Adj Close Prices'!C1471+0.12000000*'Adj Close Prices'!D1471+0.08600000*'Adj Close Prices'!E1471+0.33700000*'Adj Close Prices'!F1471</f>
        <v/>
      </c>
      <c r="C727" s="13">
        <f>C726*(1+B727)</f>
        <v/>
      </c>
    </row>
    <row r="728">
      <c r="A728" s="2">
        <f>'Adj Close Prices'!A1472</f>
        <v/>
      </c>
      <c r="B728" s="5">
        <f>0.33000000*'Adj Close Prices'!B1472+0.12700000*'Adj Close Prices'!C1472+0.12000000*'Adj Close Prices'!D1472+0.08600000*'Adj Close Prices'!E1472+0.33700000*'Adj Close Prices'!F1472</f>
        <v/>
      </c>
      <c r="C728" s="13">
        <f>C727*(1+B728)</f>
        <v/>
      </c>
    </row>
    <row r="729">
      <c r="A729" s="2">
        <f>'Adj Close Prices'!A1473</f>
        <v/>
      </c>
      <c r="B729" s="5">
        <f>0.33000000*'Adj Close Prices'!B1473+0.12700000*'Adj Close Prices'!C1473+0.12000000*'Adj Close Prices'!D1473+0.08600000*'Adj Close Prices'!E1473+0.33700000*'Adj Close Prices'!F1473</f>
        <v/>
      </c>
      <c r="C729" s="13">
        <f>C728*(1+B729)</f>
        <v/>
      </c>
    </row>
    <row r="730">
      <c r="A730" s="2">
        <f>'Adj Close Prices'!A1474</f>
        <v/>
      </c>
      <c r="B730" s="5">
        <f>0.33000000*'Adj Close Prices'!B1474+0.12700000*'Adj Close Prices'!C1474+0.12000000*'Adj Close Prices'!D1474+0.08600000*'Adj Close Prices'!E1474+0.33700000*'Adj Close Prices'!F1474</f>
        <v/>
      </c>
      <c r="C730" s="13">
        <f>C729*(1+B730)</f>
        <v/>
      </c>
    </row>
    <row r="731">
      <c r="A731" s="2">
        <f>'Adj Close Prices'!A1475</f>
        <v/>
      </c>
      <c r="B731" s="5">
        <f>0.33000000*'Adj Close Prices'!B1475+0.12700000*'Adj Close Prices'!C1475+0.12000000*'Adj Close Prices'!D1475+0.08600000*'Adj Close Prices'!E1475+0.33700000*'Adj Close Prices'!F1475</f>
        <v/>
      </c>
      <c r="C731" s="13">
        <f>C730*(1+B731)</f>
        <v/>
      </c>
    </row>
    <row r="732">
      <c r="A732" s="2">
        <f>'Adj Close Prices'!A1476</f>
        <v/>
      </c>
      <c r="B732" s="5">
        <f>0.33000000*'Adj Close Prices'!B1476+0.12700000*'Adj Close Prices'!C1476+0.12000000*'Adj Close Prices'!D1476+0.08600000*'Adj Close Prices'!E1476+0.33700000*'Adj Close Prices'!F1476</f>
        <v/>
      </c>
      <c r="C732" s="13">
        <f>C731*(1+B732)</f>
        <v/>
      </c>
    </row>
    <row r="733">
      <c r="A733" s="2">
        <f>'Adj Close Prices'!A1477</f>
        <v/>
      </c>
      <c r="B733" s="5">
        <f>0.33000000*'Adj Close Prices'!B1477+0.12700000*'Adj Close Prices'!C1477+0.12000000*'Adj Close Prices'!D1477+0.08600000*'Adj Close Prices'!E1477+0.33700000*'Adj Close Prices'!F1477</f>
        <v/>
      </c>
      <c r="C733" s="13">
        <f>C732*(1+B733)</f>
        <v/>
      </c>
    </row>
    <row r="734">
      <c r="A734" s="2">
        <f>'Adj Close Prices'!A1478</f>
        <v/>
      </c>
      <c r="B734" s="5">
        <f>0.33000000*'Adj Close Prices'!B1478+0.12700000*'Adj Close Prices'!C1478+0.12000000*'Adj Close Prices'!D1478+0.08600000*'Adj Close Prices'!E1478+0.33700000*'Adj Close Prices'!F1478</f>
        <v/>
      </c>
      <c r="C734" s="13">
        <f>C733*(1+B734)</f>
        <v/>
      </c>
    </row>
    <row r="735">
      <c r="A735" s="2">
        <f>'Adj Close Prices'!A1479</f>
        <v/>
      </c>
      <c r="B735" s="5">
        <f>0.33000000*'Adj Close Prices'!B1479+0.12700000*'Adj Close Prices'!C1479+0.12000000*'Adj Close Prices'!D1479+0.08600000*'Adj Close Prices'!E1479+0.33700000*'Adj Close Prices'!F1479</f>
        <v/>
      </c>
      <c r="C735" s="13">
        <f>C734*(1+B735)</f>
        <v/>
      </c>
    </row>
    <row r="736">
      <c r="A736" s="2">
        <f>'Adj Close Prices'!A1480</f>
        <v/>
      </c>
      <c r="B736" s="5">
        <f>0.33000000*'Adj Close Prices'!B1480+0.12700000*'Adj Close Prices'!C1480+0.12000000*'Adj Close Prices'!D1480+0.08600000*'Adj Close Prices'!E1480+0.33700000*'Adj Close Prices'!F1480</f>
        <v/>
      </c>
      <c r="C736" s="13">
        <f>C735*(1+B736)</f>
        <v/>
      </c>
    </row>
    <row r="737">
      <c r="A737" s="2">
        <f>'Adj Close Prices'!A1481</f>
        <v/>
      </c>
      <c r="B737" s="5">
        <f>0.33000000*'Adj Close Prices'!B1481+0.12700000*'Adj Close Prices'!C1481+0.12000000*'Adj Close Prices'!D1481+0.08600000*'Adj Close Prices'!E1481+0.33700000*'Adj Close Prices'!F1481</f>
        <v/>
      </c>
      <c r="C737" s="13">
        <f>C736*(1+B737)</f>
        <v/>
      </c>
    </row>
    <row r="738">
      <c r="A738" s="2">
        <f>'Adj Close Prices'!A1482</f>
        <v/>
      </c>
      <c r="B738" s="5">
        <f>0.33000000*'Adj Close Prices'!B1482+0.12700000*'Adj Close Prices'!C1482+0.12000000*'Adj Close Prices'!D1482+0.08600000*'Adj Close Prices'!E1482+0.33700000*'Adj Close Prices'!F1482</f>
        <v/>
      </c>
      <c r="C738" s="13">
        <f>C737*(1+B738)</f>
        <v/>
      </c>
    </row>
    <row r="739">
      <c r="A739" s="2">
        <f>'Adj Close Prices'!A1483</f>
        <v/>
      </c>
      <c r="B739" s="5">
        <f>0.33000000*'Adj Close Prices'!B1483+0.12700000*'Adj Close Prices'!C1483+0.12000000*'Adj Close Prices'!D1483+0.08600000*'Adj Close Prices'!E1483+0.33700000*'Adj Close Prices'!F1483</f>
        <v/>
      </c>
      <c r="C739" s="13">
        <f>C738*(1+B739)</f>
        <v/>
      </c>
    </row>
    <row r="740">
      <c r="A740" s="2">
        <f>'Adj Close Prices'!A1484</f>
        <v/>
      </c>
      <c r="B740" s="5">
        <f>0.33000000*'Adj Close Prices'!B1484+0.12700000*'Adj Close Prices'!C1484+0.12000000*'Adj Close Prices'!D1484+0.08600000*'Adj Close Prices'!E1484+0.33700000*'Adj Close Prices'!F1484</f>
        <v/>
      </c>
      <c r="C740" s="13">
        <f>C739*(1+B740)</f>
        <v/>
      </c>
    </row>
    <row r="741">
      <c r="A741" s="2">
        <f>'Adj Close Prices'!A1485</f>
        <v/>
      </c>
      <c r="B741" s="5">
        <f>0.33000000*'Adj Close Prices'!B1485+0.12700000*'Adj Close Prices'!C1485+0.12000000*'Adj Close Prices'!D1485+0.08600000*'Adj Close Prices'!E1485+0.33700000*'Adj Close Prices'!F1485</f>
        <v/>
      </c>
      <c r="C741" s="13">
        <f>C740*(1+B741)</f>
        <v/>
      </c>
    </row>
    <row r="742">
      <c r="A742" s="2">
        <f>'Adj Close Prices'!A1486</f>
        <v/>
      </c>
      <c r="B742" s="5">
        <f>0.33000000*'Adj Close Prices'!B1486+0.12700000*'Adj Close Prices'!C1486+0.12000000*'Adj Close Prices'!D1486+0.08600000*'Adj Close Prices'!E1486+0.33700000*'Adj Close Prices'!F1486</f>
        <v/>
      </c>
      <c r="C742" s="13">
        <f>C741*(1+B742)</f>
        <v/>
      </c>
    </row>
    <row r="743">
      <c r="A743" s="2">
        <f>'Adj Close Prices'!A1487</f>
        <v/>
      </c>
      <c r="B743" s="5">
        <f>0.33000000*'Adj Close Prices'!B1487+0.12700000*'Adj Close Prices'!C1487+0.12000000*'Adj Close Prices'!D1487+0.08600000*'Adj Close Prices'!E1487+0.33700000*'Adj Close Prices'!F1487</f>
        <v/>
      </c>
      <c r="C743" s="13">
        <f>C742*(1+B743)</f>
        <v/>
      </c>
    </row>
    <row r="744">
      <c r="A744" s="2">
        <f>'Adj Close Prices'!A1488</f>
        <v/>
      </c>
      <c r="B744" s="5">
        <f>0.33000000*'Adj Close Prices'!B1488+0.12700000*'Adj Close Prices'!C1488+0.12000000*'Adj Close Prices'!D1488+0.08600000*'Adj Close Prices'!E1488+0.33700000*'Adj Close Prices'!F1488</f>
        <v/>
      </c>
      <c r="C744" s="13">
        <f>C743*(1+B744)</f>
        <v/>
      </c>
    </row>
    <row r="745">
      <c r="A745" s="2">
        <f>'Adj Close Prices'!A1489</f>
        <v/>
      </c>
      <c r="B745" s="5">
        <f>0.33000000*'Adj Close Prices'!B1489+0.12700000*'Adj Close Prices'!C1489+0.12000000*'Adj Close Prices'!D1489+0.08600000*'Adj Close Prices'!E1489+0.33700000*'Adj Close Prices'!F1489</f>
        <v/>
      </c>
      <c r="C745" s="13">
        <f>C744*(1+B745)</f>
        <v/>
      </c>
    </row>
    <row r="746">
      <c r="A746" s="2">
        <f>'Adj Close Prices'!A1490</f>
        <v/>
      </c>
      <c r="B746" s="5">
        <f>0.33000000*'Adj Close Prices'!B1490+0.12700000*'Adj Close Prices'!C1490+0.12000000*'Adj Close Prices'!D1490+0.08600000*'Adj Close Prices'!E1490+0.33700000*'Adj Close Prices'!F1490</f>
        <v/>
      </c>
      <c r="C746" s="13">
        <f>C745*(1+B746)</f>
        <v/>
      </c>
    </row>
    <row r="747">
      <c r="A747" s="2">
        <f>'Adj Close Prices'!A1491</f>
        <v/>
      </c>
      <c r="B747" s="5">
        <f>0.33000000*'Adj Close Prices'!B1491+0.12700000*'Adj Close Prices'!C1491+0.12000000*'Adj Close Prices'!D1491+0.08600000*'Adj Close Prices'!E1491+0.33700000*'Adj Close Prices'!F1491</f>
        <v/>
      </c>
      <c r="C747" s="13">
        <f>C746*(1+B747)</f>
        <v/>
      </c>
    </row>
    <row r="748">
      <c r="A748" s="2">
        <f>'Adj Close Prices'!A1492</f>
        <v/>
      </c>
      <c r="B748" s="5">
        <f>0.33000000*'Adj Close Prices'!B1492+0.12700000*'Adj Close Prices'!C1492+0.12000000*'Adj Close Prices'!D1492+0.08600000*'Adj Close Prices'!E1492+0.33700000*'Adj Close Prices'!F1492</f>
        <v/>
      </c>
      <c r="C748" s="13">
        <f>C747*(1+B748)</f>
        <v/>
      </c>
    </row>
    <row r="749">
      <c r="A749" s="2">
        <f>'Adj Close Prices'!A1493</f>
        <v/>
      </c>
      <c r="B749" s="5">
        <f>0.33000000*'Adj Close Prices'!B1493+0.12700000*'Adj Close Prices'!C1493+0.12000000*'Adj Close Prices'!D1493+0.08600000*'Adj Close Prices'!E1493+0.33700000*'Adj Close Prices'!F1493</f>
        <v/>
      </c>
      <c r="C749" s="13">
        <f>C748*(1+B749)</f>
        <v/>
      </c>
    </row>
    <row r="750">
      <c r="A750" s="2">
        <f>'Adj Close Prices'!A1494</f>
        <v/>
      </c>
      <c r="B750" s="5">
        <f>0.33000000*'Adj Close Prices'!B1494+0.12700000*'Adj Close Prices'!C1494+0.12000000*'Adj Close Prices'!D1494+0.08600000*'Adj Close Prices'!E1494+0.33700000*'Adj Close Prices'!F1494</f>
        <v/>
      </c>
      <c r="C750" s="13">
        <f>C749*(1+B750)</f>
        <v/>
      </c>
    </row>
    <row r="751">
      <c r="A751" s="2">
        <f>'Adj Close Prices'!A1495</f>
        <v/>
      </c>
      <c r="B751" s="5">
        <f>0.33000000*'Adj Close Prices'!B1495+0.12700000*'Adj Close Prices'!C1495+0.12000000*'Adj Close Prices'!D1495+0.08600000*'Adj Close Prices'!E1495+0.33700000*'Adj Close Prices'!F1495</f>
        <v/>
      </c>
      <c r="C751" s="13">
        <f>C750*(1+B751)</f>
        <v/>
      </c>
    </row>
    <row r="752">
      <c r="A752" s="2">
        <f>'Adj Close Prices'!A1496</f>
        <v/>
      </c>
      <c r="B752" s="5">
        <f>0.33000000*'Adj Close Prices'!B1496+0.12700000*'Adj Close Prices'!C1496+0.12000000*'Adj Close Prices'!D1496+0.08600000*'Adj Close Prices'!E1496+0.33700000*'Adj Close Prices'!F1496</f>
        <v/>
      </c>
      <c r="C752" s="13">
        <f>C751*(1+B752)</f>
        <v/>
      </c>
    </row>
    <row r="753">
      <c r="A753" s="2">
        <f>'Adj Close Prices'!A1497</f>
        <v/>
      </c>
      <c r="B753" s="5">
        <f>0.33000000*'Adj Close Prices'!B1497+0.12700000*'Adj Close Prices'!C1497+0.12000000*'Adj Close Prices'!D1497+0.08600000*'Adj Close Prices'!E1497+0.33700000*'Adj Close Prices'!F1497</f>
        <v/>
      </c>
      <c r="C753" s="13">
        <f>C752*(1+B753)</f>
        <v/>
      </c>
    </row>
    <row r="754">
      <c r="A754" s="2">
        <f>'Adj Close Prices'!A1498</f>
        <v/>
      </c>
      <c r="B754" s="5">
        <f>0.33000000*'Adj Close Prices'!B1498+0.12700000*'Adj Close Prices'!C1498+0.12000000*'Adj Close Prices'!D1498+0.08600000*'Adj Close Prices'!E1498+0.33700000*'Adj Close Prices'!F1498</f>
        <v/>
      </c>
      <c r="C754" s="13">
        <f>C753*(1+B754)</f>
        <v/>
      </c>
    </row>
    <row r="755">
      <c r="A755" s="2">
        <f>'Adj Close Prices'!A1499</f>
        <v/>
      </c>
      <c r="B755" s="5">
        <f>0.33000000*'Adj Close Prices'!B1499+0.12700000*'Adj Close Prices'!C1499+0.12000000*'Adj Close Prices'!D1499+0.08600000*'Adj Close Prices'!E1499+0.33700000*'Adj Close Prices'!F1499</f>
        <v/>
      </c>
      <c r="C755" s="13">
        <f>C754*(1+B755)</f>
        <v/>
      </c>
    </row>
    <row r="756">
      <c r="A756" s="2">
        <f>'Adj Close Prices'!A1500</f>
        <v/>
      </c>
      <c r="B756" s="5">
        <f>0.33000000*'Adj Close Prices'!B1500+0.12700000*'Adj Close Prices'!C1500+0.12000000*'Adj Close Prices'!D1500+0.08600000*'Adj Close Prices'!E1500+0.33700000*'Adj Close Prices'!F1500</f>
        <v/>
      </c>
      <c r="C756" s="13">
        <f>C755*(1+B756)</f>
        <v/>
      </c>
    </row>
    <row r="757">
      <c r="A757" s="2">
        <f>'Adj Close Prices'!A1501</f>
        <v/>
      </c>
      <c r="B757" s="5">
        <f>0.33000000*'Adj Close Prices'!B1501+0.12700000*'Adj Close Prices'!C1501+0.12000000*'Adj Close Prices'!D1501+0.08600000*'Adj Close Prices'!E1501+0.33700000*'Adj Close Prices'!F1501</f>
        <v/>
      </c>
      <c r="C757" s="13">
        <f>C756*(1+B757)</f>
        <v/>
      </c>
    </row>
    <row r="758">
      <c r="A758" s="2">
        <f>'Adj Close Prices'!A1502</f>
        <v/>
      </c>
      <c r="B758" s="5">
        <f>0.33000000*'Adj Close Prices'!B1502+0.12700000*'Adj Close Prices'!C1502+0.12000000*'Adj Close Prices'!D1502+0.08600000*'Adj Close Prices'!E1502+0.33700000*'Adj Close Prices'!F1502</f>
        <v/>
      </c>
      <c r="C758" s="13">
        <f>C757*(1+B758)</f>
        <v/>
      </c>
    </row>
    <row r="759">
      <c r="A759" s="2">
        <f>'Adj Close Prices'!A1503</f>
        <v/>
      </c>
      <c r="B759" s="5">
        <f>0.33000000*'Adj Close Prices'!B1503+0.12700000*'Adj Close Prices'!C1503+0.12000000*'Adj Close Prices'!D1503+0.08600000*'Adj Close Prices'!E1503+0.33700000*'Adj Close Prices'!F1503</f>
        <v/>
      </c>
      <c r="C759" s="13">
        <f>C758*(1+B759)</f>
        <v/>
      </c>
    </row>
    <row r="760">
      <c r="A760" s="2">
        <f>'Adj Close Prices'!A1504</f>
        <v/>
      </c>
      <c r="B760" s="5">
        <f>0.33000000*'Adj Close Prices'!B1504+0.12700000*'Adj Close Prices'!C1504+0.12000000*'Adj Close Prices'!D1504+0.08600000*'Adj Close Prices'!E1504+0.33700000*'Adj Close Prices'!F1504</f>
        <v/>
      </c>
      <c r="C760" s="13">
        <f>C759*(1+B760)</f>
        <v/>
      </c>
    </row>
    <row r="761">
      <c r="A761" s="2">
        <f>'Adj Close Prices'!A1505</f>
        <v/>
      </c>
      <c r="B761" s="5">
        <f>0.33000000*'Adj Close Prices'!B1505+0.12700000*'Adj Close Prices'!C1505+0.12000000*'Adj Close Prices'!D1505+0.08600000*'Adj Close Prices'!E1505+0.33700000*'Adj Close Prices'!F1505</f>
        <v/>
      </c>
      <c r="C761" s="13">
        <f>C760*(1+B761)</f>
        <v/>
      </c>
    </row>
    <row r="762">
      <c r="A762" s="2">
        <f>'Adj Close Prices'!A1506</f>
        <v/>
      </c>
      <c r="B762" s="5">
        <f>0.33000000*'Adj Close Prices'!B1506+0.12700000*'Adj Close Prices'!C1506+0.12000000*'Adj Close Prices'!D1506+0.08600000*'Adj Close Prices'!E1506+0.33700000*'Adj Close Prices'!F1506</f>
        <v/>
      </c>
      <c r="C762" s="13">
        <f>C761*(1+B762)</f>
        <v/>
      </c>
    </row>
    <row r="763">
      <c r="A763" s="2">
        <f>'Adj Close Prices'!A1507</f>
        <v/>
      </c>
      <c r="B763" s="5">
        <f>0.33000000*'Adj Close Prices'!B1507+0.12700000*'Adj Close Prices'!C1507+0.12000000*'Adj Close Prices'!D1507+0.08600000*'Adj Close Prices'!E1507+0.33700000*'Adj Close Prices'!F1507</f>
        <v/>
      </c>
      <c r="C763" s="13">
        <f>C762*(1+B763)</f>
        <v/>
      </c>
    </row>
    <row r="764">
      <c r="A764" s="2">
        <f>'Adj Close Prices'!A1508</f>
        <v/>
      </c>
      <c r="B764" s="5">
        <f>0.33000000*'Adj Close Prices'!B1508+0.12700000*'Adj Close Prices'!C1508+0.12000000*'Adj Close Prices'!D1508+0.08600000*'Adj Close Prices'!E1508+0.33700000*'Adj Close Prices'!F1508</f>
        <v/>
      </c>
      <c r="C764" s="13">
        <f>C763*(1+B764)</f>
        <v/>
      </c>
    </row>
    <row r="765">
      <c r="A765" s="2">
        <f>'Adj Close Prices'!A1509</f>
        <v/>
      </c>
      <c r="B765" s="5">
        <f>0.33000000*'Adj Close Prices'!B1509+0.12700000*'Adj Close Prices'!C1509+0.12000000*'Adj Close Prices'!D1509+0.08600000*'Adj Close Prices'!E1509+0.33700000*'Adj Close Prices'!F1509</f>
        <v/>
      </c>
      <c r="C765" s="13">
        <f>C764*(1+B765)</f>
        <v/>
      </c>
    </row>
    <row r="767">
      <c r="A767" s="4" t="inlineStr">
        <is>
          <t>RETURN METRICS</t>
        </is>
      </c>
      <c r="B767" s="4" t="n"/>
    </row>
    <row r="768">
      <c r="A768" s="6" t="inlineStr">
        <is>
          <t>Total Return</t>
        </is>
      </c>
      <c r="B768" s="5">
        <f>C765-1</f>
        <v/>
      </c>
    </row>
    <row r="769">
      <c r="A769" s="6" t="inlineStr">
        <is>
          <t>CAGR</t>
        </is>
      </c>
      <c r="B769" s="5">
        <f>C765^(252/ROWS(B14:B765))-1</f>
        <v/>
      </c>
    </row>
    <row r="770">
      <c r="A770" s="6" t="inlineStr">
        <is>
          <t>Annualized Return</t>
        </is>
      </c>
      <c r="B770" s="5">
        <f>AVERAGE(B14:B765)*252</f>
        <v/>
      </c>
    </row>
    <row r="771">
      <c r="A771" s="6" t="inlineStr">
        <is>
          <t>Annualized Volatility</t>
        </is>
      </c>
      <c r="B771" s="5">
        <f>STDEV(B14:B765)*SQRT(252)</f>
        <v/>
      </c>
    </row>
    <row r="773">
      <c r="A773" s="4" t="inlineStr">
        <is>
          <t>RISK METRICS  (95% confidence)</t>
        </is>
      </c>
      <c r="B773" s="4" t="n"/>
    </row>
    <row r="774">
      <c r="A774" s="6" t="inlineStr">
        <is>
          <t>Max Drawdown *</t>
        </is>
      </c>
      <c r="B774" s="5" t="n">
        <v>-0.120755033558598</v>
      </c>
    </row>
    <row r="775">
      <c r="A775" s="6" t="inlineStr">
        <is>
          <t>VaR 95% Daily</t>
        </is>
      </c>
      <c r="B775" s="5">
        <f>-PERCENTILE(B14:B765,0.05)</f>
        <v/>
      </c>
    </row>
    <row r="776">
      <c r="A776" s="6" t="inlineStr">
        <is>
          <t>ES 95% Daily</t>
        </is>
      </c>
      <c r="B776" s="5">
        <f>-AVERAGEIF(B14:B765,"&lt;="&amp;PERCENTILE(B14:B765,0.05))</f>
        <v/>
      </c>
    </row>
    <row r="778">
      <c r="A778" s="4" t="inlineStr">
        <is>
          <t>RISK-ADJUSTED RATIOS</t>
        </is>
      </c>
      <c r="B778" s="4" t="n"/>
    </row>
    <row r="779">
      <c r="A779" s="6" t="inlineStr">
        <is>
          <t>Sharpe Ratio</t>
        </is>
      </c>
      <c r="B779" s="8">
        <f>(AVERAGE(B14:B765)*252-0.04)/(STDEV(B14:B765)*SQRT(252))</f>
        <v/>
      </c>
    </row>
    <row r="780">
      <c r="A780" s="6" t="inlineStr">
        <is>
          <t>Sortino Ratio</t>
        </is>
      </c>
      <c r="B780" s="8">
        <f>(AVERAGE(B14:B765)*252-0.04)/(SQRT(SUMPRODUCT((((B14:B765)-0.00015873015873015873)*((B14:B765)&lt;0.00015873015873015873))^2)/ROWS(B14:B765))*SQRT(252))</f>
        <v/>
      </c>
    </row>
    <row r="781">
      <c r="A781" s="6" t="inlineStr">
        <is>
          <t>Treynor Ratio</t>
        </is>
      </c>
      <c r="B781" s="8">
        <f>(AVERAGE(B14:B765)*252-0.04)/B784</f>
        <v/>
      </c>
    </row>
    <row r="783">
      <c r="A783" s="4" t="inlineStr">
        <is>
          <t>RELATIVE METRICS vs S&amp;P 500</t>
        </is>
      </c>
      <c r="B783" s="4" t="n"/>
    </row>
    <row r="784">
      <c r="A784" s="6" t="inlineStr">
        <is>
          <t>Beta</t>
        </is>
      </c>
      <c r="B784" s="8">
        <f>SLOPE(B14:B765,'Adj Close Prices'!G758:'Adj Close Prices'!G1509)</f>
        <v/>
      </c>
    </row>
    <row r="785">
      <c r="A785" s="6" t="inlineStr">
        <is>
          <t>Alpha (Annualized)</t>
        </is>
      </c>
      <c r="B785" s="5">
        <f>(AVERAGE(B14:B765)*252-0.04)-B784*(AVERAGE('Adj Close Prices'!G758:'Adj Close Prices'!G1509)*252-0.04)</f>
        <v/>
      </c>
    </row>
    <row r="786">
      <c r="A786" s="6" t="inlineStr">
        <is>
          <t>Excess Return</t>
        </is>
      </c>
      <c r="B786" s="5">
        <f>AVERAGE(B14:B765)*252-AVERAGE('Adj Close Prices'!G758:'Adj Close Prices'!G1509)*252</f>
        <v/>
      </c>
    </row>
    <row r="787">
      <c r="A787" s="6" t="inlineStr">
        <is>
          <t>Tracking Error</t>
        </is>
      </c>
      <c r="B787" s="5">
        <f>SQRT(SUMPRODUCT((B14:B765-'Adj Close Prices'!G758:'Adj Close Prices'!G1509-AVERAGE(B14:B765)+AVERAGE('Adj Close Prices'!G758:'Adj Close Prices'!G1509))^2)/(ROWS(B14:B765)-1))*SQRT(252)</f>
        <v/>
      </c>
    </row>
    <row r="788">
      <c r="A788" s="6" t="inlineStr">
        <is>
          <t>Information Ratio</t>
        </is>
      </c>
      <c r="B788" s="8">
        <f>B786/B787</f>
        <v/>
      </c>
    </row>
    <row r="790">
      <c r="A790" s="7" t="inlineStr">
        <is>
          <t>* Max Drawdown: pre-computed (max peak-to-trough decline). All other metrics use Excel formulas.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2026-05-30T16:32:07Z</dcterms:created>
  <dcterms:modified xsi:type="dcterms:W3CDTF">2026-05-30T16:32:09Z</dcterms:modified>
</cp:coreProperties>
</file>