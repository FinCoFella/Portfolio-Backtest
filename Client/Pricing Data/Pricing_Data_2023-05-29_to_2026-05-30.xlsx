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fincofella\dev\Backtest Dev\Client\Pricing Data\"/>
    </mc:Choice>
  </mc:AlternateContent>
  <xr:revisionPtr revIDLastSave="0" documentId="13_ncr:1_{2FF390F1-489C-45DF-83F9-5A584942A3C2}" xr6:coauthVersionLast="47" xr6:coauthVersionMax="47" xr10:uidLastSave="{00000000-0000-0000-0000-000000000000}"/>
  <bookViews>
    <workbookView xWindow="-108" yWindow="-108" windowWidth="27288" windowHeight="17544" xr2:uid="{00000000-000D-0000-FFFF-FFFF00000000}"/>
  </bookViews>
  <sheets>
    <sheet name="Adj Close Prices" sheetId="1" r:id="rId1"/>
    <sheet name="Daily Returns" sheetId="2" r:id="rId2"/>
    <sheet name="Portfol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72" i="1" l="1"/>
  <c r="B697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G753" i="2"/>
  <c r="F753" i="2"/>
  <c r="E753" i="2"/>
  <c r="D753" i="2"/>
  <c r="C753" i="2"/>
  <c r="B753" i="2"/>
  <c r="B765" i="3" s="1"/>
  <c r="A753" i="2"/>
  <c r="A765" i="3" s="1"/>
  <c r="G752" i="2"/>
  <c r="F752" i="2"/>
  <c r="E752" i="2"/>
  <c r="D752" i="2"/>
  <c r="C752" i="2"/>
  <c r="B752" i="2"/>
  <c r="B764" i="3" s="1"/>
  <c r="A752" i="2"/>
  <c r="A764" i="3" s="1"/>
  <c r="G751" i="2"/>
  <c r="F751" i="2"/>
  <c r="E751" i="2"/>
  <c r="D751" i="2"/>
  <c r="C751" i="2"/>
  <c r="B751" i="2"/>
  <c r="B763" i="3" s="1"/>
  <c r="A751" i="2"/>
  <c r="A763" i="3" s="1"/>
  <c r="G750" i="2"/>
  <c r="F750" i="2"/>
  <c r="E750" i="2"/>
  <c r="D750" i="2"/>
  <c r="C750" i="2"/>
  <c r="B750" i="2"/>
  <c r="B762" i="3" s="1"/>
  <c r="A750" i="2"/>
  <c r="A762" i="3" s="1"/>
  <c r="G749" i="2"/>
  <c r="F749" i="2"/>
  <c r="E749" i="2"/>
  <c r="D749" i="2"/>
  <c r="C749" i="2"/>
  <c r="B749" i="2"/>
  <c r="B761" i="3" s="1"/>
  <c r="A749" i="2"/>
  <c r="A761" i="3" s="1"/>
  <c r="G748" i="2"/>
  <c r="F748" i="2"/>
  <c r="E748" i="2"/>
  <c r="D748" i="2"/>
  <c r="C748" i="2"/>
  <c r="B748" i="2"/>
  <c r="B760" i="3" s="1"/>
  <c r="A748" i="2"/>
  <c r="A760" i="3" s="1"/>
  <c r="G747" i="2"/>
  <c r="F747" i="2"/>
  <c r="E747" i="2"/>
  <c r="D747" i="2"/>
  <c r="C747" i="2"/>
  <c r="B747" i="2"/>
  <c r="B759" i="3" s="1"/>
  <c r="A747" i="2"/>
  <c r="A759" i="3" s="1"/>
  <c r="G746" i="2"/>
  <c r="F746" i="2"/>
  <c r="E746" i="2"/>
  <c r="D746" i="2"/>
  <c r="C746" i="2"/>
  <c r="B746" i="2"/>
  <c r="B758" i="3" s="1"/>
  <c r="A746" i="2"/>
  <c r="A758" i="3" s="1"/>
  <c r="G745" i="2"/>
  <c r="F745" i="2"/>
  <c r="E745" i="2"/>
  <c r="D745" i="2"/>
  <c r="C745" i="2"/>
  <c r="B745" i="2"/>
  <c r="B757" i="3" s="1"/>
  <c r="A745" i="2"/>
  <c r="A757" i="3" s="1"/>
  <c r="G744" i="2"/>
  <c r="F744" i="2"/>
  <c r="E744" i="2"/>
  <c r="D744" i="2"/>
  <c r="C744" i="2"/>
  <c r="B744" i="2"/>
  <c r="B756" i="3" s="1"/>
  <c r="A744" i="2"/>
  <c r="A756" i="3" s="1"/>
  <c r="G743" i="2"/>
  <c r="F743" i="2"/>
  <c r="E743" i="2"/>
  <c r="D743" i="2"/>
  <c r="C743" i="2"/>
  <c r="B743" i="2"/>
  <c r="B755" i="3" s="1"/>
  <c r="A743" i="2"/>
  <c r="A755" i="3" s="1"/>
  <c r="G742" i="2"/>
  <c r="F742" i="2"/>
  <c r="E742" i="2"/>
  <c r="D742" i="2"/>
  <c r="C742" i="2"/>
  <c r="B742" i="2"/>
  <c r="B754" i="3" s="1"/>
  <c r="A742" i="2"/>
  <c r="A754" i="3" s="1"/>
  <c r="G741" i="2"/>
  <c r="F741" i="2"/>
  <c r="E741" i="2"/>
  <c r="D741" i="2"/>
  <c r="C741" i="2"/>
  <c r="B741" i="2"/>
  <c r="B753" i="3" s="1"/>
  <c r="A741" i="2"/>
  <c r="A753" i="3" s="1"/>
  <c r="G740" i="2"/>
  <c r="F740" i="2"/>
  <c r="E740" i="2"/>
  <c r="D740" i="2"/>
  <c r="C740" i="2"/>
  <c r="B740" i="2"/>
  <c r="B752" i="3" s="1"/>
  <c r="A740" i="2"/>
  <c r="A752" i="3" s="1"/>
  <c r="G739" i="2"/>
  <c r="F739" i="2"/>
  <c r="E739" i="2"/>
  <c r="D739" i="2"/>
  <c r="C739" i="2"/>
  <c r="B739" i="2"/>
  <c r="B751" i="3" s="1"/>
  <c r="A739" i="2"/>
  <c r="A751" i="3" s="1"/>
  <c r="G738" i="2"/>
  <c r="F738" i="2"/>
  <c r="E738" i="2"/>
  <c r="D738" i="2"/>
  <c r="C738" i="2"/>
  <c r="B738" i="2"/>
  <c r="B750" i="3" s="1"/>
  <c r="A738" i="2"/>
  <c r="A750" i="3" s="1"/>
  <c r="G737" i="2"/>
  <c r="F737" i="2"/>
  <c r="E737" i="2"/>
  <c r="D737" i="2"/>
  <c r="C737" i="2"/>
  <c r="B737" i="2"/>
  <c r="B749" i="3" s="1"/>
  <c r="A737" i="2"/>
  <c r="A749" i="3" s="1"/>
  <c r="G736" i="2"/>
  <c r="F736" i="2"/>
  <c r="E736" i="2"/>
  <c r="D736" i="2"/>
  <c r="C736" i="2"/>
  <c r="B736" i="2"/>
  <c r="B748" i="3" s="1"/>
  <c r="A736" i="2"/>
  <c r="A748" i="3" s="1"/>
  <c r="G735" i="2"/>
  <c r="F735" i="2"/>
  <c r="E735" i="2"/>
  <c r="D735" i="2"/>
  <c r="C735" i="2"/>
  <c r="B735" i="2"/>
  <c r="B747" i="3" s="1"/>
  <c r="A735" i="2"/>
  <c r="A747" i="3" s="1"/>
  <c r="G734" i="2"/>
  <c r="F734" i="2"/>
  <c r="E734" i="2"/>
  <c r="D734" i="2"/>
  <c r="C734" i="2"/>
  <c r="B734" i="2"/>
  <c r="B746" i="3" s="1"/>
  <c r="A734" i="2"/>
  <c r="A746" i="3" s="1"/>
  <c r="G733" i="2"/>
  <c r="F733" i="2"/>
  <c r="E733" i="2"/>
  <c r="D733" i="2"/>
  <c r="C733" i="2"/>
  <c r="B733" i="2"/>
  <c r="B745" i="3" s="1"/>
  <c r="A733" i="2"/>
  <c r="A745" i="3" s="1"/>
  <c r="G732" i="2"/>
  <c r="F732" i="2"/>
  <c r="E732" i="2"/>
  <c r="D732" i="2"/>
  <c r="C732" i="2"/>
  <c r="B732" i="2"/>
  <c r="B744" i="3" s="1"/>
  <c r="A732" i="2"/>
  <c r="A744" i="3" s="1"/>
  <c r="G731" i="2"/>
  <c r="F731" i="2"/>
  <c r="E731" i="2"/>
  <c r="D731" i="2"/>
  <c r="C731" i="2"/>
  <c r="B731" i="2"/>
  <c r="B743" i="3" s="1"/>
  <c r="A731" i="2"/>
  <c r="A743" i="3" s="1"/>
  <c r="G730" i="2"/>
  <c r="F730" i="2"/>
  <c r="E730" i="2"/>
  <c r="D730" i="2"/>
  <c r="C730" i="2"/>
  <c r="B730" i="2"/>
  <c r="B742" i="3" s="1"/>
  <c r="A730" i="2"/>
  <c r="A742" i="3" s="1"/>
  <c r="G729" i="2"/>
  <c r="F729" i="2"/>
  <c r="E729" i="2"/>
  <c r="D729" i="2"/>
  <c r="C729" i="2"/>
  <c r="B729" i="2"/>
  <c r="B741" i="3" s="1"/>
  <c r="A729" i="2"/>
  <c r="A741" i="3" s="1"/>
  <c r="G728" i="2"/>
  <c r="F728" i="2"/>
  <c r="E728" i="2"/>
  <c r="D728" i="2"/>
  <c r="C728" i="2"/>
  <c r="B728" i="2"/>
  <c r="B740" i="3" s="1"/>
  <c r="A728" i="2"/>
  <c r="A740" i="3" s="1"/>
  <c r="G727" i="2"/>
  <c r="F727" i="2"/>
  <c r="E727" i="2"/>
  <c r="D727" i="2"/>
  <c r="C727" i="2"/>
  <c r="B727" i="2"/>
  <c r="B739" i="3" s="1"/>
  <c r="A727" i="2"/>
  <c r="A739" i="3" s="1"/>
  <c r="G726" i="2"/>
  <c r="F726" i="2"/>
  <c r="E726" i="2"/>
  <c r="D726" i="2"/>
  <c r="C726" i="2"/>
  <c r="B726" i="2"/>
  <c r="B738" i="3" s="1"/>
  <c r="A726" i="2"/>
  <c r="A738" i="3" s="1"/>
  <c r="G725" i="2"/>
  <c r="F725" i="2"/>
  <c r="E725" i="2"/>
  <c r="D725" i="2"/>
  <c r="C725" i="2"/>
  <c r="B725" i="2"/>
  <c r="B737" i="3" s="1"/>
  <c r="A725" i="2"/>
  <c r="A737" i="3" s="1"/>
  <c r="G724" i="2"/>
  <c r="F724" i="2"/>
  <c r="E724" i="2"/>
  <c r="D724" i="2"/>
  <c r="C724" i="2"/>
  <c r="B724" i="2"/>
  <c r="B736" i="3" s="1"/>
  <c r="A724" i="2"/>
  <c r="A736" i="3" s="1"/>
  <c r="G723" i="2"/>
  <c r="F723" i="2"/>
  <c r="E723" i="2"/>
  <c r="D723" i="2"/>
  <c r="C723" i="2"/>
  <c r="B723" i="2"/>
  <c r="B735" i="3" s="1"/>
  <c r="A723" i="2"/>
  <c r="A735" i="3" s="1"/>
  <c r="G722" i="2"/>
  <c r="F722" i="2"/>
  <c r="E722" i="2"/>
  <c r="D722" i="2"/>
  <c r="C722" i="2"/>
  <c r="B722" i="2"/>
  <c r="B734" i="3" s="1"/>
  <c r="A722" i="2"/>
  <c r="A734" i="3" s="1"/>
  <c r="G721" i="2"/>
  <c r="F721" i="2"/>
  <c r="E721" i="2"/>
  <c r="D721" i="2"/>
  <c r="C721" i="2"/>
  <c r="B721" i="2"/>
  <c r="B733" i="3" s="1"/>
  <c r="A721" i="2"/>
  <c r="A733" i="3" s="1"/>
  <c r="G720" i="2"/>
  <c r="F720" i="2"/>
  <c r="E720" i="2"/>
  <c r="D720" i="2"/>
  <c r="C720" i="2"/>
  <c r="B720" i="2"/>
  <c r="B732" i="3" s="1"/>
  <c r="A720" i="2"/>
  <c r="A732" i="3" s="1"/>
  <c r="G719" i="2"/>
  <c r="F719" i="2"/>
  <c r="E719" i="2"/>
  <c r="D719" i="2"/>
  <c r="C719" i="2"/>
  <c r="B719" i="2"/>
  <c r="B731" i="3" s="1"/>
  <c r="A719" i="2"/>
  <c r="A731" i="3" s="1"/>
  <c r="G718" i="2"/>
  <c r="F718" i="2"/>
  <c r="E718" i="2"/>
  <c r="D718" i="2"/>
  <c r="C718" i="2"/>
  <c r="B718" i="2"/>
  <c r="B730" i="3" s="1"/>
  <c r="A718" i="2"/>
  <c r="A730" i="3" s="1"/>
  <c r="G717" i="2"/>
  <c r="F717" i="2"/>
  <c r="E717" i="2"/>
  <c r="D717" i="2"/>
  <c r="C717" i="2"/>
  <c r="B717" i="2"/>
  <c r="B729" i="3" s="1"/>
  <c r="A717" i="2"/>
  <c r="A729" i="3" s="1"/>
  <c r="G716" i="2"/>
  <c r="F716" i="2"/>
  <c r="E716" i="2"/>
  <c r="D716" i="2"/>
  <c r="C716" i="2"/>
  <c r="B716" i="2"/>
  <c r="B728" i="3" s="1"/>
  <c r="A716" i="2"/>
  <c r="A728" i="3" s="1"/>
  <c r="G715" i="2"/>
  <c r="F715" i="2"/>
  <c r="E715" i="2"/>
  <c r="D715" i="2"/>
  <c r="C715" i="2"/>
  <c r="B715" i="2"/>
  <c r="B727" i="3" s="1"/>
  <c r="A715" i="2"/>
  <c r="A727" i="3" s="1"/>
  <c r="G714" i="2"/>
  <c r="F714" i="2"/>
  <c r="E714" i="2"/>
  <c r="D714" i="2"/>
  <c r="C714" i="2"/>
  <c r="B714" i="2"/>
  <c r="B726" i="3" s="1"/>
  <c r="A714" i="2"/>
  <c r="A726" i="3" s="1"/>
  <c r="G713" i="2"/>
  <c r="F713" i="2"/>
  <c r="E713" i="2"/>
  <c r="D713" i="2"/>
  <c r="C713" i="2"/>
  <c r="B713" i="2"/>
  <c r="B725" i="3" s="1"/>
  <c r="A713" i="2"/>
  <c r="A725" i="3" s="1"/>
  <c r="G712" i="2"/>
  <c r="F712" i="2"/>
  <c r="E712" i="2"/>
  <c r="D712" i="2"/>
  <c r="C712" i="2"/>
  <c r="B712" i="2"/>
  <c r="B724" i="3" s="1"/>
  <c r="A712" i="2"/>
  <c r="A724" i="3" s="1"/>
  <c r="G711" i="2"/>
  <c r="F711" i="2"/>
  <c r="E711" i="2"/>
  <c r="D711" i="2"/>
  <c r="C711" i="2"/>
  <c r="B711" i="2"/>
  <c r="B723" i="3" s="1"/>
  <c r="A711" i="2"/>
  <c r="A723" i="3" s="1"/>
  <c r="G710" i="2"/>
  <c r="F710" i="2"/>
  <c r="E710" i="2"/>
  <c r="D710" i="2"/>
  <c r="C710" i="2"/>
  <c r="B710" i="2"/>
  <c r="B722" i="3" s="1"/>
  <c r="A710" i="2"/>
  <c r="A722" i="3" s="1"/>
  <c r="G709" i="2"/>
  <c r="F709" i="2"/>
  <c r="E709" i="2"/>
  <c r="D709" i="2"/>
  <c r="C709" i="2"/>
  <c r="B709" i="2"/>
  <c r="B721" i="3" s="1"/>
  <c r="A709" i="2"/>
  <c r="A721" i="3" s="1"/>
  <c r="G708" i="2"/>
  <c r="F708" i="2"/>
  <c r="E708" i="2"/>
  <c r="D708" i="2"/>
  <c r="C708" i="2"/>
  <c r="B708" i="2"/>
  <c r="B720" i="3" s="1"/>
  <c r="A708" i="2"/>
  <c r="A720" i="3" s="1"/>
  <c r="G707" i="2"/>
  <c r="F707" i="2"/>
  <c r="E707" i="2"/>
  <c r="D707" i="2"/>
  <c r="C707" i="2"/>
  <c r="B707" i="2"/>
  <c r="B719" i="3" s="1"/>
  <c r="A707" i="2"/>
  <c r="A719" i="3" s="1"/>
  <c r="G706" i="2"/>
  <c r="F706" i="2"/>
  <c r="E706" i="2"/>
  <c r="D706" i="2"/>
  <c r="C706" i="2"/>
  <c r="B706" i="2"/>
  <c r="B718" i="3" s="1"/>
  <c r="A706" i="2"/>
  <c r="A718" i="3" s="1"/>
  <c r="G705" i="2"/>
  <c r="F705" i="2"/>
  <c r="E705" i="2"/>
  <c r="D705" i="2"/>
  <c r="C705" i="2"/>
  <c r="B705" i="2"/>
  <c r="B717" i="3" s="1"/>
  <c r="A705" i="2"/>
  <c r="A717" i="3" s="1"/>
  <c r="G704" i="2"/>
  <c r="F704" i="2"/>
  <c r="E704" i="2"/>
  <c r="D704" i="2"/>
  <c r="C704" i="2"/>
  <c r="B704" i="2"/>
  <c r="B716" i="3" s="1"/>
  <c r="A704" i="2"/>
  <c r="A716" i="3" s="1"/>
  <c r="G703" i="2"/>
  <c r="F703" i="2"/>
  <c r="E703" i="2"/>
  <c r="D703" i="2"/>
  <c r="C703" i="2"/>
  <c r="B703" i="2"/>
  <c r="B715" i="3" s="1"/>
  <c r="A703" i="2"/>
  <c r="A715" i="3" s="1"/>
  <c r="G702" i="2"/>
  <c r="F702" i="2"/>
  <c r="E702" i="2"/>
  <c r="D702" i="2"/>
  <c r="C702" i="2"/>
  <c r="B702" i="2"/>
  <c r="B714" i="3" s="1"/>
  <c r="A702" i="2"/>
  <c r="A714" i="3" s="1"/>
  <c r="G701" i="2"/>
  <c r="F701" i="2"/>
  <c r="E701" i="2"/>
  <c r="D701" i="2"/>
  <c r="C701" i="2"/>
  <c r="B701" i="2"/>
  <c r="B713" i="3" s="1"/>
  <c r="A701" i="2"/>
  <c r="A713" i="3" s="1"/>
  <c r="G700" i="2"/>
  <c r="F700" i="2"/>
  <c r="E700" i="2"/>
  <c r="D700" i="2"/>
  <c r="C700" i="2"/>
  <c r="B700" i="2"/>
  <c r="B712" i="3" s="1"/>
  <c r="A700" i="2"/>
  <c r="A712" i="3" s="1"/>
  <c r="G699" i="2"/>
  <c r="F699" i="2"/>
  <c r="E699" i="2"/>
  <c r="D699" i="2"/>
  <c r="C699" i="2"/>
  <c r="B699" i="2"/>
  <c r="B711" i="3" s="1"/>
  <c r="A699" i="2"/>
  <c r="A711" i="3" s="1"/>
  <c r="G698" i="2"/>
  <c r="F698" i="2"/>
  <c r="E698" i="2"/>
  <c r="D698" i="2"/>
  <c r="C698" i="2"/>
  <c r="B698" i="2"/>
  <c r="B710" i="3" s="1"/>
  <c r="A698" i="2"/>
  <c r="A710" i="3" s="1"/>
  <c r="G697" i="2"/>
  <c r="F697" i="2"/>
  <c r="E697" i="2"/>
  <c r="D697" i="2"/>
  <c r="C697" i="2"/>
  <c r="B697" i="2"/>
  <c r="B709" i="3" s="1"/>
  <c r="A697" i="2"/>
  <c r="A709" i="3" s="1"/>
  <c r="G696" i="2"/>
  <c r="F696" i="2"/>
  <c r="E696" i="2"/>
  <c r="D696" i="2"/>
  <c r="C696" i="2"/>
  <c r="B696" i="2"/>
  <c r="B708" i="3" s="1"/>
  <c r="A696" i="2"/>
  <c r="A708" i="3" s="1"/>
  <c r="G695" i="2"/>
  <c r="F695" i="2"/>
  <c r="E695" i="2"/>
  <c r="D695" i="2"/>
  <c r="C695" i="2"/>
  <c r="B695" i="2"/>
  <c r="B707" i="3" s="1"/>
  <c r="A695" i="2"/>
  <c r="A707" i="3" s="1"/>
  <c r="G694" i="2"/>
  <c r="F694" i="2"/>
  <c r="E694" i="2"/>
  <c r="D694" i="2"/>
  <c r="C694" i="2"/>
  <c r="B694" i="2"/>
  <c r="B706" i="3" s="1"/>
  <c r="A694" i="2"/>
  <c r="A706" i="3" s="1"/>
  <c r="G693" i="2"/>
  <c r="F693" i="2"/>
  <c r="E693" i="2"/>
  <c r="D693" i="2"/>
  <c r="C693" i="2"/>
  <c r="B693" i="2"/>
  <c r="B705" i="3" s="1"/>
  <c r="A693" i="2"/>
  <c r="A705" i="3" s="1"/>
  <c r="G692" i="2"/>
  <c r="F692" i="2"/>
  <c r="E692" i="2"/>
  <c r="D692" i="2"/>
  <c r="C692" i="2"/>
  <c r="B692" i="2"/>
  <c r="B704" i="3" s="1"/>
  <c r="A692" i="2"/>
  <c r="A704" i="3" s="1"/>
  <c r="G691" i="2"/>
  <c r="F691" i="2"/>
  <c r="E691" i="2"/>
  <c r="D691" i="2"/>
  <c r="C691" i="2"/>
  <c r="B691" i="2"/>
  <c r="B703" i="3" s="1"/>
  <c r="A691" i="2"/>
  <c r="A703" i="3" s="1"/>
  <c r="G690" i="2"/>
  <c r="F690" i="2"/>
  <c r="E690" i="2"/>
  <c r="D690" i="2"/>
  <c r="C690" i="2"/>
  <c r="B690" i="2"/>
  <c r="B702" i="3" s="1"/>
  <c r="A690" i="2"/>
  <c r="A702" i="3" s="1"/>
  <c r="G689" i="2"/>
  <c r="F689" i="2"/>
  <c r="E689" i="2"/>
  <c r="D689" i="2"/>
  <c r="C689" i="2"/>
  <c r="B689" i="2"/>
  <c r="B701" i="3" s="1"/>
  <c r="A689" i="2"/>
  <c r="A701" i="3" s="1"/>
  <c r="G688" i="2"/>
  <c r="F688" i="2"/>
  <c r="E688" i="2"/>
  <c r="D688" i="2"/>
  <c r="C688" i="2"/>
  <c r="B688" i="2"/>
  <c r="B700" i="3" s="1"/>
  <c r="A688" i="2"/>
  <c r="A700" i="3" s="1"/>
  <c r="G687" i="2"/>
  <c r="F687" i="2"/>
  <c r="E687" i="2"/>
  <c r="D687" i="2"/>
  <c r="C687" i="2"/>
  <c r="B687" i="2"/>
  <c r="B699" i="3" s="1"/>
  <c r="A687" i="2"/>
  <c r="A699" i="3" s="1"/>
  <c r="G686" i="2"/>
  <c r="F686" i="2"/>
  <c r="E686" i="2"/>
  <c r="D686" i="2"/>
  <c r="C686" i="2"/>
  <c r="B686" i="2"/>
  <c r="B698" i="3" s="1"/>
  <c r="A686" i="2"/>
  <c r="A698" i="3" s="1"/>
  <c r="G685" i="2"/>
  <c r="F685" i="2"/>
  <c r="E685" i="2"/>
  <c r="D685" i="2"/>
  <c r="C685" i="2"/>
  <c r="B685" i="2"/>
  <c r="A685" i="2"/>
  <c r="A697" i="3" s="1"/>
  <c r="G684" i="2"/>
  <c r="F684" i="2"/>
  <c r="E684" i="2"/>
  <c r="D684" i="2"/>
  <c r="C684" i="2"/>
  <c r="B684" i="2"/>
  <c r="B696" i="3" s="1"/>
  <c r="A684" i="2"/>
  <c r="A696" i="3" s="1"/>
  <c r="G683" i="2"/>
  <c r="F683" i="2"/>
  <c r="E683" i="2"/>
  <c r="D683" i="2"/>
  <c r="C683" i="2"/>
  <c r="B683" i="2"/>
  <c r="B695" i="3" s="1"/>
  <c r="A683" i="2"/>
  <c r="A695" i="3" s="1"/>
  <c r="G682" i="2"/>
  <c r="F682" i="2"/>
  <c r="E682" i="2"/>
  <c r="D682" i="2"/>
  <c r="C682" i="2"/>
  <c r="B682" i="2"/>
  <c r="B694" i="3" s="1"/>
  <c r="A682" i="2"/>
  <c r="A694" i="3" s="1"/>
  <c r="G681" i="2"/>
  <c r="F681" i="2"/>
  <c r="E681" i="2"/>
  <c r="D681" i="2"/>
  <c r="C681" i="2"/>
  <c r="B681" i="2"/>
  <c r="B693" i="3" s="1"/>
  <c r="A681" i="2"/>
  <c r="A693" i="3" s="1"/>
  <c r="G680" i="2"/>
  <c r="F680" i="2"/>
  <c r="E680" i="2"/>
  <c r="D680" i="2"/>
  <c r="C680" i="2"/>
  <c r="B680" i="2"/>
  <c r="B692" i="3" s="1"/>
  <c r="A680" i="2"/>
  <c r="A692" i="3" s="1"/>
  <c r="G679" i="2"/>
  <c r="F679" i="2"/>
  <c r="E679" i="2"/>
  <c r="D679" i="2"/>
  <c r="C679" i="2"/>
  <c r="B679" i="2"/>
  <c r="B691" i="3" s="1"/>
  <c r="A679" i="2"/>
  <c r="A691" i="3" s="1"/>
  <c r="G678" i="2"/>
  <c r="F678" i="2"/>
  <c r="E678" i="2"/>
  <c r="D678" i="2"/>
  <c r="C678" i="2"/>
  <c r="B678" i="2"/>
  <c r="B690" i="3" s="1"/>
  <c r="A678" i="2"/>
  <c r="A690" i="3" s="1"/>
  <c r="G677" i="2"/>
  <c r="F677" i="2"/>
  <c r="E677" i="2"/>
  <c r="D677" i="2"/>
  <c r="C677" i="2"/>
  <c r="B677" i="2"/>
  <c r="B689" i="3" s="1"/>
  <c r="A677" i="2"/>
  <c r="A689" i="3" s="1"/>
  <c r="G676" i="2"/>
  <c r="F676" i="2"/>
  <c r="E676" i="2"/>
  <c r="D676" i="2"/>
  <c r="C676" i="2"/>
  <c r="B676" i="2"/>
  <c r="B688" i="3" s="1"/>
  <c r="A676" i="2"/>
  <c r="A688" i="3" s="1"/>
  <c r="G675" i="2"/>
  <c r="F675" i="2"/>
  <c r="E675" i="2"/>
  <c r="D675" i="2"/>
  <c r="C675" i="2"/>
  <c r="B675" i="2"/>
  <c r="B687" i="3" s="1"/>
  <c r="A675" i="2"/>
  <c r="A687" i="3" s="1"/>
  <c r="G674" i="2"/>
  <c r="F674" i="2"/>
  <c r="E674" i="2"/>
  <c r="D674" i="2"/>
  <c r="C674" i="2"/>
  <c r="B674" i="2"/>
  <c r="B686" i="3" s="1"/>
  <c r="A674" i="2"/>
  <c r="A686" i="3" s="1"/>
  <c r="G673" i="2"/>
  <c r="F673" i="2"/>
  <c r="E673" i="2"/>
  <c r="D673" i="2"/>
  <c r="C673" i="2"/>
  <c r="B673" i="2"/>
  <c r="B685" i="3" s="1"/>
  <c r="A673" i="2"/>
  <c r="A685" i="3" s="1"/>
  <c r="G672" i="2"/>
  <c r="F672" i="2"/>
  <c r="E672" i="2"/>
  <c r="D672" i="2"/>
  <c r="C672" i="2"/>
  <c r="B672" i="2"/>
  <c r="B684" i="3" s="1"/>
  <c r="A672" i="2"/>
  <c r="A684" i="3" s="1"/>
  <c r="G671" i="2"/>
  <c r="F671" i="2"/>
  <c r="E671" i="2"/>
  <c r="D671" i="2"/>
  <c r="C671" i="2"/>
  <c r="B671" i="2"/>
  <c r="B683" i="3" s="1"/>
  <c r="A671" i="2"/>
  <c r="A683" i="3" s="1"/>
  <c r="G670" i="2"/>
  <c r="F670" i="2"/>
  <c r="E670" i="2"/>
  <c r="D670" i="2"/>
  <c r="C670" i="2"/>
  <c r="B670" i="2"/>
  <c r="B682" i="3" s="1"/>
  <c r="A670" i="2"/>
  <c r="A682" i="3" s="1"/>
  <c r="G669" i="2"/>
  <c r="F669" i="2"/>
  <c r="E669" i="2"/>
  <c r="D669" i="2"/>
  <c r="C669" i="2"/>
  <c r="B669" i="2"/>
  <c r="B681" i="3" s="1"/>
  <c r="A669" i="2"/>
  <c r="A681" i="3" s="1"/>
  <c r="G668" i="2"/>
  <c r="F668" i="2"/>
  <c r="E668" i="2"/>
  <c r="D668" i="2"/>
  <c r="C668" i="2"/>
  <c r="B668" i="2"/>
  <c r="B680" i="3" s="1"/>
  <c r="A668" i="2"/>
  <c r="A680" i="3" s="1"/>
  <c r="G667" i="2"/>
  <c r="F667" i="2"/>
  <c r="E667" i="2"/>
  <c r="D667" i="2"/>
  <c r="C667" i="2"/>
  <c r="B667" i="2"/>
  <c r="B679" i="3" s="1"/>
  <c r="A667" i="2"/>
  <c r="A679" i="3" s="1"/>
  <c r="G666" i="2"/>
  <c r="F666" i="2"/>
  <c r="E666" i="2"/>
  <c r="D666" i="2"/>
  <c r="C666" i="2"/>
  <c r="B666" i="2"/>
  <c r="B678" i="3" s="1"/>
  <c r="A666" i="2"/>
  <c r="A678" i="3" s="1"/>
  <c r="G665" i="2"/>
  <c r="F665" i="2"/>
  <c r="E665" i="2"/>
  <c r="D665" i="2"/>
  <c r="C665" i="2"/>
  <c r="B665" i="2"/>
  <c r="B677" i="3" s="1"/>
  <c r="A665" i="2"/>
  <c r="A677" i="3" s="1"/>
  <c r="G664" i="2"/>
  <c r="F664" i="2"/>
  <c r="E664" i="2"/>
  <c r="D664" i="2"/>
  <c r="C664" i="2"/>
  <c r="B664" i="2"/>
  <c r="B676" i="3" s="1"/>
  <c r="A664" i="2"/>
  <c r="A676" i="3" s="1"/>
  <c r="G663" i="2"/>
  <c r="F663" i="2"/>
  <c r="E663" i="2"/>
  <c r="D663" i="2"/>
  <c r="C663" i="2"/>
  <c r="B663" i="2"/>
  <c r="B675" i="3" s="1"/>
  <c r="A663" i="2"/>
  <c r="A675" i="3" s="1"/>
  <c r="G662" i="2"/>
  <c r="F662" i="2"/>
  <c r="E662" i="2"/>
  <c r="D662" i="2"/>
  <c r="C662" i="2"/>
  <c r="B662" i="2"/>
  <c r="B674" i="3" s="1"/>
  <c r="A662" i="2"/>
  <c r="A674" i="3" s="1"/>
  <c r="G661" i="2"/>
  <c r="F661" i="2"/>
  <c r="E661" i="2"/>
  <c r="D661" i="2"/>
  <c r="C661" i="2"/>
  <c r="B661" i="2"/>
  <c r="B673" i="3" s="1"/>
  <c r="A661" i="2"/>
  <c r="A673" i="3" s="1"/>
  <c r="G660" i="2"/>
  <c r="F660" i="2"/>
  <c r="E660" i="2"/>
  <c r="D660" i="2"/>
  <c r="C660" i="2"/>
  <c r="B660" i="2"/>
  <c r="B672" i="3" s="1"/>
  <c r="A660" i="2"/>
  <c r="A672" i="3" s="1"/>
  <c r="G659" i="2"/>
  <c r="F659" i="2"/>
  <c r="E659" i="2"/>
  <c r="D659" i="2"/>
  <c r="C659" i="2"/>
  <c r="B659" i="2"/>
  <c r="B671" i="3" s="1"/>
  <c r="A659" i="2"/>
  <c r="A671" i="3" s="1"/>
  <c r="G658" i="2"/>
  <c r="F658" i="2"/>
  <c r="E658" i="2"/>
  <c r="D658" i="2"/>
  <c r="C658" i="2"/>
  <c r="B658" i="2"/>
  <c r="B670" i="3" s="1"/>
  <c r="A658" i="2"/>
  <c r="A670" i="3" s="1"/>
  <c r="G657" i="2"/>
  <c r="F657" i="2"/>
  <c r="E657" i="2"/>
  <c r="D657" i="2"/>
  <c r="C657" i="2"/>
  <c r="B657" i="2"/>
  <c r="B669" i="3" s="1"/>
  <c r="A657" i="2"/>
  <c r="A669" i="3" s="1"/>
  <c r="G656" i="2"/>
  <c r="F656" i="2"/>
  <c r="E656" i="2"/>
  <c r="D656" i="2"/>
  <c r="C656" i="2"/>
  <c r="B656" i="2"/>
  <c r="B668" i="3" s="1"/>
  <c r="A656" i="2"/>
  <c r="A668" i="3" s="1"/>
  <c r="G655" i="2"/>
  <c r="F655" i="2"/>
  <c r="E655" i="2"/>
  <c r="D655" i="2"/>
  <c r="C655" i="2"/>
  <c r="B655" i="2"/>
  <c r="B667" i="3" s="1"/>
  <c r="A655" i="2"/>
  <c r="A667" i="3" s="1"/>
  <c r="G654" i="2"/>
  <c r="F654" i="2"/>
  <c r="E654" i="2"/>
  <c r="D654" i="2"/>
  <c r="C654" i="2"/>
  <c r="B654" i="2"/>
  <c r="B666" i="3" s="1"/>
  <c r="A654" i="2"/>
  <c r="A666" i="3" s="1"/>
  <c r="G653" i="2"/>
  <c r="F653" i="2"/>
  <c r="E653" i="2"/>
  <c r="D653" i="2"/>
  <c r="C653" i="2"/>
  <c r="B653" i="2"/>
  <c r="B665" i="3" s="1"/>
  <c r="A653" i="2"/>
  <c r="A665" i="3" s="1"/>
  <c r="G652" i="2"/>
  <c r="F652" i="2"/>
  <c r="E652" i="2"/>
  <c r="D652" i="2"/>
  <c r="C652" i="2"/>
  <c r="B652" i="2"/>
  <c r="B664" i="3" s="1"/>
  <c r="A652" i="2"/>
  <c r="A664" i="3" s="1"/>
  <c r="G651" i="2"/>
  <c r="F651" i="2"/>
  <c r="E651" i="2"/>
  <c r="D651" i="2"/>
  <c r="C651" i="2"/>
  <c r="B651" i="2"/>
  <c r="B663" i="3" s="1"/>
  <c r="A651" i="2"/>
  <c r="A663" i="3" s="1"/>
  <c r="G650" i="2"/>
  <c r="F650" i="2"/>
  <c r="E650" i="2"/>
  <c r="D650" i="2"/>
  <c r="C650" i="2"/>
  <c r="B650" i="2"/>
  <c r="B662" i="3" s="1"/>
  <c r="A650" i="2"/>
  <c r="A662" i="3" s="1"/>
  <c r="G649" i="2"/>
  <c r="F649" i="2"/>
  <c r="E649" i="2"/>
  <c r="D649" i="2"/>
  <c r="C649" i="2"/>
  <c r="B649" i="2"/>
  <c r="B661" i="3" s="1"/>
  <c r="A649" i="2"/>
  <c r="A661" i="3" s="1"/>
  <c r="G648" i="2"/>
  <c r="F648" i="2"/>
  <c r="E648" i="2"/>
  <c r="D648" i="2"/>
  <c r="C648" i="2"/>
  <c r="B648" i="2"/>
  <c r="B660" i="3" s="1"/>
  <c r="A648" i="2"/>
  <c r="A660" i="3" s="1"/>
  <c r="G647" i="2"/>
  <c r="F647" i="2"/>
  <c r="E647" i="2"/>
  <c r="D647" i="2"/>
  <c r="C647" i="2"/>
  <c r="B647" i="2"/>
  <c r="B659" i="3" s="1"/>
  <c r="A647" i="2"/>
  <c r="A659" i="3" s="1"/>
  <c r="G646" i="2"/>
  <c r="F646" i="2"/>
  <c r="E646" i="2"/>
  <c r="D646" i="2"/>
  <c r="C646" i="2"/>
  <c r="B646" i="2"/>
  <c r="B658" i="3" s="1"/>
  <c r="A646" i="2"/>
  <c r="A658" i="3" s="1"/>
  <c r="G645" i="2"/>
  <c r="F645" i="2"/>
  <c r="E645" i="2"/>
  <c r="D645" i="2"/>
  <c r="C645" i="2"/>
  <c r="B645" i="2"/>
  <c r="B657" i="3" s="1"/>
  <c r="A645" i="2"/>
  <c r="A657" i="3" s="1"/>
  <c r="G644" i="2"/>
  <c r="F644" i="2"/>
  <c r="E644" i="2"/>
  <c r="D644" i="2"/>
  <c r="C644" i="2"/>
  <c r="B644" i="2"/>
  <c r="B656" i="3" s="1"/>
  <c r="A644" i="2"/>
  <c r="A656" i="3" s="1"/>
  <c r="G643" i="2"/>
  <c r="F643" i="2"/>
  <c r="E643" i="2"/>
  <c r="D643" i="2"/>
  <c r="C643" i="2"/>
  <c r="B643" i="2"/>
  <c r="B655" i="3" s="1"/>
  <c r="A643" i="2"/>
  <c r="A655" i="3" s="1"/>
  <c r="G642" i="2"/>
  <c r="F642" i="2"/>
  <c r="E642" i="2"/>
  <c r="D642" i="2"/>
  <c r="C642" i="2"/>
  <c r="B642" i="2"/>
  <c r="B654" i="3" s="1"/>
  <c r="A642" i="2"/>
  <c r="A654" i="3" s="1"/>
  <c r="G641" i="2"/>
  <c r="F641" i="2"/>
  <c r="E641" i="2"/>
  <c r="D641" i="2"/>
  <c r="C641" i="2"/>
  <c r="B641" i="2"/>
  <c r="B653" i="3" s="1"/>
  <c r="A641" i="2"/>
  <c r="A653" i="3" s="1"/>
  <c r="G640" i="2"/>
  <c r="F640" i="2"/>
  <c r="E640" i="2"/>
  <c r="D640" i="2"/>
  <c r="C640" i="2"/>
  <c r="B640" i="2"/>
  <c r="B652" i="3" s="1"/>
  <c r="A640" i="2"/>
  <c r="A652" i="3" s="1"/>
  <c r="G639" i="2"/>
  <c r="F639" i="2"/>
  <c r="E639" i="2"/>
  <c r="D639" i="2"/>
  <c r="C639" i="2"/>
  <c r="B639" i="2"/>
  <c r="B651" i="3" s="1"/>
  <c r="A639" i="2"/>
  <c r="A651" i="3" s="1"/>
  <c r="G638" i="2"/>
  <c r="F638" i="2"/>
  <c r="E638" i="2"/>
  <c r="D638" i="2"/>
  <c r="C638" i="2"/>
  <c r="B638" i="2"/>
  <c r="B650" i="3" s="1"/>
  <c r="A638" i="2"/>
  <c r="A650" i="3" s="1"/>
  <c r="G637" i="2"/>
  <c r="F637" i="2"/>
  <c r="E637" i="2"/>
  <c r="D637" i="2"/>
  <c r="C637" i="2"/>
  <c r="B637" i="2"/>
  <c r="B649" i="3" s="1"/>
  <c r="A637" i="2"/>
  <c r="A649" i="3" s="1"/>
  <c r="G636" i="2"/>
  <c r="F636" i="2"/>
  <c r="E636" i="2"/>
  <c r="D636" i="2"/>
  <c r="C636" i="2"/>
  <c r="B636" i="2"/>
  <c r="B648" i="3" s="1"/>
  <c r="A636" i="2"/>
  <c r="A648" i="3" s="1"/>
  <c r="G635" i="2"/>
  <c r="F635" i="2"/>
  <c r="E635" i="2"/>
  <c r="D635" i="2"/>
  <c r="C635" i="2"/>
  <c r="B635" i="2"/>
  <c r="B647" i="3" s="1"/>
  <c r="A635" i="2"/>
  <c r="A647" i="3" s="1"/>
  <c r="G634" i="2"/>
  <c r="F634" i="2"/>
  <c r="E634" i="2"/>
  <c r="D634" i="2"/>
  <c r="C634" i="2"/>
  <c r="B634" i="2"/>
  <c r="B646" i="3" s="1"/>
  <c r="A634" i="2"/>
  <c r="A646" i="3" s="1"/>
  <c r="G633" i="2"/>
  <c r="F633" i="2"/>
  <c r="E633" i="2"/>
  <c r="D633" i="2"/>
  <c r="C633" i="2"/>
  <c r="B633" i="2"/>
  <c r="B645" i="3" s="1"/>
  <c r="A633" i="2"/>
  <c r="A645" i="3" s="1"/>
  <c r="G632" i="2"/>
  <c r="F632" i="2"/>
  <c r="E632" i="2"/>
  <c r="D632" i="2"/>
  <c r="C632" i="2"/>
  <c r="B632" i="2"/>
  <c r="B644" i="3" s="1"/>
  <c r="A632" i="2"/>
  <c r="A644" i="3" s="1"/>
  <c r="G631" i="2"/>
  <c r="F631" i="2"/>
  <c r="E631" i="2"/>
  <c r="D631" i="2"/>
  <c r="C631" i="2"/>
  <c r="B631" i="2"/>
  <c r="B643" i="3" s="1"/>
  <c r="A631" i="2"/>
  <c r="A643" i="3" s="1"/>
  <c r="G630" i="2"/>
  <c r="F630" i="2"/>
  <c r="E630" i="2"/>
  <c r="D630" i="2"/>
  <c r="C630" i="2"/>
  <c r="B630" i="2"/>
  <c r="B642" i="3" s="1"/>
  <c r="A630" i="2"/>
  <c r="A642" i="3" s="1"/>
  <c r="G629" i="2"/>
  <c r="F629" i="2"/>
  <c r="E629" i="2"/>
  <c r="D629" i="2"/>
  <c r="C629" i="2"/>
  <c r="B629" i="2"/>
  <c r="B641" i="3" s="1"/>
  <c r="A629" i="2"/>
  <c r="A641" i="3" s="1"/>
  <c r="G628" i="2"/>
  <c r="F628" i="2"/>
  <c r="E628" i="2"/>
  <c r="D628" i="2"/>
  <c r="C628" i="2"/>
  <c r="B628" i="2"/>
  <c r="B640" i="3" s="1"/>
  <c r="A628" i="2"/>
  <c r="A640" i="3" s="1"/>
  <c r="G627" i="2"/>
  <c r="F627" i="2"/>
  <c r="E627" i="2"/>
  <c r="D627" i="2"/>
  <c r="C627" i="2"/>
  <c r="B627" i="2"/>
  <c r="B639" i="3" s="1"/>
  <c r="A627" i="2"/>
  <c r="A639" i="3" s="1"/>
  <c r="G626" i="2"/>
  <c r="F626" i="2"/>
  <c r="E626" i="2"/>
  <c r="D626" i="2"/>
  <c r="C626" i="2"/>
  <c r="B626" i="2"/>
  <c r="B638" i="3" s="1"/>
  <c r="A626" i="2"/>
  <c r="A638" i="3" s="1"/>
  <c r="G625" i="2"/>
  <c r="F625" i="2"/>
  <c r="E625" i="2"/>
  <c r="D625" i="2"/>
  <c r="C625" i="2"/>
  <c r="B625" i="2"/>
  <c r="B637" i="3" s="1"/>
  <c r="A625" i="2"/>
  <c r="A637" i="3" s="1"/>
  <c r="G624" i="2"/>
  <c r="F624" i="2"/>
  <c r="E624" i="2"/>
  <c r="D624" i="2"/>
  <c r="C624" i="2"/>
  <c r="B624" i="2"/>
  <c r="B636" i="3" s="1"/>
  <c r="A624" i="2"/>
  <c r="A636" i="3" s="1"/>
  <c r="G623" i="2"/>
  <c r="F623" i="2"/>
  <c r="E623" i="2"/>
  <c r="D623" i="2"/>
  <c r="C623" i="2"/>
  <c r="B623" i="2"/>
  <c r="B635" i="3" s="1"/>
  <c r="A623" i="2"/>
  <c r="A635" i="3" s="1"/>
  <c r="G622" i="2"/>
  <c r="F622" i="2"/>
  <c r="E622" i="2"/>
  <c r="D622" i="2"/>
  <c r="C622" i="2"/>
  <c r="B622" i="2"/>
  <c r="B634" i="3" s="1"/>
  <c r="A622" i="2"/>
  <c r="A634" i="3" s="1"/>
  <c r="G621" i="2"/>
  <c r="F621" i="2"/>
  <c r="E621" i="2"/>
  <c r="D621" i="2"/>
  <c r="C621" i="2"/>
  <c r="B621" i="2"/>
  <c r="B633" i="3" s="1"/>
  <c r="A621" i="2"/>
  <c r="A633" i="3" s="1"/>
  <c r="G620" i="2"/>
  <c r="F620" i="2"/>
  <c r="E620" i="2"/>
  <c r="D620" i="2"/>
  <c r="C620" i="2"/>
  <c r="B620" i="2"/>
  <c r="B632" i="3" s="1"/>
  <c r="A620" i="2"/>
  <c r="A632" i="3" s="1"/>
  <c r="G619" i="2"/>
  <c r="F619" i="2"/>
  <c r="E619" i="2"/>
  <c r="D619" i="2"/>
  <c r="C619" i="2"/>
  <c r="B619" i="2"/>
  <c r="B631" i="3" s="1"/>
  <c r="A619" i="2"/>
  <c r="A631" i="3" s="1"/>
  <c r="G618" i="2"/>
  <c r="F618" i="2"/>
  <c r="E618" i="2"/>
  <c r="D618" i="2"/>
  <c r="C618" i="2"/>
  <c r="B618" i="2"/>
  <c r="B630" i="3" s="1"/>
  <c r="A618" i="2"/>
  <c r="A630" i="3" s="1"/>
  <c r="G617" i="2"/>
  <c r="F617" i="2"/>
  <c r="E617" i="2"/>
  <c r="D617" i="2"/>
  <c r="C617" i="2"/>
  <c r="B617" i="2"/>
  <c r="B629" i="3" s="1"/>
  <c r="A617" i="2"/>
  <c r="A629" i="3" s="1"/>
  <c r="G616" i="2"/>
  <c r="F616" i="2"/>
  <c r="E616" i="2"/>
  <c r="D616" i="2"/>
  <c r="C616" i="2"/>
  <c r="B616" i="2"/>
  <c r="B628" i="3" s="1"/>
  <c r="A616" i="2"/>
  <c r="A628" i="3" s="1"/>
  <c r="G615" i="2"/>
  <c r="F615" i="2"/>
  <c r="E615" i="2"/>
  <c r="D615" i="2"/>
  <c r="C615" i="2"/>
  <c r="B615" i="2"/>
  <c r="B627" i="3" s="1"/>
  <c r="A615" i="2"/>
  <c r="A627" i="3" s="1"/>
  <c r="G614" i="2"/>
  <c r="F614" i="2"/>
  <c r="E614" i="2"/>
  <c r="D614" i="2"/>
  <c r="C614" i="2"/>
  <c r="B614" i="2"/>
  <c r="B626" i="3" s="1"/>
  <c r="A614" i="2"/>
  <c r="A626" i="3" s="1"/>
  <c r="G613" i="2"/>
  <c r="F613" i="2"/>
  <c r="E613" i="2"/>
  <c r="D613" i="2"/>
  <c r="C613" i="2"/>
  <c r="B613" i="2"/>
  <c r="B625" i="3" s="1"/>
  <c r="A613" i="2"/>
  <c r="A625" i="3" s="1"/>
  <c r="G612" i="2"/>
  <c r="F612" i="2"/>
  <c r="E612" i="2"/>
  <c r="D612" i="2"/>
  <c r="C612" i="2"/>
  <c r="B612" i="2"/>
  <c r="B624" i="3" s="1"/>
  <c r="A612" i="2"/>
  <c r="A624" i="3" s="1"/>
  <c r="G611" i="2"/>
  <c r="F611" i="2"/>
  <c r="E611" i="2"/>
  <c r="D611" i="2"/>
  <c r="C611" i="2"/>
  <c r="B611" i="2"/>
  <c r="B623" i="3" s="1"/>
  <c r="A611" i="2"/>
  <c r="A623" i="3" s="1"/>
  <c r="G610" i="2"/>
  <c r="F610" i="2"/>
  <c r="E610" i="2"/>
  <c r="D610" i="2"/>
  <c r="C610" i="2"/>
  <c r="B610" i="2"/>
  <c r="B622" i="3" s="1"/>
  <c r="A610" i="2"/>
  <c r="A622" i="3" s="1"/>
  <c r="G609" i="2"/>
  <c r="F609" i="2"/>
  <c r="E609" i="2"/>
  <c r="D609" i="2"/>
  <c r="C609" i="2"/>
  <c r="B609" i="2"/>
  <c r="B621" i="3" s="1"/>
  <c r="A609" i="2"/>
  <c r="A621" i="3" s="1"/>
  <c r="G608" i="2"/>
  <c r="F608" i="2"/>
  <c r="E608" i="2"/>
  <c r="D608" i="2"/>
  <c r="C608" i="2"/>
  <c r="B608" i="2"/>
  <c r="B620" i="3" s="1"/>
  <c r="A608" i="2"/>
  <c r="A620" i="3" s="1"/>
  <c r="G607" i="2"/>
  <c r="F607" i="2"/>
  <c r="E607" i="2"/>
  <c r="D607" i="2"/>
  <c r="C607" i="2"/>
  <c r="B607" i="2"/>
  <c r="B619" i="3" s="1"/>
  <c r="A607" i="2"/>
  <c r="A619" i="3" s="1"/>
  <c r="G606" i="2"/>
  <c r="F606" i="2"/>
  <c r="E606" i="2"/>
  <c r="D606" i="2"/>
  <c r="C606" i="2"/>
  <c r="B606" i="2"/>
  <c r="B618" i="3" s="1"/>
  <c r="A606" i="2"/>
  <c r="A618" i="3" s="1"/>
  <c r="G605" i="2"/>
  <c r="F605" i="2"/>
  <c r="E605" i="2"/>
  <c r="D605" i="2"/>
  <c r="C605" i="2"/>
  <c r="B605" i="2"/>
  <c r="B617" i="3" s="1"/>
  <c r="A605" i="2"/>
  <c r="A617" i="3" s="1"/>
  <c r="G604" i="2"/>
  <c r="F604" i="2"/>
  <c r="E604" i="2"/>
  <c r="D604" i="2"/>
  <c r="C604" i="2"/>
  <c r="B604" i="2"/>
  <c r="B616" i="3" s="1"/>
  <c r="A604" i="2"/>
  <c r="A616" i="3" s="1"/>
  <c r="G603" i="2"/>
  <c r="F603" i="2"/>
  <c r="E603" i="2"/>
  <c r="D603" i="2"/>
  <c r="C603" i="2"/>
  <c r="B603" i="2"/>
  <c r="B615" i="3" s="1"/>
  <c r="A603" i="2"/>
  <c r="A615" i="3" s="1"/>
  <c r="G602" i="2"/>
  <c r="F602" i="2"/>
  <c r="E602" i="2"/>
  <c r="D602" i="2"/>
  <c r="C602" i="2"/>
  <c r="B602" i="2"/>
  <c r="B614" i="3" s="1"/>
  <c r="A602" i="2"/>
  <c r="A614" i="3" s="1"/>
  <c r="G601" i="2"/>
  <c r="F601" i="2"/>
  <c r="E601" i="2"/>
  <c r="D601" i="2"/>
  <c r="C601" i="2"/>
  <c r="B601" i="2"/>
  <c r="B613" i="3" s="1"/>
  <c r="A601" i="2"/>
  <c r="A613" i="3" s="1"/>
  <c r="G600" i="2"/>
  <c r="F600" i="2"/>
  <c r="E600" i="2"/>
  <c r="D600" i="2"/>
  <c r="C600" i="2"/>
  <c r="B600" i="2"/>
  <c r="B612" i="3" s="1"/>
  <c r="A600" i="2"/>
  <c r="A612" i="3" s="1"/>
  <c r="G599" i="2"/>
  <c r="F599" i="2"/>
  <c r="E599" i="2"/>
  <c r="D599" i="2"/>
  <c r="C599" i="2"/>
  <c r="B599" i="2"/>
  <c r="B611" i="3" s="1"/>
  <c r="A599" i="2"/>
  <c r="A611" i="3" s="1"/>
  <c r="G598" i="2"/>
  <c r="F598" i="2"/>
  <c r="E598" i="2"/>
  <c r="D598" i="2"/>
  <c r="C598" i="2"/>
  <c r="B598" i="2"/>
  <c r="B610" i="3" s="1"/>
  <c r="A598" i="2"/>
  <c r="A610" i="3" s="1"/>
  <c r="G597" i="2"/>
  <c r="F597" i="2"/>
  <c r="E597" i="2"/>
  <c r="D597" i="2"/>
  <c r="C597" i="2"/>
  <c r="B597" i="2"/>
  <c r="B609" i="3" s="1"/>
  <c r="A597" i="2"/>
  <c r="A609" i="3" s="1"/>
  <c r="G596" i="2"/>
  <c r="F596" i="2"/>
  <c r="E596" i="2"/>
  <c r="D596" i="2"/>
  <c r="C596" i="2"/>
  <c r="B596" i="2"/>
  <c r="B608" i="3" s="1"/>
  <c r="A596" i="2"/>
  <c r="A608" i="3" s="1"/>
  <c r="G595" i="2"/>
  <c r="F595" i="2"/>
  <c r="E595" i="2"/>
  <c r="D595" i="2"/>
  <c r="C595" i="2"/>
  <c r="B595" i="2"/>
  <c r="B607" i="3" s="1"/>
  <c r="A595" i="2"/>
  <c r="A607" i="3" s="1"/>
  <c r="G594" i="2"/>
  <c r="F594" i="2"/>
  <c r="E594" i="2"/>
  <c r="D594" i="2"/>
  <c r="C594" i="2"/>
  <c r="B594" i="2"/>
  <c r="B606" i="3" s="1"/>
  <c r="A594" i="2"/>
  <c r="A606" i="3" s="1"/>
  <c r="G593" i="2"/>
  <c r="F593" i="2"/>
  <c r="E593" i="2"/>
  <c r="D593" i="2"/>
  <c r="C593" i="2"/>
  <c r="B593" i="2"/>
  <c r="B605" i="3" s="1"/>
  <c r="A593" i="2"/>
  <c r="A605" i="3" s="1"/>
  <c r="G592" i="2"/>
  <c r="F592" i="2"/>
  <c r="E592" i="2"/>
  <c r="D592" i="2"/>
  <c r="C592" i="2"/>
  <c r="B592" i="2"/>
  <c r="B604" i="3" s="1"/>
  <c r="A592" i="2"/>
  <c r="A604" i="3" s="1"/>
  <c r="G591" i="2"/>
  <c r="F591" i="2"/>
  <c r="E591" i="2"/>
  <c r="D591" i="2"/>
  <c r="C591" i="2"/>
  <c r="B591" i="2"/>
  <c r="B603" i="3" s="1"/>
  <c r="A591" i="2"/>
  <c r="A603" i="3" s="1"/>
  <c r="G590" i="2"/>
  <c r="F590" i="2"/>
  <c r="E590" i="2"/>
  <c r="D590" i="2"/>
  <c r="C590" i="2"/>
  <c r="B590" i="2"/>
  <c r="B602" i="3" s="1"/>
  <c r="A590" i="2"/>
  <c r="A602" i="3" s="1"/>
  <c r="G589" i="2"/>
  <c r="F589" i="2"/>
  <c r="E589" i="2"/>
  <c r="D589" i="2"/>
  <c r="C589" i="2"/>
  <c r="B589" i="2"/>
  <c r="B601" i="3" s="1"/>
  <c r="A589" i="2"/>
  <c r="A601" i="3" s="1"/>
  <c r="G588" i="2"/>
  <c r="F588" i="2"/>
  <c r="E588" i="2"/>
  <c r="D588" i="2"/>
  <c r="C588" i="2"/>
  <c r="B588" i="2"/>
  <c r="B600" i="3" s="1"/>
  <c r="A588" i="2"/>
  <c r="A600" i="3" s="1"/>
  <c r="G587" i="2"/>
  <c r="F587" i="2"/>
  <c r="E587" i="2"/>
  <c r="D587" i="2"/>
  <c r="C587" i="2"/>
  <c r="B587" i="2"/>
  <c r="B599" i="3" s="1"/>
  <c r="A587" i="2"/>
  <c r="A599" i="3" s="1"/>
  <c r="G586" i="2"/>
  <c r="F586" i="2"/>
  <c r="E586" i="2"/>
  <c r="D586" i="2"/>
  <c r="C586" i="2"/>
  <c r="B586" i="2"/>
  <c r="B598" i="3" s="1"/>
  <c r="A586" i="2"/>
  <c r="A598" i="3" s="1"/>
  <c r="G585" i="2"/>
  <c r="F585" i="2"/>
  <c r="E585" i="2"/>
  <c r="D585" i="2"/>
  <c r="C585" i="2"/>
  <c r="B585" i="2"/>
  <c r="B597" i="3" s="1"/>
  <c r="A585" i="2"/>
  <c r="A597" i="3" s="1"/>
  <c r="G584" i="2"/>
  <c r="F584" i="2"/>
  <c r="E584" i="2"/>
  <c r="D584" i="2"/>
  <c r="C584" i="2"/>
  <c r="B584" i="2"/>
  <c r="B596" i="3" s="1"/>
  <c r="A584" i="2"/>
  <c r="A596" i="3" s="1"/>
  <c r="G583" i="2"/>
  <c r="F583" i="2"/>
  <c r="E583" i="2"/>
  <c r="D583" i="2"/>
  <c r="C583" i="2"/>
  <c r="B583" i="2"/>
  <c r="B595" i="3" s="1"/>
  <c r="A583" i="2"/>
  <c r="A595" i="3" s="1"/>
  <c r="G582" i="2"/>
  <c r="F582" i="2"/>
  <c r="E582" i="2"/>
  <c r="D582" i="2"/>
  <c r="C582" i="2"/>
  <c r="B582" i="2"/>
  <c r="B594" i="3" s="1"/>
  <c r="A582" i="2"/>
  <c r="A594" i="3" s="1"/>
  <c r="G581" i="2"/>
  <c r="F581" i="2"/>
  <c r="E581" i="2"/>
  <c r="D581" i="2"/>
  <c r="C581" i="2"/>
  <c r="B581" i="2"/>
  <c r="B593" i="3" s="1"/>
  <c r="A581" i="2"/>
  <c r="A593" i="3" s="1"/>
  <c r="G580" i="2"/>
  <c r="F580" i="2"/>
  <c r="E580" i="2"/>
  <c r="D580" i="2"/>
  <c r="C580" i="2"/>
  <c r="B580" i="2"/>
  <c r="B592" i="3" s="1"/>
  <c r="A580" i="2"/>
  <c r="A592" i="3" s="1"/>
  <c r="G579" i="2"/>
  <c r="F579" i="2"/>
  <c r="E579" i="2"/>
  <c r="D579" i="2"/>
  <c r="C579" i="2"/>
  <c r="B579" i="2"/>
  <c r="B591" i="3" s="1"/>
  <c r="A579" i="2"/>
  <c r="A591" i="3" s="1"/>
  <c r="G578" i="2"/>
  <c r="F578" i="2"/>
  <c r="E578" i="2"/>
  <c r="D578" i="2"/>
  <c r="C578" i="2"/>
  <c r="B578" i="2"/>
  <c r="B590" i="3" s="1"/>
  <c r="A578" i="2"/>
  <c r="A590" i="3" s="1"/>
  <c r="G577" i="2"/>
  <c r="F577" i="2"/>
  <c r="E577" i="2"/>
  <c r="D577" i="2"/>
  <c r="C577" i="2"/>
  <c r="B577" i="2"/>
  <c r="B589" i="3" s="1"/>
  <c r="A577" i="2"/>
  <c r="A589" i="3" s="1"/>
  <c r="G576" i="2"/>
  <c r="F576" i="2"/>
  <c r="E576" i="2"/>
  <c r="D576" i="2"/>
  <c r="C576" i="2"/>
  <c r="B576" i="2"/>
  <c r="B588" i="3" s="1"/>
  <c r="A576" i="2"/>
  <c r="A588" i="3" s="1"/>
  <c r="G575" i="2"/>
  <c r="F575" i="2"/>
  <c r="E575" i="2"/>
  <c r="D575" i="2"/>
  <c r="C575" i="2"/>
  <c r="B575" i="2"/>
  <c r="B587" i="3" s="1"/>
  <c r="A575" i="2"/>
  <c r="A587" i="3" s="1"/>
  <c r="G574" i="2"/>
  <c r="F574" i="2"/>
  <c r="E574" i="2"/>
  <c r="D574" i="2"/>
  <c r="C574" i="2"/>
  <c r="B574" i="2"/>
  <c r="B586" i="3" s="1"/>
  <c r="A574" i="2"/>
  <c r="A586" i="3" s="1"/>
  <c r="G573" i="2"/>
  <c r="F573" i="2"/>
  <c r="E573" i="2"/>
  <c r="D573" i="2"/>
  <c r="C573" i="2"/>
  <c r="B573" i="2"/>
  <c r="B585" i="3" s="1"/>
  <c r="A573" i="2"/>
  <c r="A585" i="3" s="1"/>
  <c r="G572" i="2"/>
  <c r="F572" i="2"/>
  <c r="E572" i="2"/>
  <c r="D572" i="2"/>
  <c r="C572" i="2"/>
  <c r="B572" i="2"/>
  <c r="B584" i="3" s="1"/>
  <c r="A572" i="2"/>
  <c r="A584" i="3" s="1"/>
  <c r="G571" i="2"/>
  <c r="F571" i="2"/>
  <c r="E571" i="2"/>
  <c r="D571" i="2"/>
  <c r="C571" i="2"/>
  <c r="B571" i="2"/>
  <c r="B583" i="3" s="1"/>
  <c r="A571" i="2"/>
  <c r="A583" i="3" s="1"/>
  <c r="G570" i="2"/>
  <c r="F570" i="2"/>
  <c r="E570" i="2"/>
  <c r="D570" i="2"/>
  <c r="C570" i="2"/>
  <c r="B570" i="2"/>
  <c r="B582" i="3" s="1"/>
  <c r="A570" i="2"/>
  <c r="A582" i="3" s="1"/>
  <c r="G569" i="2"/>
  <c r="F569" i="2"/>
  <c r="E569" i="2"/>
  <c r="D569" i="2"/>
  <c r="C569" i="2"/>
  <c r="B569" i="2"/>
  <c r="B581" i="3" s="1"/>
  <c r="A569" i="2"/>
  <c r="A581" i="3" s="1"/>
  <c r="G568" i="2"/>
  <c r="F568" i="2"/>
  <c r="E568" i="2"/>
  <c r="D568" i="2"/>
  <c r="C568" i="2"/>
  <c r="B568" i="2"/>
  <c r="B580" i="3" s="1"/>
  <c r="A568" i="2"/>
  <c r="A580" i="3" s="1"/>
  <c r="G567" i="2"/>
  <c r="F567" i="2"/>
  <c r="E567" i="2"/>
  <c r="D567" i="2"/>
  <c r="C567" i="2"/>
  <c r="B567" i="2"/>
  <c r="B579" i="3" s="1"/>
  <c r="A567" i="2"/>
  <c r="A579" i="3" s="1"/>
  <c r="G566" i="2"/>
  <c r="F566" i="2"/>
  <c r="E566" i="2"/>
  <c r="D566" i="2"/>
  <c r="C566" i="2"/>
  <c r="B566" i="2"/>
  <c r="B578" i="3" s="1"/>
  <c r="A566" i="2"/>
  <c r="A578" i="3" s="1"/>
  <c r="G565" i="2"/>
  <c r="F565" i="2"/>
  <c r="E565" i="2"/>
  <c r="D565" i="2"/>
  <c r="C565" i="2"/>
  <c r="B565" i="2"/>
  <c r="B577" i="3" s="1"/>
  <c r="A565" i="2"/>
  <c r="A577" i="3" s="1"/>
  <c r="G564" i="2"/>
  <c r="F564" i="2"/>
  <c r="E564" i="2"/>
  <c r="D564" i="2"/>
  <c r="C564" i="2"/>
  <c r="B564" i="2"/>
  <c r="B576" i="3" s="1"/>
  <c r="A564" i="2"/>
  <c r="A576" i="3" s="1"/>
  <c r="G563" i="2"/>
  <c r="F563" i="2"/>
  <c r="E563" i="2"/>
  <c r="D563" i="2"/>
  <c r="C563" i="2"/>
  <c r="B563" i="2"/>
  <c r="B575" i="3" s="1"/>
  <c r="A563" i="2"/>
  <c r="A575" i="3" s="1"/>
  <c r="G562" i="2"/>
  <c r="F562" i="2"/>
  <c r="E562" i="2"/>
  <c r="D562" i="2"/>
  <c r="C562" i="2"/>
  <c r="B562" i="2"/>
  <c r="B574" i="3" s="1"/>
  <c r="A562" i="2"/>
  <c r="A574" i="3" s="1"/>
  <c r="G561" i="2"/>
  <c r="F561" i="2"/>
  <c r="E561" i="2"/>
  <c r="D561" i="2"/>
  <c r="C561" i="2"/>
  <c r="B561" i="2"/>
  <c r="B573" i="3" s="1"/>
  <c r="A561" i="2"/>
  <c r="A573" i="3" s="1"/>
  <c r="G560" i="2"/>
  <c r="F560" i="2"/>
  <c r="E560" i="2"/>
  <c r="D560" i="2"/>
  <c r="C560" i="2"/>
  <c r="B560" i="2"/>
  <c r="B572" i="3" s="1"/>
  <c r="A560" i="2"/>
  <c r="A572" i="3" s="1"/>
  <c r="G559" i="2"/>
  <c r="F559" i="2"/>
  <c r="E559" i="2"/>
  <c r="D559" i="2"/>
  <c r="C559" i="2"/>
  <c r="B559" i="2"/>
  <c r="B571" i="3" s="1"/>
  <c r="A559" i="2"/>
  <c r="A571" i="3" s="1"/>
  <c r="G558" i="2"/>
  <c r="F558" i="2"/>
  <c r="E558" i="2"/>
  <c r="D558" i="2"/>
  <c r="C558" i="2"/>
  <c r="B558" i="2"/>
  <c r="B570" i="3" s="1"/>
  <c r="A558" i="2"/>
  <c r="A570" i="3" s="1"/>
  <c r="G557" i="2"/>
  <c r="F557" i="2"/>
  <c r="E557" i="2"/>
  <c r="D557" i="2"/>
  <c r="C557" i="2"/>
  <c r="B557" i="2"/>
  <c r="B569" i="3" s="1"/>
  <c r="A557" i="2"/>
  <c r="A569" i="3" s="1"/>
  <c r="G556" i="2"/>
  <c r="F556" i="2"/>
  <c r="E556" i="2"/>
  <c r="D556" i="2"/>
  <c r="C556" i="2"/>
  <c r="B556" i="2"/>
  <c r="B568" i="3" s="1"/>
  <c r="A556" i="2"/>
  <c r="A568" i="3" s="1"/>
  <c r="G555" i="2"/>
  <c r="F555" i="2"/>
  <c r="E555" i="2"/>
  <c r="D555" i="2"/>
  <c r="C555" i="2"/>
  <c r="B555" i="2"/>
  <c r="B567" i="3" s="1"/>
  <c r="A555" i="2"/>
  <c r="A567" i="3" s="1"/>
  <c r="G554" i="2"/>
  <c r="F554" i="2"/>
  <c r="E554" i="2"/>
  <c r="D554" i="2"/>
  <c r="C554" i="2"/>
  <c r="B554" i="2"/>
  <c r="B566" i="3" s="1"/>
  <c r="A554" i="2"/>
  <c r="A566" i="3" s="1"/>
  <c r="G553" i="2"/>
  <c r="F553" i="2"/>
  <c r="E553" i="2"/>
  <c r="D553" i="2"/>
  <c r="C553" i="2"/>
  <c r="B553" i="2"/>
  <c r="B565" i="3" s="1"/>
  <c r="A553" i="2"/>
  <c r="A565" i="3" s="1"/>
  <c r="G552" i="2"/>
  <c r="F552" i="2"/>
  <c r="E552" i="2"/>
  <c r="D552" i="2"/>
  <c r="C552" i="2"/>
  <c r="B552" i="2"/>
  <c r="B564" i="3" s="1"/>
  <c r="A552" i="2"/>
  <c r="A564" i="3" s="1"/>
  <c r="G551" i="2"/>
  <c r="F551" i="2"/>
  <c r="E551" i="2"/>
  <c r="D551" i="2"/>
  <c r="C551" i="2"/>
  <c r="B551" i="2"/>
  <c r="B563" i="3" s="1"/>
  <c r="A551" i="2"/>
  <c r="A563" i="3" s="1"/>
  <c r="G550" i="2"/>
  <c r="F550" i="2"/>
  <c r="E550" i="2"/>
  <c r="D550" i="2"/>
  <c r="C550" i="2"/>
  <c r="B550" i="2"/>
  <c r="B562" i="3" s="1"/>
  <c r="A550" i="2"/>
  <c r="A562" i="3" s="1"/>
  <c r="G549" i="2"/>
  <c r="F549" i="2"/>
  <c r="E549" i="2"/>
  <c r="D549" i="2"/>
  <c r="C549" i="2"/>
  <c r="B549" i="2"/>
  <c r="B561" i="3" s="1"/>
  <c r="A549" i="2"/>
  <c r="A561" i="3" s="1"/>
  <c r="G548" i="2"/>
  <c r="F548" i="2"/>
  <c r="E548" i="2"/>
  <c r="D548" i="2"/>
  <c r="C548" i="2"/>
  <c r="B548" i="2"/>
  <c r="B560" i="3" s="1"/>
  <c r="A548" i="2"/>
  <c r="A560" i="3" s="1"/>
  <c r="G547" i="2"/>
  <c r="F547" i="2"/>
  <c r="E547" i="2"/>
  <c r="D547" i="2"/>
  <c r="C547" i="2"/>
  <c r="B547" i="2"/>
  <c r="B559" i="3" s="1"/>
  <c r="A547" i="2"/>
  <c r="A559" i="3" s="1"/>
  <c r="G546" i="2"/>
  <c r="F546" i="2"/>
  <c r="E546" i="2"/>
  <c r="D546" i="2"/>
  <c r="C546" i="2"/>
  <c r="B546" i="2"/>
  <c r="B558" i="3" s="1"/>
  <c r="A546" i="2"/>
  <c r="A558" i="3" s="1"/>
  <c r="G545" i="2"/>
  <c r="F545" i="2"/>
  <c r="E545" i="2"/>
  <c r="D545" i="2"/>
  <c r="C545" i="2"/>
  <c r="B545" i="2"/>
  <c r="B557" i="3" s="1"/>
  <c r="A545" i="2"/>
  <c r="A557" i="3" s="1"/>
  <c r="G544" i="2"/>
  <c r="F544" i="2"/>
  <c r="E544" i="2"/>
  <c r="D544" i="2"/>
  <c r="C544" i="2"/>
  <c r="B544" i="2"/>
  <c r="B556" i="3" s="1"/>
  <c r="A544" i="2"/>
  <c r="A556" i="3" s="1"/>
  <c r="G543" i="2"/>
  <c r="F543" i="2"/>
  <c r="E543" i="2"/>
  <c r="D543" i="2"/>
  <c r="C543" i="2"/>
  <c r="B543" i="2"/>
  <c r="B555" i="3" s="1"/>
  <c r="A543" i="2"/>
  <c r="A555" i="3" s="1"/>
  <c r="G542" i="2"/>
  <c r="F542" i="2"/>
  <c r="E542" i="2"/>
  <c r="D542" i="2"/>
  <c r="C542" i="2"/>
  <c r="B542" i="2"/>
  <c r="B554" i="3" s="1"/>
  <c r="A542" i="2"/>
  <c r="A554" i="3" s="1"/>
  <c r="G541" i="2"/>
  <c r="F541" i="2"/>
  <c r="E541" i="2"/>
  <c r="D541" i="2"/>
  <c r="C541" i="2"/>
  <c r="B541" i="2"/>
  <c r="B553" i="3" s="1"/>
  <c r="A541" i="2"/>
  <c r="A553" i="3" s="1"/>
  <c r="G540" i="2"/>
  <c r="F540" i="2"/>
  <c r="E540" i="2"/>
  <c r="D540" i="2"/>
  <c r="C540" i="2"/>
  <c r="B540" i="2"/>
  <c r="B552" i="3" s="1"/>
  <c r="A540" i="2"/>
  <c r="A552" i="3" s="1"/>
  <c r="G539" i="2"/>
  <c r="F539" i="2"/>
  <c r="E539" i="2"/>
  <c r="D539" i="2"/>
  <c r="C539" i="2"/>
  <c r="B539" i="2"/>
  <c r="B551" i="3" s="1"/>
  <c r="A539" i="2"/>
  <c r="A551" i="3" s="1"/>
  <c r="G538" i="2"/>
  <c r="F538" i="2"/>
  <c r="E538" i="2"/>
  <c r="D538" i="2"/>
  <c r="C538" i="2"/>
  <c r="B538" i="2"/>
  <c r="B550" i="3" s="1"/>
  <c r="A538" i="2"/>
  <c r="A550" i="3" s="1"/>
  <c r="G537" i="2"/>
  <c r="F537" i="2"/>
  <c r="E537" i="2"/>
  <c r="D537" i="2"/>
  <c r="C537" i="2"/>
  <c r="B537" i="2"/>
  <c r="B549" i="3" s="1"/>
  <c r="A537" i="2"/>
  <c r="A549" i="3" s="1"/>
  <c r="G536" i="2"/>
  <c r="F536" i="2"/>
  <c r="E536" i="2"/>
  <c r="D536" i="2"/>
  <c r="C536" i="2"/>
  <c r="B536" i="2"/>
  <c r="B548" i="3" s="1"/>
  <c r="A536" i="2"/>
  <c r="A548" i="3" s="1"/>
  <c r="G535" i="2"/>
  <c r="F535" i="2"/>
  <c r="E535" i="2"/>
  <c r="D535" i="2"/>
  <c r="C535" i="2"/>
  <c r="B535" i="2"/>
  <c r="B547" i="3" s="1"/>
  <c r="A535" i="2"/>
  <c r="A547" i="3" s="1"/>
  <c r="G534" i="2"/>
  <c r="F534" i="2"/>
  <c r="E534" i="2"/>
  <c r="D534" i="2"/>
  <c r="C534" i="2"/>
  <c r="B534" i="2"/>
  <c r="B546" i="3" s="1"/>
  <c r="A534" i="2"/>
  <c r="A546" i="3" s="1"/>
  <c r="G533" i="2"/>
  <c r="F533" i="2"/>
  <c r="E533" i="2"/>
  <c r="D533" i="2"/>
  <c r="C533" i="2"/>
  <c r="B533" i="2"/>
  <c r="B545" i="3" s="1"/>
  <c r="A533" i="2"/>
  <c r="A545" i="3" s="1"/>
  <c r="G532" i="2"/>
  <c r="F532" i="2"/>
  <c r="E532" i="2"/>
  <c r="D532" i="2"/>
  <c r="C532" i="2"/>
  <c r="B532" i="2"/>
  <c r="B544" i="3" s="1"/>
  <c r="A532" i="2"/>
  <c r="A544" i="3" s="1"/>
  <c r="G531" i="2"/>
  <c r="F531" i="2"/>
  <c r="E531" i="2"/>
  <c r="D531" i="2"/>
  <c r="C531" i="2"/>
  <c r="B531" i="2"/>
  <c r="B543" i="3" s="1"/>
  <c r="A531" i="2"/>
  <c r="A543" i="3" s="1"/>
  <c r="G530" i="2"/>
  <c r="F530" i="2"/>
  <c r="E530" i="2"/>
  <c r="D530" i="2"/>
  <c r="C530" i="2"/>
  <c r="B530" i="2"/>
  <c r="B542" i="3" s="1"/>
  <c r="A530" i="2"/>
  <c r="A542" i="3" s="1"/>
  <c r="G529" i="2"/>
  <c r="F529" i="2"/>
  <c r="E529" i="2"/>
  <c r="D529" i="2"/>
  <c r="C529" i="2"/>
  <c r="B529" i="2"/>
  <c r="B541" i="3" s="1"/>
  <c r="A529" i="2"/>
  <c r="A541" i="3" s="1"/>
  <c r="G528" i="2"/>
  <c r="F528" i="2"/>
  <c r="E528" i="2"/>
  <c r="D528" i="2"/>
  <c r="C528" i="2"/>
  <c r="B528" i="2"/>
  <c r="B540" i="3" s="1"/>
  <c r="A528" i="2"/>
  <c r="A540" i="3" s="1"/>
  <c r="G527" i="2"/>
  <c r="F527" i="2"/>
  <c r="E527" i="2"/>
  <c r="D527" i="2"/>
  <c r="C527" i="2"/>
  <c r="B527" i="2"/>
  <c r="B539" i="3" s="1"/>
  <c r="A527" i="2"/>
  <c r="A539" i="3" s="1"/>
  <c r="G526" i="2"/>
  <c r="F526" i="2"/>
  <c r="E526" i="2"/>
  <c r="D526" i="2"/>
  <c r="C526" i="2"/>
  <c r="B526" i="2"/>
  <c r="B538" i="3" s="1"/>
  <c r="A526" i="2"/>
  <c r="A538" i="3" s="1"/>
  <c r="G525" i="2"/>
  <c r="F525" i="2"/>
  <c r="E525" i="2"/>
  <c r="D525" i="2"/>
  <c r="C525" i="2"/>
  <c r="B525" i="2"/>
  <c r="B537" i="3" s="1"/>
  <c r="A525" i="2"/>
  <c r="A537" i="3" s="1"/>
  <c r="G524" i="2"/>
  <c r="F524" i="2"/>
  <c r="E524" i="2"/>
  <c r="D524" i="2"/>
  <c r="C524" i="2"/>
  <c r="B524" i="2"/>
  <c r="B536" i="3" s="1"/>
  <c r="A524" i="2"/>
  <c r="A536" i="3" s="1"/>
  <c r="G523" i="2"/>
  <c r="F523" i="2"/>
  <c r="E523" i="2"/>
  <c r="D523" i="2"/>
  <c r="C523" i="2"/>
  <c r="B523" i="2"/>
  <c r="B535" i="3" s="1"/>
  <c r="A523" i="2"/>
  <c r="A535" i="3" s="1"/>
  <c r="G522" i="2"/>
  <c r="F522" i="2"/>
  <c r="E522" i="2"/>
  <c r="D522" i="2"/>
  <c r="C522" i="2"/>
  <c r="B522" i="2"/>
  <c r="B534" i="3" s="1"/>
  <c r="A522" i="2"/>
  <c r="A534" i="3" s="1"/>
  <c r="G521" i="2"/>
  <c r="F521" i="2"/>
  <c r="E521" i="2"/>
  <c r="D521" i="2"/>
  <c r="C521" i="2"/>
  <c r="B521" i="2"/>
  <c r="B533" i="3" s="1"/>
  <c r="A521" i="2"/>
  <c r="A533" i="3" s="1"/>
  <c r="G520" i="2"/>
  <c r="F520" i="2"/>
  <c r="E520" i="2"/>
  <c r="D520" i="2"/>
  <c r="C520" i="2"/>
  <c r="B520" i="2"/>
  <c r="B532" i="3" s="1"/>
  <c r="A520" i="2"/>
  <c r="A532" i="3" s="1"/>
  <c r="G519" i="2"/>
  <c r="F519" i="2"/>
  <c r="E519" i="2"/>
  <c r="D519" i="2"/>
  <c r="C519" i="2"/>
  <c r="B519" i="2"/>
  <c r="B531" i="3" s="1"/>
  <c r="A519" i="2"/>
  <c r="A531" i="3" s="1"/>
  <c r="G518" i="2"/>
  <c r="F518" i="2"/>
  <c r="E518" i="2"/>
  <c r="D518" i="2"/>
  <c r="C518" i="2"/>
  <c r="B518" i="2"/>
  <c r="B530" i="3" s="1"/>
  <c r="A518" i="2"/>
  <c r="A530" i="3" s="1"/>
  <c r="G517" i="2"/>
  <c r="F517" i="2"/>
  <c r="E517" i="2"/>
  <c r="D517" i="2"/>
  <c r="C517" i="2"/>
  <c r="B517" i="2"/>
  <c r="B529" i="3" s="1"/>
  <c r="A517" i="2"/>
  <c r="A529" i="3" s="1"/>
  <c r="G516" i="2"/>
  <c r="F516" i="2"/>
  <c r="E516" i="2"/>
  <c r="D516" i="2"/>
  <c r="C516" i="2"/>
  <c r="B516" i="2"/>
  <c r="B528" i="3" s="1"/>
  <c r="A516" i="2"/>
  <c r="A528" i="3" s="1"/>
  <c r="G515" i="2"/>
  <c r="F515" i="2"/>
  <c r="E515" i="2"/>
  <c r="D515" i="2"/>
  <c r="C515" i="2"/>
  <c r="B515" i="2"/>
  <c r="B527" i="3" s="1"/>
  <c r="A515" i="2"/>
  <c r="A527" i="3" s="1"/>
  <c r="G514" i="2"/>
  <c r="F514" i="2"/>
  <c r="E514" i="2"/>
  <c r="D514" i="2"/>
  <c r="C514" i="2"/>
  <c r="B514" i="2"/>
  <c r="B526" i="3" s="1"/>
  <c r="A514" i="2"/>
  <c r="A526" i="3" s="1"/>
  <c r="G513" i="2"/>
  <c r="F513" i="2"/>
  <c r="E513" i="2"/>
  <c r="D513" i="2"/>
  <c r="C513" i="2"/>
  <c r="B513" i="2"/>
  <c r="B525" i="3" s="1"/>
  <c r="A513" i="2"/>
  <c r="A525" i="3" s="1"/>
  <c r="G512" i="2"/>
  <c r="F512" i="2"/>
  <c r="E512" i="2"/>
  <c r="D512" i="2"/>
  <c r="C512" i="2"/>
  <c r="B512" i="2"/>
  <c r="B524" i="3" s="1"/>
  <c r="A512" i="2"/>
  <c r="A524" i="3" s="1"/>
  <c r="G511" i="2"/>
  <c r="F511" i="2"/>
  <c r="E511" i="2"/>
  <c r="D511" i="2"/>
  <c r="C511" i="2"/>
  <c r="B511" i="2"/>
  <c r="B523" i="3" s="1"/>
  <c r="A511" i="2"/>
  <c r="A523" i="3" s="1"/>
  <c r="G510" i="2"/>
  <c r="F510" i="2"/>
  <c r="E510" i="2"/>
  <c r="D510" i="2"/>
  <c r="C510" i="2"/>
  <c r="B510" i="2"/>
  <c r="B522" i="3" s="1"/>
  <c r="A510" i="2"/>
  <c r="A522" i="3" s="1"/>
  <c r="G509" i="2"/>
  <c r="F509" i="2"/>
  <c r="E509" i="2"/>
  <c r="D509" i="2"/>
  <c r="C509" i="2"/>
  <c r="B509" i="2"/>
  <c r="B521" i="3" s="1"/>
  <c r="A509" i="2"/>
  <c r="A521" i="3" s="1"/>
  <c r="G508" i="2"/>
  <c r="F508" i="2"/>
  <c r="E508" i="2"/>
  <c r="D508" i="2"/>
  <c r="C508" i="2"/>
  <c r="B508" i="2"/>
  <c r="B520" i="3" s="1"/>
  <c r="A508" i="2"/>
  <c r="A520" i="3" s="1"/>
  <c r="G507" i="2"/>
  <c r="F507" i="2"/>
  <c r="E507" i="2"/>
  <c r="D507" i="2"/>
  <c r="C507" i="2"/>
  <c r="B507" i="2"/>
  <c r="B519" i="3" s="1"/>
  <c r="A507" i="2"/>
  <c r="A519" i="3" s="1"/>
  <c r="G506" i="2"/>
  <c r="F506" i="2"/>
  <c r="E506" i="2"/>
  <c r="D506" i="2"/>
  <c r="C506" i="2"/>
  <c r="B506" i="2"/>
  <c r="B518" i="3" s="1"/>
  <c r="A506" i="2"/>
  <c r="A518" i="3" s="1"/>
  <c r="G505" i="2"/>
  <c r="F505" i="2"/>
  <c r="E505" i="2"/>
  <c r="D505" i="2"/>
  <c r="C505" i="2"/>
  <c r="B505" i="2"/>
  <c r="B517" i="3" s="1"/>
  <c r="A505" i="2"/>
  <c r="A517" i="3" s="1"/>
  <c r="G504" i="2"/>
  <c r="F504" i="2"/>
  <c r="E504" i="2"/>
  <c r="D504" i="2"/>
  <c r="C504" i="2"/>
  <c r="B504" i="2"/>
  <c r="B516" i="3" s="1"/>
  <c r="A504" i="2"/>
  <c r="A516" i="3" s="1"/>
  <c r="G503" i="2"/>
  <c r="F503" i="2"/>
  <c r="E503" i="2"/>
  <c r="D503" i="2"/>
  <c r="C503" i="2"/>
  <c r="B503" i="2"/>
  <c r="B515" i="3" s="1"/>
  <c r="A503" i="2"/>
  <c r="A515" i="3" s="1"/>
  <c r="G502" i="2"/>
  <c r="F502" i="2"/>
  <c r="E502" i="2"/>
  <c r="D502" i="2"/>
  <c r="C502" i="2"/>
  <c r="B502" i="2"/>
  <c r="B514" i="3" s="1"/>
  <c r="A502" i="2"/>
  <c r="A514" i="3" s="1"/>
  <c r="G501" i="2"/>
  <c r="F501" i="2"/>
  <c r="E501" i="2"/>
  <c r="D501" i="2"/>
  <c r="C501" i="2"/>
  <c r="B501" i="2"/>
  <c r="B513" i="3" s="1"/>
  <c r="A501" i="2"/>
  <c r="A513" i="3" s="1"/>
  <c r="G500" i="2"/>
  <c r="F500" i="2"/>
  <c r="E500" i="2"/>
  <c r="D500" i="2"/>
  <c r="C500" i="2"/>
  <c r="B500" i="2"/>
  <c r="B512" i="3" s="1"/>
  <c r="A500" i="2"/>
  <c r="A512" i="3" s="1"/>
  <c r="G499" i="2"/>
  <c r="F499" i="2"/>
  <c r="E499" i="2"/>
  <c r="D499" i="2"/>
  <c r="C499" i="2"/>
  <c r="B499" i="2"/>
  <c r="B511" i="3" s="1"/>
  <c r="A499" i="2"/>
  <c r="A511" i="3" s="1"/>
  <c r="G498" i="2"/>
  <c r="F498" i="2"/>
  <c r="E498" i="2"/>
  <c r="D498" i="2"/>
  <c r="C498" i="2"/>
  <c r="B498" i="2"/>
  <c r="B510" i="3" s="1"/>
  <c r="A498" i="2"/>
  <c r="A510" i="3" s="1"/>
  <c r="G497" i="2"/>
  <c r="F497" i="2"/>
  <c r="E497" i="2"/>
  <c r="D497" i="2"/>
  <c r="C497" i="2"/>
  <c r="B497" i="2"/>
  <c r="B509" i="3" s="1"/>
  <c r="A497" i="2"/>
  <c r="A509" i="3" s="1"/>
  <c r="G496" i="2"/>
  <c r="F496" i="2"/>
  <c r="E496" i="2"/>
  <c r="D496" i="2"/>
  <c r="C496" i="2"/>
  <c r="B496" i="2"/>
  <c r="B508" i="3" s="1"/>
  <c r="A496" i="2"/>
  <c r="A508" i="3" s="1"/>
  <c r="G495" i="2"/>
  <c r="F495" i="2"/>
  <c r="E495" i="2"/>
  <c r="D495" i="2"/>
  <c r="C495" i="2"/>
  <c r="B495" i="2"/>
  <c r="B507" i="3" s="1"/>
  <c r="A495" i="2"/>
  <c r="A507" i="3" s="1"/>
  <c r="G494" i="2"/>
  <c r="F494" i="2"/>
  <c r="E494" i="2"/>
  <c r="D494" i="2"/>
  <c r="C494" i="2"/>
  <c r="B494" i="2"/>
  <c r="B506" i="3" s="1"/>
  <c r="A494" i="2"/>
  <c r="A506" i="3" s="1"/>
  <c r="G493" i="2"/>
  <c r="F493" i="2"/>
  <c r="E493" i="2"/>
  <c r="D493" i="2"/>
  <c r="C493" i="2"/>
  <c r="B493" i="2"/>
  <c r="B505" i="3" s="1"/>
  <c r="A493" i="2"/>
  <c r="A505" i="3" s="1"/>
  <c r="G492" i="2"/>
  <c r="F492" i="2"/>
  <c r="E492" i="2"/>
  <c r="D492" i="2"/>
  <c r="C492" i="2"/>
  <c r="B492" i="2"/>
  <c r="B504" i="3" s="1"/>
  <c r="A492" i="2"/>
  <c r="A504" i="3" s="1"/>
  <c r="G491" i="2"/>
  <c r="F491" i="2"/>
  <c r="E491" i="2"/>
  <c r="D491" i="2"/>
  <c r="C491" i="2"/>
  <c r="B491" i="2"/>
  <c r="B503" i="3" s="1"/>
  <c r="A491" i="2"/>
  <c r="A503" i="3" s="1"/>
  <c r="G490" i="2"/>
  <c r="F490" i="2"/>
  <c r="E490" i="2"/>
  <c r="D490" i="2"/>
  <c r="C490" i="2"/>
  <c r="B490" i="2"/>
  <c r="B502" i="3" s="1"/>
  <c r="A490" i="2"/>
  <c r="A502" i="3" s="1"/>
  <c r="G489" i="2"/>
  <c r="F489" i="2"/>
  <c r="E489" i="2"/>
  <c r="D489" i="2"/>
  <c r="C489" i="2"/>
  <c r="B489" i="2"/>
  <c r="B501" i="3" s="1"/>
  <c r="A489" i="2"/>
  <c r="A501" i="3" s="1"/>
  <c r="G488" i="2"/>
  <c r="F488" i="2"/>
  <c r="E488" i="2"/>
  <c r="D488" i="2"/>
  <c r="C488" i="2"/>
  <c r="B488" i="2"/>
  <c r="B500" i="3" s="1"/>
  <c r="A488" i="2"/>
  <c r="A500" i="3" s="1"/>
  <c r="G487" i="2"/>
  <c r="F487" i="2"/>
  <c r="E487" i="2"/>
  <c r="D487" i="2"/>
  <c r="C487" i="2"/>
  <c r="B487" i="2"/>
  <c r="B499" i="3" s="1"/>
  <c r="A487" i="2"/>
  <c r="A499" i="3" s="1"/>
  <c r="G486" i="2"/>
  <c r="F486" i="2"/>
  <c r="E486" i="2"/>
  <c r="D486" i="2"/>
  <c r="C486" i="2"/>
  <c r="B486" i="2"/>
  <c r="B498" i="3" s="1"/>
  <c r="A486" i="2"/>
  <c r="A498" i="3" s="1"/>
  <c r="G485" i="2"/>
  <c r="F485" i="2"/>
  <c r="E485" i="2"/>
  <c r="D485" i="2"/>
  <c r="C485" i="2"/>
  <c r="B485" i="2"/>
  <c r="B497" i="3" s="1"/>
  <c r="A485" i="2"/>
  <c r="A497" i="3" s="1"/>
  <c r="G484" i="2"/>
  <c r="F484" i="2"/>
  <c r="E484" i="2"/>
  <c r="D484" i="2"/>
  <c r="C484" i="2"/>
  <c r="B484" i="2"/>
  <c r="B496" i="3" s="1"/>
  <c r="A484" i="2"/>
  <c r="A496" i="3" s="1"/>
  <c r="G483" i="2"/>
  <c r="F483" i="2"/>
  <c r="E483" i="2"/>
  <c r="D483" i="2"/>
  <c r="C483" i="2"/>
  <c r="B483" i="2"/>
  <c r="B495" i="3" s="1"/>
  <c r="A483" i="2"/>
  <c r="A495" i="3" s="1"/>
  <c r="G482" i="2"/>
  <c r="F482" i="2"/>
  <c r="E482" i="2"/>
  <c r="D482" i="2"/>
  <c r="C482" i="2"/>
  <c r="B482" i="2"/>
  <c r="B494" i="3" s="1"/>
  <c r="A482" i="2"/>
  <c r="A494" i="3" s="1"/>
  <c r="G481" i="2"/>
  <c r="F481" i="2"/>
  <c r="E481" i="2"/>
  <c r="D481" i="2"/>
  <c r="C481" i="2"/>
  <c r="B481" i="2"/>
  <c r="B493" i="3" s="1"/>
  <c r="A481" i="2"/>
  <c r="A493" i="3" s="1"/>
  <c r="G480" i="2"/>
  <c r="F480" i="2"/>
  <c r="E480" i="2"/>
  <c r="D480" i="2"/>
  <c r="C480" i="2"/>
  <c r="B480" i="2"/>
  <c r="B492" i="3" s="1"/>
  <c r="A480" i="2"/>
  <c r="A492" i="3" s="1"/>
  <c r="G479" i="2"/>
  <c r="F479" i="2"/>
  <c r="E479" i="2"/>
  <c r="D479" i="2"/>
  <c r="C479" i="2"/>
  <c r="B479" i="2"/>
  <c r="B491" i="3" s="1"/>
  <c r="A479" i="2"/>
  <c r="A491" i="3" s="1"/>
  <c r="G478" i="2"/>
  <c r="F478" i="2"/>
  <c r="E478" i="2"/>
  <c r="D478" i="2"/>
  <c r="C478" i="2"/>
  <c r="B478" i="2"/>
  <c r="B490" i="3" s="1"/>
  <c r="A478" i="2"/>
  <c r="A490" i="3" s="1"/>
  <c r="G477" i="2"/>
  <c r="F477" i="2"/>
  <c r="E477" i="2"/>
  <c r="D477" i="2"/>
  <c r="C477" i="2"/>
  <c r="B477" i="2"/>
  <c r="B489" i="3" s="1"/>
  <c r="A477" i="2"/>
  <c r="A489" i="3" s="1"/>
  <c r="G476" i="2"/>
  <c r="F476" i="2"/>
  <c r="E476" i="2"/>
  <c r="D476" i="2"/>
  <c r="C476" i="2"/>
  <c r="B476" i="2"/>
  <c r="B488" i="3" s="1"/>
  <c r="A476" i="2"/>
  <c r="A488" i="3" s="1"/>
  <c r="G475" i="2"/>
  <c r="F475" i="2"/>
  <c r="E475" i="2"/>
  <c r="D475" i="2"/>
  <c r="C475" i="2"/>
  <c r="B475" i="2"/>
  <c r="B487" i="3" s="1"/>
  <c r="A475" i="2"/>
  <c r="A487" i="3" s="1"/>
  <c r="G474" i="2"/>
  <c r="F474" i="2"/>
  <c r="E474" i="2"/>
  <c r="D474" i="2"/>
  <c r="C474" i="2"/>
  <c r="B474" i="2"/>
  <c r="B486" i="3" s="1"/>
  <c r="A474" i="2"/>
  <c r="A486" i="3" s="1"/>
  <c r="G473" i="2"/>
  <c r="F473" i="2"/>
  <c r="E473" i="2"/>
  <c r="D473" i="2"/>
  <c r="C473" i="2"/>
  <c r="B473" i="2"/>
  <c r="B485" i="3" s="1"/>
  <c r="A473" i="2"/>
  <c r="A485" i="3" s="1"/>
  <c r="G472" i="2"/>
  <c r="F472" i="2"/>
  <c r="E472" i="2"/>
  <c r="D472" i="2"/>
  <c r="C472" i="2"/>
  <c r="B472" i="2"/>
  <c r="B484" i="3" s="1"/>
  <c r="A472" i="2"/>
  <c r="A484" i="3" s="1"/>
  <c r="G471" i="2"/>
  <c r="F471" i="2"/>
  <c r="E471" i="2"/>
  <c r="D471" i="2"/>
  <c r="C471" i="2"/>
  <c r="B471" i="2"/>
  <c r="B483" i="3" s="1"/>
  <c r="A471" i="2"/>
  <c r="A483" i="3" s="1"/>
  <c r="G470" i="2"/>
  <c r="F470" i="2"/>
  <c r="E470" i="2"/>
  <c r="D470" i="2"/>
  <c r="C470" i="2"/>
  <c r="B470" i="2"/>
  <c r="B482" i="3" s="1"/>
  <c r="A470" i="2"/>
  <c r="A482" i="3" s="1"/>
  <c r="G469" i="2"/>
  <c r="F469" i="2"/>
  <c r="E469" i="2"/>
  <c r="D469" i="2"/>
  <c r="C469" i="2"/>
  <c r="B469" i="2"/>
  <c r="B481" i="3" s="1"/>
  <c r="A469" i="2"/>
  <c r="A481" i="3" s="1"/>
  <c r="G468" i="2"/>
  <c r="F468" i="2"/>
  <c r="E468" i="2"/>
  <c r="D468" i="2"/>
  <c r="C468" i="2"/>
  <c r="B468" i="2"/>
  <c r="B480" i="3" s="1"/>
  <c r="A468" i="2"/>
  <c r="A480" i="3" s="1"/>
  <c r="G467" i="2"/>
  <c r="F467" i="2"/>
  <c r="E467" i="2"/>
  <c r="D467" i="2"/>
  <c r="C467" i="2"/>
  <c r="B467" i="2"/>
  <c r="B479" i="3" s="1"/>
  <c r="A467" i="2"/>
  <c r="A479" i="3" s="1"/>
  <c r="G466" i="2"/>
  <c r="F466" i="2"/>
  <c r="E466" i="2"/>
  <c r="D466" i="2"/>
  <c r="C466" i="2"/>
  <c r="B466" i="2"/>
  <c r="B478" i="3" s="1"/>
  <c r="A466" i="2"/>
  <c r="A478" i="3" s="1"/>
  <c r="G465" i="2"/>
  <c r="F465" i="2"/>
  <c r="E465" i="2"/>
  <c r="D465" i="2"/>
  <c r="C465" i="2"/>
  <c r="B465" i="2"/>
  <c r="B477" i="3" s="1"/>
  <c r="A465" i="2"/>
  <c r="A477" i="3" s="1"/>
  <c r="G464" i="2"/>
  <c r="F464" i="2"/>
  <c r="E464" i="2"/>
  <c r="D464" i="2"/>
  <c r="C464" i="2"/>
  <c r="B464" i="2"/>
  <c r="B476" i="3" s="1"/>
  <c r="A464" i="2"/>
  <c r="A476" i="3" s="1"/>
  <c r="G463" i="2"/>
  <c r="F463" i="2"/>
  <c r="E463" i="2"/>
  <c r="D463" i="2"/>
  <c r="C463" i="2"/>
  <c r="B463" i="2"/>
  <c r="B475" i="3" s="1"/>
  <c r="A463" i="2"/>
  <c r="A475" i="3" s="1"/>
  <c r="G462" i="2"/>
  <c r="F462" i="2"/>
  <c r="E462" i="2"/>
  <c r="D462" i="2"/>
  <c r="C462" i="2"/>
  <c r="B462" i="2"/>
  <c r="B474" i="3" s="1"/>
  <c r="A462" i="2"/>
  <c r="A474" i="3" s="1"/>
  <c r="G461" i="2"/>
  <c r="F461" i="2"/>
  <c r="E461" i="2"/>
  <c r="D461" i="2"/>
  <c r="C461" i="2"/>
  <c r="B461" i="2"/>
  <c r="B473" i="3" s="1"/>
  <c r="A461" i="2"/>
  <c r="A473" i="3" s="1"/>
  <c r="G460" i="2"/>
  <c r="F460" i="2"/>
  <c r="E460" i="2"/>
  <c r="D460" i="2"/>
  <c r="C460" i="2"/>
  <c r="B460" i="2"/>
  <c r="B472" i="3" s="1"/>
  <c r="A460" i="2"/>
  <c r="A472" i="3" s="1"/>
  <c r="G459" i="2"/>
  <c r="F459" i="2"/>
  <c r="E459" i="2"/>
  <c r="D459" i="2"/>
  <c r="C459" i="2"/>
  <c r="B459" i="2"/>
  <c r="B471" i="3" s="1"/>
  <c r="A459" i="2"/>
  <c r="A471" i="3" s="1"/>
  <c r="G458" i="2"/>
  <c r="F458" i="2"/>
  <c r="E458" i="2"/>
  <c r="D458" i="2"/>
  <c r="C458" i="2"/>
  <c r="B458" i="2"/>
  <c r="B470" i="3" s="1"/>
  <c r="A458" i="2"/>
  <c r="A470" i="3" s="1"/>
  <c r="G457" i="2"/>
  <c r="F457" i="2"/>
  <c r="E457" i="2"/>
  <c r="D457" i="2"/>
  <c r="C457" i="2"/>
  <c r="B457" i="2"/>
  <c r="B469" i="3" s="1"/>
  <c r="A457" i="2"/>
  <c r="A469" i="3" s="1"/>
  <c r="G456" i="2"/>
  <c r="F456" i="2"/>
  <c r="E456" i="2"/>
  <c r="D456" i="2"/>
  <c r="C456" i="2"/>
  <c r="B456" i="2"/>
  <c r="B468" i="3" s="1"/>
  <c r="A456" i="2"/>
  <c r="A468" i="3" s="1"/>
  <c r="G455" i="2"/>
  <c r="F455" i="2"/>
  <c r="E455" i="2"/>
  <c r="D455" i="2"/>
  <c r="C455" i="2"/>
  <c r="B455" i="2"/>
  <c r="B467" i="3" s="1"/>
  <c r="A455" i="2"/>
  <c r="A467" i="3" s="1"/>
  <c r="G454" i="2"/>
  <c r="F454" i="2"/>
  <c r="E454" i="2"/>
  <c r="D454" i="2"/>
  <c r="C454" i="2"/>
  <c r="B454" i="2"/>
  <c r="B466" i="3" s="1"/>
  <c r="A454" i="2"/>
  <c r="A466" i="3" s="1"/>
  <c r="G453" i="2"/>
  <c r="F453" i="2"/>
  <c r="E453" i="2"/>
  <c r="D453" i="2"/>
  <c r="C453" i="2"/>
  <c r="B453" i="2"/>
  <c r="B465" i="3" s="1"/>
  <c r="A453" i="2"/>
  <c r="A465" i="3" s="1"/>
  <c r="G452" i="2"/>
  <c r="F452" i="2"/>
  <c r="E452" i="2"/>
  <c r="D452" i="2"/>
  <c r="C452" i="2"/>
  <c r="B452" i="2"/>
  <c r="B464" i="3" s="1"/>
  <c r="A452" i="2"/>
  <c r="A464" i="3" s="1"/>
  <c r="G451" i="2"/>
  <c r="F451" i="2"/>
  <c r="E451" i="2"/>
  <c r="D451" i="2"/>
  <c r="C451" i="2"/>
  <c r="B451" i="2"/>
  <c r="B463" i="3" s="1"/>
  <c r="A451" i="2"/>
  <c r="A463" i="3" s="1"/>
  <c r="G450" i="2"/>
  <c r="F450" i="2"/>
  <c r="E450" i="2"/>
  <c r="D450" i="2"/>
  <c r="C450" i="2"/>
  <c r="B450" i="2"/>
  <c r="B462" i="3" s="1"/>
  <c r="A450" i="2"/>
  <c r="A462" i="3" s="1"/>
  <c r="G449" i="2"/>
  <c r="F449" i="2"/>
  <c r="E449" i="2"/>
  <c r="D449" i="2"/>
  <c r="C449" i="2"/>
  <c r="B449" i="2"/>
  <c r="B461" i="3" s="1"/>
  <c r="A449" i="2"/>
  <c r="A461" i="3" s="1"/>
  <c r="G448" i="2"/>
  <c r="F448" i="2"/>
  <c r="E448" i="2"/>
  <c r="D448" i="2"/>
  <c r="C448" i="2"/>
  <c r="B448" i="2"/>
  <c r="B460" i="3" s="1"/>
  <c r="A448" i="2"/>
  <c r="A460" i="3" s="1"/>
  <c r="G447" i="2"/>
  <c r="F447" i="2"/>
  <c r="E447" i="2"/>
  <c r="D447" i="2"/>
  <c r="C447" i="2"/>
  <c r="B447" i="2"/>
  <c r="B459" i="3" s="1"/>
  <c r="A447" i="2"/>
  <c r="A459" i="3" s="1"/>
  <c r="G446" i="2"/>
  <c r="F446" i="2"/>
  <c r="E446" i="2"/>
  <c r="D446" i="2"/>
  <c r="C446" i="2"/>
  <c r="B446" i="2"/>
  <c r="B458" i="3" s="1"/>
  <c r="A446" i="2"/>
  <c r="A458" i="3" s="1"/>
  <c r="G445" i="2"/>
  <c r="F445" i="2"/>
  <c r="E445" i="2"/>
  <c r="D445" i="2"/>
  <c r="C445" i="2"/>
  <c r="B445" i="2"/>
  <c r="B457" i="3" s="1"/>
  <c r="A445" i="2"/>
  <c r="A457" i="3" s="1"/>
  <c r="G444" i="2"/>
  <c r="F444" i="2"/>
  <c r="E444" i="2"/>
  <c r="D444" i="2"/>
  <c r="C444" i="2"/>
  <c r="B444" i="2"/>
  <c r="B456" i="3" s="1"/>
  <c r="A444" i="2"/>
  <c r="A456" i="3" s="1"/>
  <c r="G443" i="2"/>
  <c r="F443" i="2"/>
  <c r="E443" i="2"/>
  <c r="D443" i="2"/>
  <c r="C443" i="2"/>
  <c r="B443" i="2"/>
  <c r="B455" i="3" s="1"/>
  <c r="A443" i="2"/>
  <c r="A455" i="3" s="1"/>
  <c r="G442" i="2"/>
  <c r="F442" i="2"/>
  <c r="E442" i="2"/>
  <c r="D442" i="2"/>
  <c r="C442" i="2"/>
  <c r="B442" i="2"/>
  <c r="B454" i="3" s="1"/>
  <c r="A442" i="2"/>
  <c r="A454" i="3" s="1"/>
  <c r="G441" i="2"/>
  <c r="F441" i="2"/>
  <c r="E441" i="2"/>
  <c r="D441" i="2"/>
  <c r="C441" i="2"/>
  <c r="B441" i="2"/>
  <c r="B453" i="3" s="1"/>
  <c r="A441" i="2"/>
  <c r="A453" i="3" s="1"/>
  <c r="G440" i="2"/>
  <c r="F440" i="2"/>
  <c r="E440" i="2"/>
  <c r="D440" i="2"/>
  <c r="C440" i="2"/>
  <c r="B440" i="2"/>
  <c r="B452" i="3" s="1"/>
  <c r="A440" i="2"/>
  <c r="A452" i="3" s="1"/>
  <c r="G439" i="2"/>
  <c r="F439" i="2"/>
  <c r="E439" i="2"/>
  <c r="D439" i="2"/>
  <c r="C439" i="2"/>
  <c r="B439" i="2"/>
  <c r="B451" i="3" s="1"/>
  <c r="A439" i="2"/>
  <c r="A451" i="3" s="1"/>
  <c r="G438" i="2"/>
  <c r="F438" i="2"/>
  <c r="E438" i="2"/>
  <c r="D438" i="2"/>
  <c r="C438" i="2"/>
  <c r="B438" i="2"/>
  <c r="B450" i="3" s="1"/>
  <c r="A438" i="2"/>
  <c r="A450" i="3" s="1"/>
  <c r="G437" i="2"/>
  <c r="F437" i="2"/>
  <c r="E437" i="2"/>
  <c r="D437" i="2"/>
  <c r="C437" i="2"/>
  <c r="B437" i="2"/>
  <c r="B449" i="3" s="1"/>
  <c r="A437" i="2"/>
  <c r="A449" i="3" s="1"/>
  <c r="G436" i="2"/>
  <c r="F436" i="2"/>
  <c r="E436" i="2"/>
  <c r="D436" i="2"/>
  <c r="C436" i="2"/>
  <c r="B436" i="2"/>
  <c r="B448" i="3" s="1"/>
  <c r="A436" i="2"/>
  <c r="A448" i="3" s="1"/>
  <c r="G435" i="2"/>
  <c r="F435" i="2"/>
  <c r="E435" i="2"/>
  <c r="D435" i="2"/>
  <c r="C435" i="2"/>
  <c r="B435" i="2"/>
  <c r="B447" i="3" s="1"/>
  <c r="A435" i="2"/>
  <c r="A447" i="3" s="1"/>
  <c r="G434" i="2"/>
  <c r="F434" i="2"/>
  <c r="E434" i="2"/>
  <c r="D434" i="2"/>
  <c r="C434" i="2"/>
  <c r="B434" i="2"/>
  <c r="B446" i="3" s="1"/>
  <c r="A434" i="2"/>
  <c r="A446" i="3" s="1"/>
  <c r="G433" i="2"/>
  <c r="F433" i="2"/>
  <c r="E433" i="2"/>
  <c r="D433" i="2"/>
  <c r="C433" i="2"/>
  <c r="B433" i="2"/>
  <c r="B445" i="3" s="1"/>
  <c r="A433" i="2"/>
  <c r="A445" i="3" s="1"/>
  <c r="G432" i="2"/>
  <c r="F432" i="2"/>
  <c r="E432" i="2"/>
  <c r="D432" i="2"/>
  <c r="C432" i="2"/>
  <c r="B432" i="2"/>
  <c r="B444" i="3" s="1"/>
  <c r="A432" i="2"/>
  <c r="A444" i="3" s="1"/>
  <c r="G431" i="2"/>
  <c r="F431" i="2"/>
  <c r="E431" i="2"/>
  <c r="D431" i="2"/>
  <c r="C431" i="2"/>
  <c r="B431" i="2"/>
  <c r="B443" i="3" s="1"/>
  <c r="A431" i="2"/>
  <c r="A443" i="3" s="1"/>
  <c r="G430" i="2"/>
  <c r="F430" i="2"/>
  <c r="E430" i="2"/>
  <c r="D430" i="2"/>
  <c r="C430" i="2"/>
  <c r="B430" i="2"/>
  <c r="B442" i="3" s="1"/>
  <c r="A430" i="2"/>
  <c r="A442" i="3" s="1"/>
  <c r="G429" i="2"/>
  <c r="F429" i="2"/>
  <c r="E429" i="2"/>
  <c r="D429" i="2"/>
  <c r="C429" i="2"/>
  <c r="B429" i="2"/>
  <c r="B441" i="3" s="1"/>
  <c r="A429" i="2"/>
  <c r="A441" i="3" s="1"/>
  <c r="G428" i="2"/>
  <c r="F428" i="2"/>
  <c r="E428" i="2"/>
  <c r="D428" i="2"/>
  <c r="C428" i="2"/>
  <c r="B428" i="2"/>
  <c r="B440" i="3" s="1"/>
  <c r="A428" i="2"/>
  <c r="A440" i="3" s="1"/>
  <c r="G427" i="2"/>
  <c r="F427" i="2"/>
  <c r="E427" i="2"/>
  <c r="D427" i="2"/>
  <c r="C427" i="2"/>
  <c r="B427" i="2"/>
  <c r="B439" i="3" s="1"/>
  <c r="A427" i="2"/>
  <c r="A439" i="3" s="1"/>
  <c r="G426" i="2"/>
  <c r="F426" i="2"/>
  <c r="E426" i="2"/>
  <c r="D426" i="2"/>
  <c r="C426" i="2"/>
  <c r="B426" i="2"/>
  <c r="B438" i="3" s="1"/>
  <c r="A426" i="2"/>
  <c r="A438" i="3" s="1"/>
  <c r="G425" i="2"/>
  <c r="F425" i="2"/>
  <c r="E425" i="2"/>
  <c r="D425" i="2"/>
  <c r="C425" i="2"/>
  <c r="B425" i="2"/>
  <c r="B437" i="3" s="1"/>
  <c r="A425" i="2"/>
  <c r="A437" i="3" s="1"/>
  <c r="G424" i="2"/>
  <c r="F424" i="2"/>
  <c r="E424" i="2"/>
  <c r="D424" i="2"/>
  <c r="C424" i="2"/>
  <c r="B424" i="2"/>
  <c r="B436" i="3" s="1"/>
  <c r="A424" i="2"/>
  <c r="A436" i="3" s="1"/>
  <c r="G423" i="2"/>
  <c r="F423" i="2"/>
  <c r="E423" i="2"/>
  <c r="D423" i="2"/>
  <c r="C423" i="2"/>
  <c r="B423" i="2"/>
  <c r="B435" i="3" s="1"/>
  <c r="A423" i="2"/>
  <c r="A435" i="3" s="1"/>
  <c r="G422" i="2"/>
  <c r="F422" i="2"/>
  <c r="E422" i="2"/>
  <c r="D422" i="2"/>
  <c r="C422" i="2"/>
  <c r="B422" i="2"/>
  <c r="B434" i="3" s="1"/>
  <c r="A422" i="2"/>
  <c r="A434" i="3" s="1"/>
  <c r="G421" i="2"/>
  <c r="F421" i="2"/>
  <c r="E421" i="2"/>
  <c r="D421" i="2"/>
  <c r="C421" i="2"/>
  <c r="B421" i="2"/>
  <c r="B433" i="3" s="1"/>
  <c r="A421" i="2"/>
  <c r="A433" i="3" s="1"/>
  <c r="G420" i="2"/>
  <c r="F420" i="2"/>
  <c r="E420" i="2"/>
  <c r="D420" i="2"/>
  <c r="C420" i="2"/>
  <c r="B420" i="2"/>
  <c r="B432" i="3" s="1"/>
  <c r="A420" i="2"/>
  <c r="A432" i="3" s="1"/>
  <c r="G419" i="2"/>
  <c r="F419" i="2"/>
  <c r="E419" i="2"/>
  <c r="D419" i="2"/>
  <c r="C419" i="2"/>
  <c r="B419" i="2"/>
  <c r="B431" i="3" s="1"/>
  <c r="A419" i="2"/>
  <c r="A431" i="3" s="1"/>
  <c r="G418" i="2"/>
  <c r="F418" i="2"/>
  <c r="E418" i="2"/>
  <c r="D418" i="2"/>
  <c r="C418" i="2"/>
  <c r="B418" i="2"/>
  <c r="B430" i="3" s="1"/>
  <c r="A418" i="2"/>
  <c r="A430" i="3" s="1"/>
  <c r="G417" i="2"/>
  <c r="F417" i="2"/>
  <c r="E417" i="2"/>
  <c r="D417" i="2"/>
  <c r="C417" i="2"/>
  <c r="B417" i="2"/>
  <c r="B429" i="3" s="1"/>
  <c r="A417" i="2"/>
  <c r="A429" i="3" s="1"/>
  <c r="G416" i="2"/>
  <c r="F416" i="2"/>
  <c r="E416" i="2"/>
  <c r="D416" i="2"/>
  <c r="C416" i="2"/>
  <c r="B416" i="2"/>
  <c r="B428" i="3" s="1"/>
  <c r="A416" i="2"/>
  <c r="A428" i="3" s="1"/>
  <c r="G415" i="2"/>
  <c r="F415" i="2"/>
  <c r="E415" i="2"/>
  <c r="D415" i="2"/>
  <c r="C415" i="2"/>
  <c r="B415" i="2"/>
  <c r="B427" i="3" s="1"/>
  <c r="A415" i="2"/>
  <c r="A427" i="3" s="1"/>
  <c r="G414" i="2"/>
  <c r="F414" i="2"/>
  <c r="E414" i="2"/>
  <c r="D414" i="2"/>
  <c r="C414" i="2"/>
  <c r="B414" i="2"/>
  <c r="B426" i="3" s="1"/>
  <c r="A414" i="2"/>
  <c r="A426" i="3" s="1"/>
  <c r="G413" i="2"/>
  <c r="F413" i="2"/>
  <c r="E413" i="2"/>
  <c r="D413" i="2"/>
  <c r="C413" i="2"/>
  <c r="B413" i="2"/>
  <c r="B425" i="3" s="1"/>
  <c r="A413" i="2"/>
  <c r="A425" i="3" s="1"/>
  <c r="G412" i="2"/>
  <c r="F412" i="2"/>
  <c r="E412" i="2"/>
  <c r="D412" i="2"/>
  <c r="C412" i="2"/>
  <c r="B412" i="2"/>
  <c r="B424" i="3" s="1"/>
  <c r="A412" i="2"/>
  <c r="A424" i="3" s="1"/>
  <c r="G411" i="2"/>
  <c r="F411" i="2"/>
  <c r="E411" i="2"/>
  <c r="D411" i="2"/>
  <c r="C411" i="2"/>
  <c r="B411" i="2"/>
  <c r="B423" i="3" s="1"/>
  <c r="A411" i="2"/>
  <c r="A423" i="3" s="1"/>
  <c r="G410" i="2"/>
  <c r="F410" i="2"/>
  <c r="E410" i="2"/>
  <c r="D410" i="2"/>
  <c r="C410" i="2"/>
  <c r="B410" i="2"/>
  <c r="B422" i="3" s="1"/>
  <c r="A410" i="2"/>
  <c r="A422" i="3" s="1"/>
  <c r="G409" i="2"/>
  <c r="F409" i="2"/>
  <c r="E409" i="2"/>
  <c r="D409" i="2"/>
  <c r="C409" i="2"/>
  <c r="B409" i="2"/>
  <c r="B421" i="3" s="1"/>
  <c r="A409" i="2"/>
  <c r="A421" i="3" s="1"/>
  <c r="G408" i="2"/>
  <c r="F408" i="2"/>
  <c r="E408" i="2"/>
  <c r="D408" i="2"/>
  <c r="C408" i="2"/>
  <c r="B408" i="2"/>
  <c r="B420" i="3" s="1"/>
  <c r="A408" i="2"/>
  <c r="A420" i="3" s="1"/>
  <c r="G407" i="2"/>
  <c r="F407" i="2"/>
  <c r="E407" i="2"/>
  <c r="D407" i="2"/>
  <c r="C407" i="2"/>
  <c r="B407" i="2"/>
  <c r="B419" i="3" s="1"/>
  <c r="A407" i="2"/>
  <c r="A419" i="3" s="1"/>
  <c r="G406" i="2"/>
  <c r="F406" i="2"/>
  <c r="E406" i="2"/>
  <c r="D406" i="2"/>
  <c r="C406" i="2"/>
  <c r="B406" i="2"/>
  <c r="B418" i="3" s="1"/>
  <c r="A406" i="2"/>
  <c r="A418" i="3" s="1"/>
  <c r="G405" i="2"/>
  <c r="F405" i="2"/>
  <c r="E405" i="2"/>
  <c r="D405" i="2"/>
  <c r="C405" i="2"/>
  <c r="B405" i="2"/>
  <c r="B417" i="3" s="1"/>
  <c r="A405" i="2"/>
  <c r="A417" i="3" s="1"/>
  <c r="G404" i="2"/>
  <c r="F404" i="2"/>
  <c r="E404" i="2"/>
  <c r="D404" i="2"/>
  <c r="C404" i="2"/>
  <c r="B404" i="2"/>
  <c r="B416" i="3" s="1"/>
  <c r="A404" i="2"/>
  <c r="A416" i="3" s="1"/>
  <c r="G403" i="2"/>
  <c r="F403" i="2"/>
  <c r="E403" i="2"/>
  <c r="D403" i="2"/>
  <c r="C403" i="2"/>
  <c r="B403" i="2"/>
  <c r="B415" i="3" s="1"/>
  <c r="A403" i="2"/>
  <c r="A415" i="3" s="1"/>
  <c r="G402" i="2"/>
  <c r="F402" i="2"/>
  <c r="E402" i="2"/>
  <c r="D402" i="2"/>
  <c r="C402" i="2"/>
  <c r="B402" i="2"/>
  <c r="B414" i="3" s="1"/>
  <c r="A402" i="2"/>
  <c r="A414" i="3" s="1"/>
  <c r="G401" i="2"/>
  <c r="F401" i="2"/>
  <c r="E401" i="2"/>
  <c r="D401" i="2"/>
  <c r="C401" i="2"/>
  <c r="B401" i="2"/>
  <c r="B413" i="3" s="1"/>
  <c r="A401" i="2"/>
  <c r="A413" i="3" s="1"/>
  <c r="G400" i="2"/>
  <c r="F400" i="2"/>
  <c r="E400" i="2"/>
  <c r="D400" i="2"/>
  <c r="C400" i="2"/>
  <c r="B400" i="2"/>
  <c r="B412" i="3" s="1"/>
  <c r="A400" i="2"/>
  <c r="A412" i="3" s="1"/>
  <c r="G399" i="2"/>
  <c r="F399" i="2"/>
  <c r="E399" i="2"/>
  <c r="D399" i="2"/>
  <c r="C399" i="2"/>
  <c r="B399" i="2"/>
  <c r="B411" i="3" s="1"/>
  <c r="A399" i="2"/>
  <c r="A411" i="3" s="1"/>
  <c r="G398" i="2"/>
  <c r="F398" i="2"/>
  <c r="E398" i="2"/>
  <c r="D398" i="2"/>
  <c r="C398" i="2"/>
  <c r="B398" i="2"/>
  <c r="B410" i="3" s="1"/>
  <c r="A398" i="2"/>
  <c r="A410" i="3" s="1"/>
  <c r="G397" i="2"/>
  <c r="F397" i="2"/>
  <c r="E397" i="2"/>
  <c r="D397" i="2"/>
  <c r="C397" i="2"/>
  <c r="B397" i="2"/>
  <c r="B409" i="3" s="1"/>
  <c r="A397" i="2"/>
  <c r="A409" i="3" s="1"/>
  <c r="G396" i="2"/>
  <c r="F396" i="2"/>
  <c r="E396" i="2"/>
  <c r="D396" i="2"/>
  <c r="C396" i="2"/>
  <c r="B396" i="2"/>
  <c r="B408" i="3" s="1"/>
  <c r="A396" i="2"/>
  <c r="A408" i="3" s="1"/>
  <c r="G395" i="2"/>
  <c r="F395" i="2"/>
  <c r="E395" i="2"/>
  <c r="D395" i="2"/>
  <c r="C395" i="2"/>
  <c r="B395" i="2"/>
  <c r="B407" i="3" s="1"/>
  <c r="A395" i="2"/>
  <c r="A407" i="3" s="1"/>
  <c r="G394" i="2"/>
  <c r="F394" i="2"/>
  <c r="E394" i="2"/>
  <c r="D394" i="2"/>
  <c r="C394" i="2"/>
  <c r="B394" i="2"/>
  <c r="B406" i="3" s="1"/>
  <c r="A394" i="2"/>
  <c r="A406" i="3" s="1"/>
  <c r="G393" i="2"/>
  <c r="F393" i="2"/>
  <c r="E393" i="2"/>
  <c r="D393" i="2"/>
  <c r="C393" i="2"/>
  <c r="B393" i="2"/>
  <c r="B405" i="3" s="1"/>
  <c r="A393" i="2"/>
  <c r="A405" i="3" s="1"/>
  <c r="G392" i="2"/>
  <c r="F392" i="2"/>
  <c r="E392" i="2"/>
  <c r="D392" i="2"/>
  <c r="C392" i="2"/>
  <c r="B392" i="2"/>
  <c r="B404" i="3" s="1"/>
  <c r="A392" i="2"/>
  <c r="A404" i="3" s="1"/>
  <c r="G391" i="2"/>
  <c r="F391" i="2"/>
  <c r="E391" i="2"/>
  <c r="D391" i="2"/>
  <c r="C391" i="2"/>
  <c r="B391" i="2"/>
  <c r="B403" i="3" s="1"/>
  <c r="A391" i="2"/>
  <c r="A403" i="3" s="1"/>
  <c r="G390" i="2"/>
  <c r="F390" i="2"/>
  <c r="E390" i="2"/>
  <c r="D390" i="2"/>
  <c r="C390" i="2"/>
  <c r="B390" i="2"/>
  <c r="B402" i="3" s="1"/>
  <c r="A390" i="2"/>
  <c r="A402" i="3" s="1"/>
  <c r="G389" i="2"/>
  <c r="F389" i="2"/>
  <c r="E389" i="2"/>
  <c r="D389" i="2"/>
  <c r="C389" i="2"/>
  <c r="B389" i="2"/>
  <c r="B401" i="3" s="1"/>
  <c r="A389" i="2"/>
  <c r="A401" i="3" s="1"/>
  <c r="G388" i="2"/>
  <c r="F388" i="2"/>
  <c r="E388" i="2"/>
  <c r="D388" i="2"/>
  <c r="C388" i="2"/>
  <c r="B388" i="2"/>
  <c r="B400" i="3" s="1"/>
  <c r="A388" i="2"/>
  <c r="A400" i="3" s="1"/>
  <c r="G387" i="2"/>
  <c r="F387" i="2"/>
  <c r="E387" i="2"/>
  <c r="D387" i="2"/>
  <c r="C387" i="2"/>
  <c r="B387" i="2"/>
  <c r="B399" i="3" s="1"/>
  <c r="A387" i="2"/>
  <c r="A399" i="3" s="1"/>
  <c r="G386" i="2"/>
  <c r="F386" i="2"/>
  <c r="E386" i="2"/>
  <c r="D386" i="2"/>
  <c r="C386" i="2"/>
  <c r="B386" i="2"/>
  <c r="B398" i="3" s="1"/>
  <c r="A386" i="2"/>
  <c r="A398" i="3" s="1"/>
  <c r="G385" i="2"/>
  <c r="F385" i="2"/>
  <c r="E385" i="2"/>
  <c r="D385" i="2"/>
  <c r="C385" i="2"/>
  <c r="B385" i="2"/>
  <c r="B397" i="3" s="1"/>
  <c r="A385" i="2"/>
  <c r="A397" i="3" s="1"/>
  <c r="G384" i="2"/>
  <c r="F384" i="2"/>
  <c r="E384" i="2"/>
  <c r="D384" i="2"/>
  <c r="C384" i="2"/>
  <c r="B384" i="2"/>
  <c r="B396" i="3" s="1"/>
  <c r="A384" i="2"/>
  <c r="A396" i="3" s="1"/>
  <c r="G383" i="2"/>
  <c r="F383" i="2"/>
  <c r="E383" i="2"/>
  <c r="D383" i="2"/>
  <c r="C383" i="2"/>
  <c r="B383" i="2"/>
  <c r="B395" i="3" s="1"/>
  <c r="A383" i="2"/>
  <c r="A395" i="3" s="1"/>
  <c r="G382" i="2"/>
  <c r="F382" i="2"/>
  <c r="E382" i="2"/>
  <c r="D382" i="2"/>
  <c r="C382" i="2"/>
  <c r="B382" i="2"/>
  <c r="B394" i="3" s="1"/>
  <c r="A382" i="2"/>
  <c r="A394" i="3" s="1"/>
  <c r="G381" i="2"/>
  <c r="F381" i="2"/>
  <c r="E381" i="2"/>
  <c r="D381" i="2"/>
  <c r="C381" i="2"/>
  <c r="B381" i="2"/>
  <c r="B393" i="3" s="1"/>
  <c r="A381" i="2"/>
  <c r="A393" i="3" s="1"/>
  <c r="G380" i="2"/>
  <c r="F380" i="2"/>
  <c r="E380" i="2"/>
  <c r="D380" i="2"/>
  <c r="C380" i="2"/>
  <c r="B380" i="2"/>
  <c r="B392" i="3" s="1"/>
  <c r="A380" i="2"/>
  <c r="A392" i="3" s="1"/>
  <c r="G379" i="2"/>
  <c r="F379" i="2"/>
  <c r="E379" i="2"/>
  <c r="D379" i="2"/>
  <c r="C379" i="2"/>
  <c r="B379" i="2"/>
  <c r="B391" i="3" s="1"/>
  <c r="A379" i="2"/>
  <c r="A391" i="3" s="1"/>
  <c r="G378" i="2"/>
  <c r="F378" i="2"/>
  <c r="E378" i="2"/>
  <c r="D378" i="2"/>
  <c r="C378" i="2"/>
  <c r="B378" i="2"/>
  <c r="B390" i="3" s="1"/>
  <c r="A378" i="2"/>
  <c r="A390" i="3" s="1"/>
  <c r="G377" i="2"/>
  <c r="F377" i="2"/>
  <c r="E377" i="2"/>
  <c r="D377" i="2"/>
  <c r="C377" i="2"/>
  <c r="B377" i="2"/>
  <c r="B389" i="3" s="1"/>
  <c r="A377" i="2"/>
  <c r="A389" i="3" s="1"/>
  <c r="G376" i="2"/>
  <c r="F376" i="2"/>
  <c r="E376" i="2"/>
  <c r="D376" i="2"/>
  <c r="C376" i="2"/>
  <c r="B376" i="2"/>
  <c r="B388" i="3" s="1"/>
  <c r="A376" i="2"/>
  <c r="A388" i="3" s="1"/>
  <c r="G375" i="2"/>
  <c r="F375" i="2"/>
  <c r="E375" i="2"/>
  <c r="D375" i="2"/>
  <c r="C375" i="2"/>
  <c r="B375" i="2"/>
  <c r="B387" i="3" s="1"/>
  <c r="A375" i="2"/>
  <c r="A387" i="3" s="1"/>
  <c r="G374" i="2"/>
  <c r="F374" i="2"/>
  <c r="E374" i="2"/>
  <c r="D374" i="2"/>
  <c r="C374" i="2"/>
  <c r="B374" i="2"/>
  <c r="B386" i="3" s="1"/>
  <c r="A374" i="2"/>
  <c r="A386" i="3" s="1"/>
  <c r="G373" i="2"/>
  <c r="F373" i="2"/>
  <c r="E373" i="2"/>
  <c r="D373" i="2"/>
  <c r="C373" i="2"/>
  <c r="B373" i="2"/>
  <c r="B385" i="3" s="1"/>
  <c r="A373" i="2"/>
  <c r="A385" i="3" s="1"/>
  <c r="G372" i="2"/>
  <c r="F372" i="2"/>
  <c r="E372" i="2"/>
  <c r="D372" i="2"/>
  <c r="C372" i="2"/>
  <c r="B372" i="2"/>
  <c r="B384" i="3" s="1"/>
  <c r="A372" i="2"/>
  <c r="A384" i="3" s="1"/>
  <c r="G371" i="2"/>
  <c r="F371" i="2"/>
  <c r="E371" i="2"/>
  <c r="D371" i="2"/>
  <c r="C371" i="2"/>
  <c r="B371" i="2"/>
  <c r="B383" i="3" s="1"/>
  <c r="A371" i="2"/>
  <c r="A383" i="3" s="1"/>
  <c r="G370" i="2"/>
  <c r="F370" i="2"/>
  <c r="E370" i="2"/>
  <c r="D370" i="2"/>
  <c r="C370" i="2"/>
  <c r="B370" i="2"/>
  <c r="B382" i="3" s="1"/>
  <c r="A370" i="2"/>
  <c r="A382" i="3" s="1"/>
  <c r="G369" i="2"/>
  <c r="F369" i="2"/>
  <c r="E369" i="2"/>
  <c r="D369" i="2"/>
  <c r="C369" i="2"/>
  <c r="B369" i="2"/>
  <c r="B381" i="3" s="1"/>
  <c r="A369" i="2"/>
  <c r="A381" i="3" s="1"/>
  <c r="G368" i="2"/>
  <c r="F368" i="2"/>
  <c r="E368" i="2"/>
  <c r="D368" i="2"/>
  <c r="C368" i="2"/>
  <c r="B368" i="2"/>
  <c r="B380" i="3" s="1"/>
  <c r="A368" i="2"/>
  <c r="A380" i="3" s="1"/>
  <c r="G367" i="2"/>
  <c r="F367" i="2"/>
  <c r="E367" i="2"/>
  <c r="D367" i="2"/>
  <c r="C367" i="2"/>
  <c r="B367" i="2"/>
  <c r="B379" i="3" s="1"/>
  <c r="A367" i="2"/>
  <c r="A379" i="3" s="1"/>
  <c r="G366" i="2"/>
  <c r="F366" i="2"/>
  <c r="E366" i="2"/>
  <c r="D366" i="2"/>
  <c r="C366" i="2"/>
  <c r="B366" i="2"/>
  <c r="B378" i="3" s="1"/>
  <c r="A366" i="2"/>
  <c r="A378" i="3" s="1"/>
  <c r="G365" i="2"/>
  <c r="F365" i="2"/>
  <c r="E365" i="2"/>
  <c r="D365" i="2"/>
  <c r="C365" i="2"/>
  <c r="B365" i="2"/>
  <c r="B377" i="3" s="1"/>
  <c r="A365" i="2"/>
  <c r="A377" i="3" s="1"/>
  <c r="G364" i="2"/>
  <c r="F364" i="2"/>
  <c r="E364" i="2"/>
  <c r="D364" i="2"/>
  <c r="C364" i="2"/>
  <c r="B364" i="2"/>
  <c r="B376" i="3" s="1"/>
  <c r="A364" i="2"/>
  <c r="A376" i="3" s="1"/>
  <c r="G363" i="2"/>
  <c r="F363" i="2"/>
  <c r="E363" i="2"/>
  <c r="D363" i="2"/>
  <c r="C363" i="2"/>
  <c r="B363" i="2"/>
  <c r="B375" i="3" s="1"/>
  <c r="A363" i="2"/>
  <c r="A375" i="3" s="1"/>
  <c r="G362" i="2"/>
  <c r="F362" i="2"/>
  <c r="E362" i="2"/>
  <c r="D362" i="2"/>
  <c r="C362" i="2"/>
  <c r="B362" i="2"/>
  <c r="B374" i="3" s="1"/>
  <c r="A362" i="2"/>
  <c r="A374" i="3" s="1"/>
  <c r="G361" i="2"/>
  <c r="F361" i="2"/>
  <c r="E361" i="2"/>
  <c r="D361" i="2"/>
  <c r="C361" i="2"/>
  <c r="B361" i="2"/>
  <c r="B373" i="3" s="1"/>
  <c r="A361" i="2"/>
  <c r="A373" i="3" s="1"/>
  <c r="G360" i="2"/>
  <c r="F360" i="2"/>
  <c r="E360" i="2"/>
  <c r="D360" i="2"/>
  <c r="C360" i="2"/>
  <c r="B360" i="2"/>
  <c r="B372" i="3" s="1"/>
  <c r="A360" i="2"/>
  <c r="A372" i="3" s="1"/>
  <c r="G359" i="2"/>
  <c r="F359" i="2"/>
  <c r="E359" i="2"/>
  <c r="D359" i="2"/>
  <c r="C359" i="2"/>
  <c r="B359" i="2"/>
  <c r="B371" i="3" s="1"/>
  <c r="A359" i="2"/>
  <c r="A371" i="3" s="1"/>
  <c r="G358" i="2"/>
  <c r="F358" i="2"/>
  <c r="E358" i="2"/>
  <c r="D358" i="2"/>
  <c r="C358" i="2"/>
  <c r="B358" i="2"/>
  <c r="B370" i="3" s="1"/>
  <c r="A358" i="2"/>
  <c r="A370" i="3" s="1"/>
  <c r="G357" i="2"/>
  <c r="F357" i="2"/>
  <c r="E357" i="2"/>
  <c r="D357" i="2"/>
  <c r="C357" i="2"/>
  <c r="B357" i="2"/>
  <c r="B369" i="3" s="1"/>
  <c r="A357" i="2"/>
  <c r="A369" i="3" s="1"/>
  <c r="G356" i="2"/>
  <c r="F356" i="2"/>
  <c r="E356" i="2"/>
  <c r="D356" i="2"/>
  <c r="C356" i="2"/>
  <c r="B356" i="2"/>
  <c r="B368" i="3" s="1"/>
  <c r="A356" i="2"/>
  <c r="A368" i="3" s="1"/>
  <c r="G355" i="2"/>
  <c r="F355" i="2"/>
  <c r="E355" i="2"/>
  <c r="D355" i="2"/>
  <c r="C355" i="2"/>
  <c r="B355" i="2"/>
  <c r="B367" i="3" s="1"/>
  <c r="A355" i="2"/>
  <c r="A367" i="3" s="1"/>
  <c r="G354" i="2"/>
  <c r="F354" i="2"/>
  <c r="E354" i="2"/>
  <c r="D354" i="2"/>
  <c r="C354" i="2"/>
  <c r="B354" i="2"/>
  <c r="B366" i="3" s="1"/>
  <c r="A354" i="2"/>
  <c r="A366" i="3" s="1"/>
  <c r="G353" i="2"/>
  <c r="F353" i="2"/>
  <c r="E353" i="2"/>
  <c r="D353" i="2"/>
  <c r="C353" i="2"/>
  <c r="B353" i="2"/>
  <c r="B365" i="3" s="1"/>
  <c r="A353" i="2"/>
  <c r="A365" i="3" s="1"/>
  <c r="G352" i="2"/>
  <c r="F352" i="2"/>
  <c r="E352" i="2"/>
  <c r="D352" i="2"/>
  <c r="C352" i="2"/>
  <c r="B352" i="2"/>
  <c r="B364" i="3" s="1"/>
  <c r="A352" i="2"/>
  <c r="A364" i="3" s="1"/>
  <c r="G351" i="2"/>
  <c r="F351" i="2"/>
  <c r="E351" i="2"/>
  <c r="D351" i="2"/>
  <c r="C351" i="2"/>
  <c r="B351" i="2"/>
  <c r="B363" i="3" s="1"/>
  <c r="A351" i="2"/>
  <c r="A363" i="3" s="1"/>
  <c r="G350" i="2"/>
  <c r="F350" i="2"/>
  <c r="E350" i="2"/>
  <c r="D350" i="2"/>
  <c r="C350" i="2"/>
  <c r="B350" i="2"/>
  <c r="B362" i="3" s="1"/>
  <c r="A350" i="2"/>
  <c r="A362" i="3" s="1"/>
  <c r="G349" i="2"/>
  <c r="F349" i="2"/>
  <c r="E349" i="2"/>
  <c r="D349" i="2"/>
  <c r="C349" i="2"/>
  <c r="B349" i="2"/>
  <c r="B361" i="3" s="1"/>
  <c r="A349" i="2"/>
  <c r="A361" i="3" s="1"/>
  <c r="G348" i="2"/>
  <c r="F348" i="2"/>
  <c r="E348" i="2"/>
  <c r="D348" i="2"/>
  <c r="C348" i="2"/>
  <c r="B348" i="2"/>
  <c r="B360" i="3" s="1"/>
  <c r="A348" i="2"/>
  <c r="A360" i="3" s="1"/>
  <c r="G347" i="2"/>
  <c r="F347" i="2"/>
  <c r="E347" i="2"/>
  <c r="D347" i="2"/>
  <c r="C347" i="2"/>
  <c r="B347" i="2"/>
  <c r="B359" i="3" s="1"/>
  <c r="A347" i="2"/>
  <c r="A359" i="3" s="1"/>
  <c r="G346" i="2"/>
  <c r="F346" i="2"/>
  <c r="E346" i="2"/>
  <c r="D346" i="2"/>
  <c r="C346" i="2"/>
  <c r="B346" i="2"/>
  <c r="B358" i="3" s="1"/>
  <c r="A346" i="2"/>
  <c r="A358" i="3" s="1"/>
  <c r="G345" i="2"/>
  <c r="F345" i="2"/>
  <c r="E345" i="2"/>
  <c r="D345" i="2"/>
  <c r="C345" i="2"/>
  <c r="B345" i="2"/>
  <c r="B357" i="3" s="1"/>
  <c r="A345" i="2"/>
  <c r="A357" i="3" s="1"/>
  <c r="G344" i="2"/>
  <c r="F344" i="2"/>
  <c r="E344" i="2"/>
  <c r="D344" i="2"/>
  <c r="C344" i="2"/>
  <c r="B344" i="2"/>
  <c r="B356" i="3" s="1"/>
  <c r="A344" i="2"/>
  <c r="A356" i="3" s="1"/>
  <c r="G343" i="2"/>
  <c r="F343" i="2"/>
  <c r="E343" i="2"/>
  <c r="D343" i="2"/>
  <c r="C343" i="2"/>
  <c r="B343" i="2"/>
  <c r="B355" i="3" s="1"/>
  <c r="A343" i="2"/>
  <c r="A355" i="3" s="1"/>
  <c r="G342" i="2"/>
  <c r="F342" i="2"/>
  <c r="E342" i="2"/>
  <c r="D342" i="2"/>
  <c r="C342" i="2"/>
  <c r="B342" i="2"/>
  <c r="B354" i="3" s="1"/>
  <c r="A342" i="2"/>
  <c r="A354" i="3" s="1"/>
  <c r="G341" i="2"/>
  <c r="F341" i="2"/>
  <c r="E341" i="2"/>
  <c r="D341" i="2"/>
  <c r="C341" i="2"/>
  <c r="B341" i="2"/>
  <c r="B353" i="3" s="1"/>
  <c r="A341" i="2"/>
  <c r="A353" i="3" s="1"/>
  <c r="G340" i="2"/>
  <c r="F340" i="2"/>
  <c r="E340" i="2"/>
  <c r="D340" i="2"/>
  <c r="C340" i="2"/>
  <c r="B340" i="2"/>
  <c r="B352" i="3" s="1"/>
  <c r="A340" i="2"/>
  <c r="A352" i="3" s="1"/>
  <c r="G339" i="2"/>
  <c r="F339" i="2"/>
  <c r="E339" i="2"/>
  <c r="D339" i="2"/>
  <c r="C339" i="2"/>
  <c r="B339" i="2"/>
  <c r="B351" i="3" s="1"/>
  <c r="A339" i="2"/>
  <c r="A351" i="3" s="1"/>
  <c r="G338" i="2"/>
  <c r="F338" i="2"/>
  <c r="E338" i="2"/>
  <c r="D338" i="2"/>
  <c r="C338" i="2"/>
  <c r="B338" i="2"/>
  <c r="B350" i="3" s="1"/>
  <c r="A338" i="2"/>
  <c r="A350" i="3" s="1"/>
  <c r="G337" i="2"/>
  <c r="F337" i="2"/>
  <c r="E337" i="2"/>
  <c r="D337" i="2"/>
  <c r="C337" i="2"/>
  <c r="B337" i="2"/>
  <c r="B349" i="3" s="1"/>
  <c r="A337" i="2"/>
  <c r="A349" i="3" s="1"/>
  <c r="G336" i="2"/>
  <c r="F336" i="2"/>
  <c r="E336" i="2"/>
  <c r="D336" i="2"/>
  <c r="C336" i="2"/>
  <c r="B336" i="2"/>
  <c r="B348" i="3" s="1"/>
  <c r="A336" i="2"/>
  <c r="A348" i="3" s="1"/>
  <c r="G335" i="2"/>
  <c r="F335" i="2"/>
  <c r="E335" i="2"/>
  <c r="D335" i="2"/>
  <c r="C335" i="2"/>
  <c r="B335" i="2"/>
  <c r="B347" i="3" s="1"/>
  <c r="A335" i="2"/>
  <c r="A347" i="3" s="1"/>
  <c r="G334" i="2"/>
  <c r="F334" i="2"/>
  <c r="E334" i="2"/>
  <c r="D334" i="2"/>
  <c r="C334" i="2"/>
  <c r="B334" i="2"/>
  <c r="B346" i="3" s="1"/>
  <c r="A334" i="2"/>
  <c r="A346" i="3" s="1"/>
  <c r="G333" i="2"/>
  <c r="F333" i="2"/>
  <c r="E333" i="2"/>
  <c r="D333" i="2"/>
  <c r="C333" i="2"/>
  <c r="B333" i="2"/>
  <c r="B345" i="3" s="1"/>
  <c r="A333" i="2"/>
  <c r="A345" i="3" s="1"/>
  <c r="G332" i="2"/>
  <c r="F332" i="2"/>
  <c r="E332" i="2"/>
  <c r="D332" i="2"/>
  <c r="C332" i="2"/>
  <c r="B332" i="2"/>
  <c r="B344" i="3" s="1"/>
  <c r="A332" i="2"/>
  <c r="A344" i="3" s="1"/>
  <c r="G331" i="2"/>
  <c r="F331" i="2"/>
  <c r="E331" i="2"/>
  <c r="D331" i="2"/>
  <c r="C331" i="2"/>
  <c r="B331" i="2"/>
  <c r="B343" i="3" s="1"/>
  <c r="A331" i="2"/>
  <c r="A343" i="3" s="1"/>
  <c r="G330" i="2"/>
  <c r="F330" i="2"/>
  <c r="E330" i="2"/>
  <c r="D330" i="2"/>
  <c r="C330" i="2"/>
  <c r="B330" i="2"/>
  <c r="B342" i="3" s="1"/>
  <c r="A330" i="2"/>
  <c r="A342" i="3" s="1"/>
  <c r="G329" i="2"/>
  <c r="F329" i="2"/>
  <c r="E329" i="2"/>
  <c r="D329" i="2"/>
  <c r="C329" i="2"/>
  <c r="B329" i="2"/>
  <c r="B341" i="3" s="1"/>
  <c r="A329" i="2"/>
  <c r="A341" i="3" s="1"/>
  <c r="G328" i="2"/>
  <c r="F328" i="2"/>
  <c r="E328" i="2"/>
  <c r="D328" i="2"/>
  <c r="C328" i="2"/>
  <c r="B328" i="2"/>
  <c r="B340" i="3" s="1"/>
  <c r="A328" i="2"/>
  <c r="A340" i="3" s="1"/>
  <c r="G327" i="2"/>
  <c r="F327" i="2"/>
  <c r="E327" i="2"/>
  <c r="D327" i="2"/>
  <c r="C327" i="2"/>
  <c r="B327" i="2"/>
  <c r="B339" i="3" s="1"/>
  <c r="A327" i="2"/>
  <c r="A339" i="3" s="1"/>
  <c r="G326" i="2"/>
  <c r="F326" i="2"/>
  <c r="E326" i="2"/>
  <c r="D326" i="2"/>
  <c r="C326" i="2"/>
  <c r="B326" i="2"/>
  <c r="B338" i="3" s="1"/>
  <c r="A326" i="2"/>
  <c r="A338" i="3" s="1"/>
  <c r="G325" i="2"/>
  <c r="F325" i="2"/>
  <c r="E325" i="2"/>
  <c r="D325" i="2"/>
  <c r="C325" i="2"/>
  <c r="B325" i="2"/>
  <c r="B337" i="3" s="1"/>
  <c r="A325" i="2"/>
  <c r="A337" i="3" s="1"/>
  <c r="G324" i="2"/>
  <c r="F324" i="2"/>
  <c r="E324" i="2"/>
  <c r="D324" i="2"/>
  <c r="C324" i="2"/>
  <c r="B324" i="2"/>
  <c r="B336" i="3" s="1"/>
  <c r="A324" i="2"/>
  <c r="A336" i="3" s="1"/>
  <c r="G323" i="2"/>
  <c r="F323" i="2"/>
  <c r="E323" i="2"/>
  <c r="D323" i="2"/>
  <c r="C323" i="2"/>
  <c r="B323" i="2"/>
  <c r="B335" i="3" s="1"/>
  <c r="A323" i="2"/>
  <c r="A335" i="3" s="1"/>
  <c r="G322" i="2"/>
  <c r="F322" i="2"/>
  <c r="E322" i="2"/>
  <c r="D322" i="2"/>
  <c r="C322" i="2"/>
  <c r="B322" i="2"/>
  <c r="B334" i="3" s="1"/>
  <c r="A322" i="2"/>
  <c r="A334" i="3" s="1"/>
  <c r="G321" i="2"/>
  <c r="F321" i="2"/>
  <c r="E321" i="2"/>
  <c r="D321" i="2"/>
  <c r="C321" i="2"/>
  <c r="B321" i="2"/>
  <c r="B333" i="3" s="1"/>
  <c r="A321" i="2"/>
  <c r="A333" i="3" s="1"/>
  <c r="G320" i="2"/>
  <c r="F320" i="2"/>
  <c r="E320" i="2"/>
  <c r="D320" i="2"/>
  <c r="C320" i="2"/>
  <c r="B320" i="2"/>
  <c r="B332" i="3" s="1"/>
  <c r="A320" i="2"/>
  <c r="A332" i="3" s="1"/>
  <c r="G319" i="2"/>
  <c r="F319" i="2"/>
  <c r="E319" i="2"/>
  <c r="D319" i="2"/>
  <c r="C319" i="2"/>
  <c r="B319" i="2"/>
  <c r="B331" i="3" s="1"/>
  <c r="A319" i="2"/>
  <c r="A331" i="3" s="1"/>
  <c r="G318" i="2"/>
  <c r="F318" i="2"/>
  <c r="E318" i="2"/>
  <c r="D318" i="2"/>
  <c r="C318" i="2"/>
  <c r="B318" i="2"/>
  <c r="B330" i="3" s="1"/>
  <c r="A318" i="2"/>
  <c r="A330" i="3" s="1"/>
  <c r="G317" i="2"/>
  <c r="F317" i="2"/>
  <c r="E317" i="2"/>
  <c r="D317" i="2"/>
  <c r="C317" i="2"/>
  <c r="B317" i="2"/>
  <c r="B329" i="3" s="1"/>
  <c r="A317" i="2"/>
  <c r="A329" i="3" s="1"/>
  <c r="G316" i="2"/>
  <c r="F316" i="2"/>
  <c r="E316" i="2"/>
  <c r="D316" i="2"/>
  <c r="C316" i="2"/>
  <c r="B316" i="2"/>
  <c r="B328" i="3" s="1"/>
  <c r="A316" i="2"/>
  <c r="A328" i="3" s="1"/>
  <c r="G315" i="2"/>
  <c r="F315" i="2"/>
  <c r="E315" i="2"/>
  <c r="D315" i="2"/>
  <c r="C315" i="2"/>
  <c r="B315" i="2"/>
  <c r="B327" i="3" s="1"/>
  <c r="A315" i="2"/>
  <c r="A327" i="3" s="1"/>
  <c r="G314" i="2"/>
  <c r="F314" i="2"/>
  <c r="E314" i="2"/>
  <c r="D314" i="2"/>
  <c r="C314" i="2"/>
  <c r="B314" i="2"/>
  <c r="B326" i="3" s="1"/>
  <c r="A314" i="2"/>
  <c r="A326" i="3" s="1"/>
  <c r="G313" i="2"/>
  <c r="F313" i="2"/>
  <c r="E313" i="2"/>
  <c r="D313" i="2"/>
  <c r="C313" i="2"/>
  <c r="B313" i="2"/>
  <c r="B325" i="3" s="1"/>
  <c r="A313" i="2"/>
  <c r="A325" i="3" s="1"/>
  <c r="G312" i="2"/>
  <c r="F312" i="2"/>
  <c r="E312" i="2"/>
  <c r="D312" i="2"/>
  <c r="C312" i="2"/>
  <c r="B312" i="2"/>
  <c r="B324" i="3" s="1"/>
  <c r="A312" i="2"/>
  <c r="A324" i="3" s="1"/>
  <c r="G311" i="2"/>
  <c r="F311" i="2"/>
  <c r="E311" i="2"/>
  <c r="D311" i="2"/>
  <c r="C311" i="2"/>
  <c r="B311" i="2"/>
  <c r="B323" i="3" s="1"/>
  <c r="A311" i="2"/>
  <c r="A323" i="3" s="1"/>
  <c r="G310" i="2"/>
  <c r="F310" i="2"/>
  <c r="E310" i="2"/>
  <c r="D310" i="2"/>
  <c r="C310" i="2"/>
  <c r="B310" i="2"/>
  <c r="B322" i="3" s="1"/>
  <c r="A310" i="2"/>
  <c r="A322" i="3" s="1"/>
  <c r="G309" i="2"/>
  <c r="F309" i="2"/>
  <c r="E309" i="2"/>
  <c r="D309" i="2"/>
  <c r="C309" i="2"/>
  <c r="B309" i="2"/>
  <c r="B321" i="3" s="1"/>
  <c r="A309" i="2"/>
  <c r="A321" i="3" s="1"/>
  <c r="G308" i="2"/>
  <c r="F308" i="2"/>
  <c r="E308" i="2"/>
  <c r="D308" i="2"/>
  <c r="C308" i="2"/>
  <c r="B308" i="2"/>
  <c r="B320" i="3" s="1"/>
  <c r="A308" i="2"/>
  <c r="A320" i="3" s="1"/>
  <c r="G307" i="2"/>
  <c r="F307" i="2"/>
  <c r="E307" i="2"/>
  <c r="D307" i="2"/>
  <c r="C307" i="2"/>
  <c r="B307" i="2"/>
  <c r="B319" i="3" s="1"/>
  <c r="A307" i="2"/>
  <c r="A319" i="3" s="1"/>
  <c r="G306" i="2"/>
  <c r="F306" i="2"/>
  <c r="E306" i="2"/>
  <c r="D306" i="2"/>
  <c r="C306" i="2"/>
  <c r="B306" i="2"/>
  <c r="B318" i="3" s="1"/>
  <c r="A306" i="2"/>
  <c r="A318" i="3" s="1"/>
  <c r="G305" i="2"/>
  <c r="F305" i="2"/>
  <c r="E305" i="2"/>
  <c r="D305" i="2"/>
  <c r="C305" i="2"/>
  <c r="B305" i="2"/>
  <c r="B317" i="3" s="1"/>
  <c r="A305" i="2"/>
  <c r="A317" i="3" s="1"/>
  <c r="G304" i="2"/>
  <c r="F304" i="2"/>
  <c r="E304" i="2"/>
  <c r="D304" i="2"/>
  <c r="C304" i="2"/>
  <c r="B304" i="2"/>
  <c r="B316" i="3" s="1"/>
  <c r="A304" i="2"/>
  <c r="A316" i="3" s="1"/>
  <c r="G303" i="2"/>
  <c r="F303" i="2"/>
  <c r="E303" i="2"/>
  <c r="D303" i="2"/>
  <c r="C303" i="2"/>
  <c r="B303" i="2"/>
  <c r="B315" i="3" s="1"/>
  <c r="A303" i="2"/>
  <c r="A315" i="3" s="1"/>
  <c r="G302" i="2"/>
  <c r="F302" i="2"/>
  <c r="E302" i="2"/>
  <c r="D302" i="2"/>
  <c r="C302" i="2"/>
  <c r="B302" i="2"/>
  <c r="B314" i="3" s="1"/>
  <c r="A302" i="2"/>
  <c r="A314" i="3" s="1"/>
  <c r="G301" i="2"/>
  <c r="F301" i="2"/>
  <c r="E301" i="2"/>
  <c r="D301" i="2"/>
  <c r="C301" i="2"/>
  <c r="B301" i="2"/>
  <c r="B313" i="3" s="1"/>
  <c r="A301" i="2"/>
  <c r="A313" i="3" s="1"/>
  <c r="G300" i="2"/>
  <c r="F300" i="2"/>
  <c r="E300" i="2"/>
  <c r="D300" i="2"/>
  <c r="C300" i="2"/>
  <c r="B300" i="2"/>
  <c r="B312" i="3" s="1"/>
  <c r="A300" i="2"/>
  <c r="A312" i="3" s="1"/>
  <c r="G299" i="2"/>
  <c r="F299" i="2"/>
  <c r="E299" i="2"/>
  <c r="D299" i="2"/>
  <c r="C299" i="2"/>
  <c r="B299" i="2"/>
  <c r="B311" i="3" s="1"/>
  <c r="A299" i="2"/>
  <c r="A311" i="3" s="1"/>
  <c r="G298" i="2"/>
  <c r="F298" i="2"/>
  <c r="E298" i="2"/>
  <c r="D298" i="2"/>
  <c r="C298" i="2"/>
  <c r="B298" i="2"/>
  <c r="B310" i="3" s="1"/>
  <c r="A298" i="2"/>
  <c r="A310" i="3" s="1"/>
  <c r="G297" i="2"/>
  <c r="F297" i="2"/>
  <c r="E297" i="2"/>
  <c r="D297" i="2"/>
  <c r="C297" i="2"/>
  <c r="B297" i="2"/>
  <c r="B309" i="3" s="1"/>
  <c r="A297" i="2"/>
  <c r="A309" i="3" s="1"/>
  <c r="G296" i="2"/>
  <c r="F296" i="2"/>
  <c r="E296" i="2"/>
  <c r="D296" i="2"/>
  <c r="C296" i="2"/>
  <c r="B296" i="2"/>
  <c r="B308" i="3" s="1"/>
  <c r="A296" i="2"/>
  <c r="A308" i="3" s="1"/>
  <c r="G295" i="2"/>
  <c r="F295" i="2"/>
  <c r="E295" i="2"/>
  <c r="D295" i="2"/>
  <c r="C295" i="2"/>
  <c r="B295" i="2"/>
  <c r="B307" i="3" s="1"/>
  <c r="A295" i="2"/>
  <c r="A307" i="3" s="1"/>
  <c r="G294" i="2"/>
  <c r="F294" i="2"/>
  <c r="E294" i="2"/>
  <c r="D294" i="2"/>
  <c r="C294" i="2"/>
  <c r="B294" i="2"/>
  <c r="B306" i="3" s="1"/>
  <c r="A294" i="2"/>
  <c r="A306" i="3" s="1"/>
  <c r="G293" i="2"/>
  <c r="F293" i="2"/>
  <c r="E293" i="2"/>
  <c r="D293" i="2"/>
  <c r="C293" i="2"/>
  <c r="B293" i="2"/>
  <c r="B305" i="3" s="1"/>
  <c r="A293" i="2"/>
  <c r="A305" i="3" s="1"/>
  <c r="G292" i="2"/>
  <c r="F292" i="2"/>
  <c r="E292" i="2"/>
  <c r="D292" i="2"/>
  <c r="C292" i="2"/>
  <c r="B292" i="2"/>
  <c r="B304" i="3" s="1"/>
  <c r="A292" i="2"/>
  <c r="A304" i="3" s="1"/>
  <c r="G291" i="2"/>
  <c r="F291" i="2"/>
  <c r="E291" i="2"/>
  <c r="D291" i="2"/>
  <c r="C291" i="2"/>
  <c r="B291" i="2"/>
  <c r="B303" i="3" s="1"/>
  <c r="A291" i="2"/>
  <c r="A303" i="3" s="1"/>
  <c r="G290" i="2"/>
  <c r="F290" i="2"/>
  <c r="E290" i="2"/>
  <c r="D290" i="2"/>
  <c r="C290" i="2"/>
  <c r="B290" i="2"/>
  <c r="B302" i="3" s="1"/>
  <c r="A290" i="2"/>
  <c r="A302" i="3" s="1"/>
  <c r="G289" i="2"/>
  <c r="F289" i="2"/>
  <c r="E289" i="2"/>
  <c r="D289" i="2"/>
  <c r="C289" i="2"/>
  <c r="B289" i="2"/>
  <c r="B301" i="3" s="1"/>
  <c r="A289" i="2"/>
  <c r="A301" i="3" s="1"/>
  <c r="G288" i="2"/>
  <c r="F288" i="2"/>
  <c r="E288" i="2"/>
  <c r="D288" i="2"/>
  <c r="C288" i="2"/>
  <c r="B288" i="2"/>
  <c r="B300" i="3" s="1"/>
  <c r="A288" i="2"/>
  <c r="A300" i="3" s="1"/>
  <c r="G287" i="2"/>
  <c r="F287" i="2"/>
  <c r="E287" i="2"/>
  <c r="D287" i="2"/>
  <c r="C287" i="2"/>
  <c r="B287" i="2"/>
  <c r="B299" i="3" s="1"/>
  <c r="A287" i="2"/>
  <c r="A299" i="3" s="1"/>
  <c r="G286" i="2"/>
  <c r="F286" i="2"/>
  <c r="E286" i="2"/>
  <c r="D286" i="2"/>
  <c r="C286" i="2"/>
  <c r="B286" i="2"/>
  <c r="B298" i="3" s="1"/>
  <c r="A286" i="2"/>
  <c r="A298" i="3" s="1"/>
  <c r="G285" i="2"/>
  <c r="F285" i="2"/>
  <c r="E285" i="2"/>
  <c r="D285" i="2"/>
  <c r="C285" i="2"/>
  <c r="B285" i="2"/>
  <c r="B297" i="3" s="1"/>
  <c r="A285" i="2"/>
  <c r="A297" i="3" s="1"/>
  <c r="G284" i="2"/>
  <c r="F284" i="2"/>
  <c r="E284" i="2"/>
  <c r="D284" i="2"/>
  <c r="C284" i="2"/>
  <c r="B284" i="2"/>
  <c r="B296" i="3" s="1"/>
  <c r="A284" i="2"/>
  <c r="A296" i="3" s="1"/>
  <c r="G283" i="2"/>
  <c r="F283" i="2"/>
  <c r="E283" i="2"/>
  <c r="D283" i="2"/>
  <c r="C283" i="2"/>
  <c r="B283" i="2"/>
  <c r="B295" i="3" s="1"/>
  <c r="A283" i="2"/>
  <c r="A295" i="3" s="1"/>
  <c r="G282" i="2"/>
  <c r="F282" i="2"/>
  <c r="E282" i="2"/>
  <c r="D282" i="2"/>
  <c r="C282" i="2"/>
  <c r="B282" i="2"/>
  <c r="B294" i="3" s="1"/>
  <c r="A282" i="2"/>
  <c r="A294" i="3" s="1"/>
  <c r="G281" i="2"/>
  <c r="F281" i="2"/>
  <c r="E281" i="2"/>
  <c r="D281" i="2"/>
  <c r="C281" i="2"/>
  <c r="B281" i="2"/>
  <c r="B293" i="3" s="1"/>
  <c r="A281" i="2"/>
  <c r="A293" i="3" s="1"/>
  <c r="G280" i="2"/>
  <c r="F280" i="2"/>
  <c r="E280" i="2"/>
  <c r="D280" i="2"/>
  <c r="C280" i="2"/>
  <c r="B280" i="2"/>
  <c r="B292" i="3" s="1"/>
  <c r="A280" i="2"/>
  <c r="A292" i="3" s="1"/>
  <c r="G279" i="2"/>
  <c r="F279" i="2"/>
  <c r="E279" i="2"/>
  <c r="D279" i="2"/>
  <c r="C279" i="2"/>
  <c r="B279" i="2"/>
  <c r="B291" i="3" s="1"/>
  <c r="A279" i="2"/>
  <c r="A291" i="3" s="1"/>
  <c r="G278" i="2"/>
  <c r="F278" i="2"/>
  <c r="E278" i="2"/>
  <c r="D278" i="2"/>
  <c r="C278" i="2"/>
  <c r="B278" i="2"/>
  <c r="B290" i="3" s="1"/>
  <c r="A278" i="2"/>
  <c r="A290" i="3" s="1"/>
  <c r="G277" i="2"/>
  <c r="F277" i="2"/>
  <c r="E277" i="2"/>
  <c r="D277" i="2"/>
  <c r="C277" i="2"/>
  <c r="B277" i="2"/>
  <c r="B289" i="3" s="1"/>
  <c r="A277" i="2"/>
  <c r="A289" i="3" s="1"/>
  <c r="G276" i="2"/>
  <c r="F276" i="2"/>
  <c r="E276" i="2"/>
  <c r="D276" i="2"/>
  <c r="C276" i="2"/>
  <c r="B276" i="2"/>
  <c r="B288" i="3" s="1"/>
  <c r="A276" i="2"/>
  <c r="A288" i="3" s="1"/>
  <c r="G275" i="2"/>
  <c r="F275" i="2"/>
  <c r="E275" i="2"/>
  <c r="D275" i="2"/>
  <c r="C275" i="2"/>
  <c r="B275" i="2"/>
  <c r="B287" i="3" s="1"/>
  <c r="A275" i="2"/>
  <c r="A287" i="3" s="1"/>
  <c r="G274" i="2"/>
  <c r="F274" i="2"/>
  <c r="E274" i="2"/>
  <c r="D274" i="2"/>
  <c r="C274" i="2"/>
  <c r="B274" i="2"/>
  <c r="B286" i="3" s="1"/>
  <c r="A274" i="2"/>
  <c r="A286" i="3" s="1"/>
  <c r="G273" i="2"/>
  <c r="F273" i="2"/>
  <c r="E273" i="2"/>
  <c r="D273" i="2"/>
  <c r="C273" i="2"/>
  <c r="B273" i="2"/>
  <c r="B285" i="3" s="1"/>
  <c r="A273" i="2"/>
  <c r="A285" i="3" s="1"/>
  <c r="G272" i="2"/>
  <c r="F272" i="2"/>
  <c r="E272" i="2"/>
  <c r="D272" i="2"/>
  <c r="C272" i="2"/>
  <c r="B272" i="2"/>
  <c r="B284" i="3" s="1"/>
  <c r="A272" i="2"/>
  <c r="A284" i="3" s="1"/>
  <c r="G271" i="2"/>
  <c r="F271" i="2"/>
  <c r="E271" i="2"/>
  <c r="D271" i="2"/>
  <c r="C271" i="2"/>
  <c r="B271" i="2"/>
  <c r="B283" i="3" s="1"/>
  <c r="A271" i="2"/>
  <c r="A283" i="3" s="1"/>
  <c r="G270" i="2"/>
  <c r="F270" i="2"/>
  <c r="E270" i="2"/>
  <c r="D270" i="2"/>
  <c r="C270" i="2"/>
  <c r="B270" i="2"/>
  <c r="B282" i="3" s="1"/>
  <c r="A270" i="2"/>
  <c r="A282" i="3" s="1"/>
  <c r="G269" i="2"/>
  <c r="F269" i="2"/>
  <c r="E269" i="2"/>
  <c r="D269" i="2"/>
  <c r="C269" i="2"/>
  <c r="B269" i="2"/>
  <c r="B281" i="3" s="1"/>
  <c r="A269" i="2"/>
  <c r="A281" i="3" s="1"/>
  <c r="G268" i="2"/>
  <c r="F268" i="2"/>
  <c r="E268" i="2"/>
  <c r="D268" i="2"/>
  <c r="C268" i="2"/>
  <c r="B268" i="2"/>
  <c r="B280" i="3" s="1"/>
  <c r="A268" i="2"/>
  <c r="A280" i="3" s="1"/>
  <c r="G267" i="2"/>
  <c r="F267" i="2"/>
  <c r="E267" i="2"/>
  <c r="D267" i="2"/>
  <c r="C267" i="2"/>
  <c r="B267" i="2"/>
  <c r="B279" i="3" s="1"/>
  <c r="A267" i="2"/>
  <c r="A279" i="3" s="1"/>
  <c r="G266" i="2"/>
  <c r="F266" i="2"/>
  <c r="E266" i="2"/>
  <c r="D266" i="2"/>
  <c r="C266" i="2"/>
  <c r="B266" i="2"/>
  <c r="B278" i="3" s="1"/>
  <c r="A266" i="2"/>
  <c r="A278" i="3" s="1"/>
  <c r="G265" i="2"/>
  <c r="F265" i="2"/>
  <c r="E265" i="2"/>
  <c r="D265" i="2"/>
  <c r="C265" i="2"/>
  <c r="B265" i="2"/>
  <c r="B277" i="3" s="1"/>
  <c r="A265" i="2"/>
  <c r="A277" i="3" s="1"/>
  <c r="G264" i="2"/>
  <c r="F264" i="2"/>
  <c r="E264" i="2"/>
  <c r="D264" i="2"/>
  <c r="C264" i="2"/>
  <c r="B264" i="2"/>
  <c r="B276" i="3" s="1"/>
  <c r="A264" i="2"/>
  <c r="A276" i="3" s="1"/>
  <c r="G263" i="2"/>
  <c r="F263" i="2"/>
  <c r="E263" i="2"/>
  <c r="D263" i="2"/>
  <c r="C263" i="2"/>
  <c r="B263" i="2"/>
  <c r="B275" i="3" s="1"/>
  <c r="A263" i="2"/>
  <c r="A275" i="3" s="1"/>
  <c r="G262" i="2"/>
  <c r="F262" i="2"/>
  <c r="E262" i="2"/>
  <c r="D262" i="2"/>
  <c r="C262" i="2"/>
  <c r="B262" i="2"/>
  <c r="B274" i="3" s="1"/>
  <c r="A262" i="2"/>
  <c r="A274" i="3" s="1"/>
  <c r="G261" i="2"/>
  <c r="F261" i="2"/>
  <c r="E261" i="2"/>
  <c r="D261" i="2"/>
  <c r="C261" i="2"/>
  <c r="B261" i="2"/>
  <c r="B273" i="3" s="1"/>
  <c r="A261" i="2"/>
  <c r="A273" i="3" s="1"/>
  <c r="G260" i="2"/>
  <c r="F260" i="2"/>
  <c r="E260" i="2"/>
  <c r="D260" i="2"/>
  <c r="C260" i="2"/>
  <c r="B260" i="2"/>
  <c r="B272" i="3" s="1"/>
  <c r="A260" i="2"/>
  <c r="A272" i="3" s="1"/>
  <c r="G259" i="2"/>
  <c r="F259" i="2"/>
  <c r="E259" i="2"/>
  <c r="D259" i="2"/>
  <c r="C259" i="2"/>
  <c r="B259" i="2"/>
  <c r="B271" i="3" s="1"/>
  <c r="A259" i="2"/>
  <c r="A271" i="3" s="1"/>
  <c r="G258" i="2"/>
  <c r="F258" i="2"/>
  <c r="E258" i="2"/>
  <c r="D258" i="2"/>
  <c r="C258" i="2"/>
  <c r="B258" i="2"/>
  <c r="B270" i="3" s="1"/>
  <c r="A258" i="2"/>
  <c r="A270" i="3" s="1"/>
  <c r="G257" i="2"/>
  <c r="F257" i="2"/>
  <c r="E257" i="2"/>
  <c r="D257" i="2"/>
  <c r="C257" i="2"/>
  <c r="B257" i="2"/>
  <c r="B269" i="3" s="1"/>
  <c r="A257" i="2"/>
  <c r="A269" i="3" s="1"/>
  <c r="G256" i="2"/>
  <c r="F256" i="2"/>
  <c r="E256" i="2"/>
  <c r="D256" i="2"/>
  <c r="C256" i="2"/>
  <c r="B256" i="2"/>
  <c r="B268" i="3" s="1"/>
  <c r="A256" i="2"/>
  <c r="A268" i="3" s="1"/>
  <c r="G255" i="2"/>
  <c r="F255" i="2"/>
  <c r="E255" i="2"/>
  <c r="D255" i="2"/>
  <c r="C255" i="2"/>
  <c r="B255" i="2"/>
  <c r="B267" i="3" s="1"/>
  <c r="A255" i="2"/>
  <c r="A267" i="3" s="1"/>
  <c r="G254" i="2"/>
  <c r="F254" i="2"/>
  <c r="E254" i="2"/>
  <c r="D254" i="2"/>
  <c r="C254" i="2"/>
  <c r="B254" i="2"/>
  <c r="B266" i="3" s="1"/>
  <c r="A254" i="2"/>
  <c r="A266" i="3" s="1"/>
  <c r="G253" i="2"/>
  <c r="F253" i="2"/>
  <c r="E253" i="2"/>
  <c r="D253" i="2"/>
  <c r="C253" i="2"/>
  <c r="B253" i="2"/>
  <c r="B265" i="3" s="1"/>
  <c r="A253" i="2"/>
  <c r="A265" i="3" s="1"/>
  <c r="G252" i="2"/>
  <c r="F252" i="2"/>
  <c r="E252" i="2"/>
  <c r="D252" i="2"/>
  <c r="C252" i="2"/>
  <c r="B252" i="2"/>
  <c r="B264" i="3" s="1"/>
  <c r="A252" i="2"/>
  <c r="A264" i="3" s="1"/>
  <c r="G251" i="2"/>
  <c r="F251" i="2"/>
  <c r="E251" i="2"/>
  <c r="D251" i="2"/>
  <c r="C251" i="2"/>
  <c r="B251" i="2"/>
  <c r="B263" i="3" s="1"/>
  <c r="A251" i="2"/>
  <c r="A263" i="3" s="1"/>
  <c r="G250" i="2"/>
  <c r="F250" i="2"/>
  <c r="E250" i="2"/>
  <c r="D250" i="2"/>
  <c r="C250" i="2"/>
  <c r="B250" i="2"/>
  <c r="B262" i="3" s="1"/>
  <c r="A250" i="2"/>
  <c r="A262" i="3" s="1"/>
  <c r="G249" i="2"/>
  <c r="F249" i="2"/>
  <c r="E249" i="2"/>
  <c r="D249" i="2"/>
  <c r="C249" i="2"/>
  <c r="B249" i="2"/>
  <c r="B261" i="3" s="1"/>
  <c r="A249" i="2"/>
  <c r="A261" i="3" s="1"/>
  <c r="G248" i="2"/>
  <c r="F248" i="2"/>
  <c r="E248" i="2"/>
  <c r="D248" i="2"/>
  <c r="C248" i="2"/>
  <c r="B248" i="2"/>
  <c r="B260" i="3" s="1"/>
  <c r="A248" i="2"/>
  <c r="A260" i="3" s="1"/>
  <c r="G247" i="2"/>
  <c r="F247" i="2"/>
  <c r="E247" i="2"/>
  <c r="D247" i="2"/>
  <c r="C247" i="2"/>
  <c r="B247" i="2"/>
  <c r="B259" i="3" s="1"/>
  <c r="A247" i="2"/>
  <c r="A259" i="3" s="1"/>
  <c r="G246" i="2"/>
  <c r="F246" i="2"/>
  <c r="E246" i="2"/>
  <c r="D246" i="2"/>
  <c r="C246" i="2"/>
  <c r="B246" i="2"/>
  <c r="B258" i="3" s="1"/>
  <c r="A246" i="2"/>
  <c r="A258" i="3" s="1"/>
  <c r="G245" i="2"/>
  <c r="F245" i="2"/>
  <c r="E245" i="2"/>
  <c r="D245" i="2"/>
  <c r="C245" i="2"/>
  <c r="B245" i="2"/>
  <c r="B257" i="3" s="1"/>
  <c r="A245" i="2"/>
  <c r="A257" i="3" s="1"/>
  <c r="G244" i="2"/>
  <c r="F244" i="2"/>
  <c r="E244" i="2"/>
  <c r="D244" i="2"/>
  <c r="C244" i="2"/>
  <c r="B244" i="2"/>
  <c r="B256" i="3" s="1"/>
  <c r="A244" i="2"/>
  <c r="A256" i="3" s="1"/>
  <c r="G243" i="2"/>
  <c r="F243" i="2"/>
  <c r="E243" i="2"/>
  <c r="D243" i="2"/>
  <c r="C243" i="2"/>
  <c r="B243" i="2"/>
  <c r="B255" i="3" s="1"/>
  <c r="A243" i="2"/>
  <c r="A255" i="3" s="1"/>
  <c r="G242" i="2"/>
  <c r="F242" i="2"/>
  <c r="E242" i="2"/>
  <c r="D242" i="2"/>
  <c r="C242" i="2"/>
  <c r="B242" i="2"/>
  <c r="B254" i="3" s="1"/>
  <c r="A242" i="2"/>
  <c r="A254" i="3" s="1"/>
  <c r="G241" i="2"/>
  <c r="F241" i="2"/>
  <c r="E241" i="2"/>
  <c r="D241" i="2"/>
  <c r="C241" i="2"/>
  <c r="B241" i="2"/>
  <c r="B253" i="3" s="1"/>
  <c r="A241" i="2"/>
  <c r="A253" i="3" s="1"/>
  <c r="G240" i="2"/>
  <c r="F240" i="2"/>
  <c r="E240" i="2"/>
  <c r="D240" i="2"/>
  <c r="C240" i="2"/>
  <c r="B240" i="2"/>
  <c r="B252" i="3" s="1"/>
  <c r="A240" i="2"/>
  <c r="A252" i="3" s="1"/>
  <c r="G239" i="2"/>
  <c r="F239" i="2"/>
  <c r="E239" i="2"/>
  <c r="D239" i="2"/>
  <c r="C239" i="2"/>
  <c r="B239" i="2"/>
  <c r="B251" i="3" s="1"/>
  <c r="A239" i="2"/>
  <c r="A251" i="3" s="1"/>
  <c r="G238" i="2"/>
  <c r="F238" i="2"/>
  <c r="E238" i="2"/>
  <c r="D238" i="2"/>
  <c r="C238" i="2"/>
  <c r="B238" i="2"/>
  <c r="B250" i="3" s="1"/>
  <c r="A238" i="2"/>
  <c r="A250" i="3" s="1"/>
  <c r="G237" i="2"/>
  <c r="F237" i="2"/>
  <c r="E237" i="2"/>
  <c r="D237" i="2"/>
  <c r="C237" i="2"/>
  <c r="B237" i="2"/>
  <c r="B249" i="3" s="1"/>
  <c r="A237" i="2"/>
  <c r="A249" i="3" s="1"/>
  <c r="G236" i="2"/>
  <c r="F236" i="2"/>
  <c r="E236" i="2"/>
  <c r="D236" i="2"/>
  <c r="C236" i="2"/>
  <c r="B236" i="2"/>
  <c r="B248" i="3" s="1"/>
  <c r="A236" i="2"/>
  <c r="A248" i="3" s="1"/>
  <c r="G235" i="2"/>
  <c r="F235" i="2"/>
  <c r="E235" i="2"/>
  <c r="D235" i="2"/>
  <c r="C235" i="2"/>
  <c r="B235" i="2"/>
  <c r="B247" i="3" s="1"/>
  <c r="A235" i="2"/>
  <c r="A247" i="3" s="1"/>
  <c r="G234" i="2"/>
  <c r="F234" i="2"/>
  <c r="E234" i="2"/>
  <c r="D234" i="2"/>
  <c r="C234" i="2"/>
  <c r="B234" i="2"/>
  <c r="B246" i="3" s="1"/>
  <c r="A234" i="2"/>
  <c r="A246" i="3" s="1"/>
  <c r="G233" i="2"/>
  <c r="F233" i="2"/>
  <c r="E233" i="2"/>
  <c r="D233" i="2"/>
  <c r="C233" i="2"/>
  <c r="B233" i="2"/>
  <c r="B245" i="3" s="1"/>
  <c r="A233" i="2"/>
  <c r="A245" i="3" s="1"/>
  <c r="G232" i="2"/>
  <c r="F232" i="2"/>
  <c r="E232" i="2"/>
  <c r="D232" i="2"/>
  <c r="C232" i="2"/>
  <c r="B232" i="2"/>
  <c r="B244" i="3" s="1"/>
  <c r="A232" i="2"/>
  <c r="A244" i="3" s="1"/>
  <c r="G231" i="2"/>
  <c r="F231" i="2"/>
  <c r="E231" i="2"/>
  <c r="D231" i="2"/>
  <c r="C231" i="2"/>
  <c r="B231" i="2"/>
  <c r="B243" i="3" s="1"/>
  <c r="A231" i="2"/>
  <c r="A243" i="3" s="1"/>
  <c r="G230" i="2"/>
  <c r="F230" i="2"/>
  <c r="E230" i="2"/>
  <c r="D230" i="2"/>
  <c r="C230" i="2"/>
  <c r="B230" i="2"/>
  <c r="B242" i="3" s="1"/>
  <c r="A230" i="2"/>
  <c r="A242" i="3" s="1"/>
  <c r="G229" i="2"/>
  <c r="F229" i="2"/>
  <c r="E229" i="2"/>
  <c r="D229" i="2"/>
  <c r="C229" i="2"/>
  <c r="B229" i="2"/>
  <c r="B241" i="3" s="1"/>
  <c r="A229" i="2"/>
  <c r="A241" i="3" s="1"/>
  <c r="G228" i="2"/>
  <c r="F228" i="2"/>
  <c r="E228" i="2"/>
  <c r="D228" i="2"/>
  <c r="C228" i="2"/>
  <c r="B228" i="2"/>
  <c r="B240" i="3" s="1"/>
  <c r="A228" i="2"/>
  <c r="A240" i="3" s="1"/>
  <c r="G227" i="2"/>
  <c r="F227" i="2"/>
  <c r="E227" i="2"/>
  <c r="D227" i="2"/>
  <c r="C227" i="2"/>
  <c r="B227" i="2"/>
  <c r="B239" i="3" s="1"/>
  <c r="A227" i="2"/>
  <c r="A239" i="3" s="1"/>
  <c r="G226" i="2"/>
  <c r="F226" i="2"/>
  <c r="E226" i="2"/>
  <c r="D226" i="2"/>
  <c r="C226" i="2"/>
  <c r="B226" i="2"/>
  <c r="B238" i="3" s="1"/>
  <c r="A226" i="2"/>
  <c r="A238" i="3" s="1"/>
  <c r="G225" i="2"/>
  <c r="F225" i="2"/>
  <c r="E225" i="2"/>
  <c r="D225" i="2"/>
  <c r="C225" i="2"/>
  <c r="B225" i="2"/>
  <c r="B237" i="3" s="1"/>
  <c r="A225" i="2"/>
  <c r="A237" i="3" s="1"/>
  <c r="G224" i="2"/>
  <c r="F224" i="2"/>
  <c r="E224" i="2"/>
  <c r="D224" i="2"/>
  <c r="C224" i="2"/>
  <c r="B224" i="2"/>
  <c r="B236" i="3" s="1"/>
  <c r="A224" i="2"/>
  <c r="A236" i="3" s="1"/>
  <c r="G223" i="2"/>
  <c r="F223" i="2"/>
  <c r="E223" i="2"/>
  <c r="D223" i="2"/>
  <c r="C223" i="2"/>
  <c r="B223" i="2"/>
  <c r="A223" i="2"/>
  <c r="A235" i="3" s="1"/>
  <c r="G222" i="2"/>
  <c r="F222" i="2"/>
  <c r="E222" i="2"/>
  <c r="D222" i="2"/>
  <c r="C222" i="2"/>
  <c r="B222" i="2"/>
  <c r="A222" i="2"/>
  <c r="G221" i="2"/>
  <c r="F221" i="2"/>
  <c r="E221" i="2"/>
  <c r="D221" i="2"/>
  <c r="C221" i="2"/>
  <c r="B221" i="2"/>
  <c r="A221" i="2"/>
  <c r="G220" i="2"/>
  <c r="F220" i="2"/>
  <c r="E220" i="2"/>
  <c r="D220" i="2"/>
  <c r="C220" i="2"/>
  <c r="B220" i="2"/>
  <c r="A220" i="2"/>
  <c r="G219" i="2"/>
  <c r="F219" i="2"/>
  <c r="E219" i="2"/>
  <c r="D219" i="2"/>
  <c r="C219" i="2"/>
  <c r="B219" i="2"/>
  <c r="A219" i="2"/>
  <c r="G218" i="2"/>
  <c r="F218" i="2"/>
  <c r="E218" i="2"/>
  <c r="D218" i="2"/>
  <c r="C218" i="2"/>
  <c r="B218" i="2"/>
  <c r="A218" i="2"/>
  <c r="G217" i="2"/>
  <c r="F217" i="2"/>
  <c r="E217" i="2"/>
  <c r="D217" i="2"/>
  <c r="C217" i="2"/>
  <c r="B217" i="2"/>
  <c r="A217" i="2"/>
  <c r="G216" i="2"/>
  <c r="F216" i="2"/>
  <c r="E216" i="2"/>
  <c r="D216" i="2"/>
  <c r="C216" i="2"/>
  <c r="B216" i="2"/>
  <c r="A216" i="2"/>
  <c r="G215" i="2"/>
  <c r="F215" i="2"/>
  <c r="E215" i="2"/>
  <c r="D215" i="2"/>
  <c r="C215" i="2"/>
  <c r="B215" i="2"/>
  <c r="A215" i="2"/>
  <c r="G214" i="2"/>
  <c r="F214" i="2"/>
  <c r="E214" i="2"/>
  <c r="D214" i="2"/>
  <c r="C214" i="2"/>
  <c r="B214" i="2"/>
  <c r="A214" i="2"/>
  <c r="G213" i="2"/>
  <c r="F213" i="2"/>
  <c r="E213" i="2"/>
  <c r="D213" i="2"/>
  <c r="C213" i="2"/>
  <c r="B213" i="2"/>
  <c r="A213" i="2"/>
  <c r="G212" i="2"/>
  <c r="F212" i="2"/>
  <c r="E212" i="2"/>
  <c r="D212" i="2"/>
  <c r="C212" i="2"/>
  <c r="B212" i="2"/>
  <c r="A212" i="2"/>
  <c r="G211" i="2"/>
  <c r="F211" i="2"/>
  <c r="E211" i="2"/>
  <c r="D211" i="2"/>
  <c r="C211" i="2"/>
  <c r="B211" i="2"/>
  <c r="A211" i="2"/>
  <c r="G210" i="2"/>
  <c r="F210" i="2"/>
  <c r="E210" i="2"/>
  <c r="D210" i="2"/>
  <c r="C210" i="2"/>
  <c r="B210" i="2"/>
  <c r="A210" i="2"/>
  <c r="G209" i="2"/>
  <c r="F209" i="2"/>
  <c r="E209" i="2"/>
  <c r="D209" i="2"/>
  <c r="C209" i="2"/>
  <c r="B209" i="2"/>
  <c r="A209" i="2"/>
  <c r="G208" i="2"/>
  <c r="F208" i="2"/>
  <c r="E208" i="2"/>
  <c r="D208" i="2"/>
  <c r="C208" i="2"/>
  <c r="B208" i="2"/>
  <c r="A208" i="2"/>
  <c r="G207" i="2"/>
  <c r="F207" i="2"/>
  <c r="E207" i="2"/>
  <c r="D207" i="2"/>
  <c r="C207" i="2"/>
  <c r="B207" i="2"/>
  <c r="A207" i="2"/>
  <c r="G206" i="2"/>
  <c r="F206" i="2"/>
  <c r="E206" i="2"/>
  <c r="D206" i="2"/>
  <c r="C206" i="2"/>
  <c r="B206" i="2"/>
  <c r="A206" i="2"/>
  <c r="G205" i="2"/>
  <c r="F205" i="2"/>
  <c r="E205" i="2"/>
  <c r="D205" i="2"/>
  <c r="C205" i="2"/>
  <c r="B205" i="2"/>
  <c r="A205" i="2"/>
  <c r="G204" i="2"/>
  <c r="F204" i="2"/>
  <c r="E204" i="2"/>
  <c r="D204" i="2"/>
  <c r="C204" i="2"/>
  <c r="B204" i="2"/>
  <c r="A204" i="2"/>
  <c r="G203" i="2"/>
  <c r="F203" i="2"/>
  <c r="E203" i="2"/>
  <c r="D203" i="2"/>
  <c r="C203" i="2"/>
  <c r="B203" i="2"/>
  <c r="A203" i="2"/>
  <c r="G202" i="2"/>
  <c r="F202" i="2"/>
  <c r="E202" i="2"/>
  <c r="D202" i="2"/>
  <c r="C202" i="2"/>
  <c r="B202" i="2"/>
  <c r="A202" i="2"/>
  <c r="G201" i="2"/>
  <c r="F201" i="2"/>
  <c r="E201" i="2"/>
  <c r="D201" i="2"/>
  <c r="C201" i="2"/>
  <c r="B201" i="2"/>
  <c r="A201" i="2"/>
  <c r="G200" i="2"/>
  <c r="F200" i="2"/>
  <c r="E200" i="2"/>
  <c r="D200" i="2"/>
  <c r="C200" i="2"/>
  <c r="B200" i="2"/>
  <c r="B212" i="3" s="1"/>
  <c r="A200" i="2"/>
  <c r="A212" i="3" s="1"/>
  <c r="G199" i="2"/>
  <c r="F199" i="2"/>
  <c r="E199" i="2"/>
  <c r="D199" i="2"/>
  <c r="C199" i="2"/>
  <c r="B199" i="2"/>
  <c r="B211" i="3" s="1"/>
  <c r="A199" i="2"/>
  <c r="A211" i="3" s="1"/>
  <c r="G198" i="2"/>
  <c r="F198" i="2"/>
  <c r="E198" i="2"/>
  <c r="D198" i="2"/>
  <c r="C198" i="2"/>
  <c r="B198" i="2"/>
  <c r="B210" i="3" s="1"/>
  <c r="A198" i="2"/>
  <c r="A210" i="3" s="1"/>
  <c r="G197" i="2"/>
  <c r="F197" i="2"/>
  <c r="E197" i="2"/>
  <c r="D197" i="2"/>
  <c r="C197" i="2"/>
  <c r="B197" i="2"/>
  <c r="B209" i="3" s="1"/>
  <c r="A197" i="2"/>
  <c r="A209" i="3" s="1"/>
  <c r="G196" i="2"/>
  <c r="F196" i="2"/>
  <c r="E196" i="2"/>
  <c r="D196" i="2"/>
  <c r="C196" i="2"/>
  <c r="B196" i="2"/>
  <c r="B208" i="3" s="1"/>
  <c r="A196" i="2"/>
  <c r="A208" i="3" s="1"/>
  <c r="G195" i="2"/>
  <c r="F195" i="2"/>
  <c r="E195" i="2"/>
  <c r="D195" i="2"/>
  <c r="C195" i="2"/>
  <c r="B195" i="2"/>
  <c r="B207" i="3" s="1"/>
  <c r="A195" i="2"/>
  <c r="A207" i="3" s="1"/>
  <c r="G194" i="2"/>
  <c r="F194" i="2"/>
  <c r="E194" i="2"/>
  <c r="D194" i="2"/>
  <c r="C194" i="2"/>
  <c r="B194" i="2"/>
  <c r="B206" i="3" s="1"/>
  <c r="A194" i="2"/>
  <c r="A206" i="3" s="1"/>
  <c r="G193" i="2"/>
  <c r="F193" i="2"/>
  <c r="E193" i="2"/>
  <c r="D193" i="2"/>
  <c r="C193" i="2"/>
  <c r="B193" i="2"/>
  <c r="B205" i="3" s="1"/>
  <c r="A193" i="2"/>
  <c r="A205" i="3" s="1"/>
  <c r="G192" i="2"/>
  <c r="F192" i="2"/>
  <c r="E192" i="2"/>
  <c r="D192" i="2"/>
  <c r="C192" i="2"/>
  <c r="B192" i="2"/>
  <c r="B204" i="3" s="1"/>
  <c r="A192" i="2"/>
  <c r="A204" i="3" s="1"/>
  <c r="G191" i="2"/>
  <c r="F191" i="2"/>
  <c r="E191" i="2"/>
  <c r="D191" i="2"/>
  <c r="C191" i="2"/>
  <c r="B191" i="2"/>
  <c r="B203" i="3" s="1"/>
  <c r="A191" i="2"/>
  <c r="A203" i="3" s="1"/>
  <c r="G190" i="2"/>
  <c r="F190" i="2"/>
  <c r="E190" i="2"/>
  <c r="D190" i="2"/>
  <c r="C190" i="2"/>
  <c r="B190" i="2"/>
  <c r="B202" i="3" s="1"/>
  <c r="A190" i="2"/>
  <c r="A202" i="3" s="1"/>
  <c r="G189" i="2"/>
  <c r="F189" i="2"/>
  <c r="E189" i="2"/>
  <c r="D189" i="2"/>
  <c r="C189" i="2"/>
  <c r="B189" i="2"/>
  <c r="B201" i="3" s="1"/>
  <c r="A189" i="2"/>
  <c r="A201" i="3" s="1"/>
  <c r="G188" i="2"/>
  <c r="F188" i="2"/>
  <c r="E188" i="2"/>
  <c r="D188" i="2"/>
  <c r="C188" i="2"/>
  <c r="B188" i="2"/>
  <c r="B200" i="3" s="1"/>
  <c r="A188" i="2"/>
  <c r="A200" i="3" s="1"/>
  <c r="G187" i="2"/>
  <c r="F187" i="2"/>
  <c r="E187" i="2"/>
  <c r="D187" i="2"/>
  <c r="C187" i="2"/>
  <c r="B187" i="2"/>
  <c r="B199" i="3" s="1"/>
  <c r="A187" i="2"/>
  <c r="A199" i="3" s="1"/>
  <c r="G186" i="2"/>
  <c r="F186" i="2"/>
  <c r="E186" i="2"/>
  <c r="D186" i="2"/>
  <c r="C186" i="2"/>
  <c r="B186" i="2"/>
  <c r="B198" i="3" s="1"/>
  <c r="A186" i="2"/>
  <c r="A198" i="3" s="1"/>
  <c r="G185" i="2"/>
  <c r="F185" i="2"/>
  <c r="E185" i="2"/>
  <c r="D185" i="2"/>
  <c r="C185" i="2"/>
  <c r="B185" i="2"/>
  <c r="B197" i="3" s="1"/>
  <c r="A185" i="2"/>
  <c r="A197" i="3" s="1"/>
  <c r="G184" i="2"/>
  <c r="F184" i="2"/>
  <c r="E184" i="2"/>
  <c r="D184" i="2"/>
  <c r="C184" i="2"/>
  <c r="B184" i="2"/>
  <c r="B196" i="3" s="1"/>
  <c r="A184" i="2"/>
  <c r="A196" i="3" s="1"/>
  <c r="G183" i="2"/>
  <c r="F183" i="2"/>
  <c r="E183" i="2"/>
  <c r="D183" i="2"/>
  <c r="C183" i="2"/>
  <c r="B183" i="2"/>
  <c r="B195" i="3" s="1"/>
  <c r="A183" i="2"/>
  <c r="A195" i="3" s="1"/>
  <c r="G182" i="2"/>
  <c r="F182" i="2"/>
  <c r="E182" i="2"/>
  <c r="D182" i="2"/>
  <c r="C182" i="2"/>
  <c r="B182" i="2"/>
  <c r="B194" i="3" s="1"/>
  <c r="A182" i="2"/>
  <c r="A194" i="3" s="1"/>
  <c r="G181" i="2"/>
  <c r="F181" i="2"/>
  <c r="E181" i="2"/>
  <c r="D181" i="2"/>
  <c r="C181" i="2"/>
  <c r="B181" i="2"/>
  <c r="B193" i="3" s="1"/>
  <c r="A181" i="2"/>
  <c r="A193" i="3" s="1"/>
  <c r="G180" i="2"/>
  <c r="F180" i="2"/>
  <c r="E180" i="2"/>
  <c r="D180" i="2"/>
  <c r="C180" i="2"/>
  <c r="B180" i="2"/>
  <c r="B192" i="3" s="1"/>
  <c r="A180" i="2"/>
  <c r="A192" i="3" s="1"/>
  <c r="G179" i="2"/>
  <c r="F179" i="2"/>
  <c r="E179" i="2"/>
  <c r="D179" i="2"/>
  <c r="C179" i="2"/>
  <c r="B179" i="2"/>
  <c r="B191" i="3" s="1"/>
  <c r="A179" i="2"/>
  <c r="A191" i="3" s="1"/>
  <c r="G178" i="2"/>
  <c r="F178" i="2"/>
  <c r="E178" i="2"/>
  <c r="D178" i="2"/>
  <c r="C178" i="2"/>
  <c r="B178" i="2"/>
  <c r="B190" i="3" s="1"/>
  <c r="A178" i="2"/>
  <c r="A190" i="3" s="1"/>
  <c r="G177" i="2"/>
  <c r="F177" i="2"/>
  <c r="E177" i="2"/>
  <c r="D177" i="2"/>
  <c r="C177" i="2"/>
  <c r="B177" i="2"/>
  <c r="B189" i="3" s="1"/>
  <c r="A177" i="2"/>
  <c r="A189" i="3" s="1"/>
  <c r="G176" i="2"/>
  <c r="F176" i="2"/>
  <c r="E176" i="2"/>
  <c r="D176" i="2"/>
  <c r="C176" i="2"/>
  <c r="B176" i="2"/>
  <c r="B188" i="3" s="1"/>
  <c r="A176" i="2"/>
  <c r="A188" i="3" s="1"/>
  <c r="G175" i="2"/>
  <c r="F175" i="2"/>
  <c r="E175" i="2"/>
  <c r="D175" i="2"/>
  <c r="C175" i="2"/>
  <c r="B175" i="2"/>
  <c r="B187" i="3" s="1"/>
  <c r="A175" i="2"/>
  <c r="A187" i="3" s="1"/>
  <c r="G174" i="2"/>
  <c r="F174" i="2"/>
  <c r="E174" i="2"/>
  <c r="D174" i="2"/>
  <c r="C174" i="2"/>
  <c r="B174" i="2"/>
  <c r="B186" i="3" s="1"/>
  <c r="A174" i="2"/>
  <c r="A186" i="3" s="1"/>
  <c r="G173" i="2"/>
  <c r="F173" i="2"/>
  <c r="E173" i="2"/>
  <c r="D173" i="2"/>
  <c r="C173" i="2"/>
  <c r="B173" i="2"/>
  <c r="B185" i="3" s="1"/>
  <c r="A173" i="2"/>
  <c r="A185" i="3" s="1"/>
  <c r="G172" i="2"/>
  <c r="F172" i="2"/>
  <c r="E172" i="2"/>
  <c r="D172" i="2"/>
  <c r="C172" i="2"/>
  <c r="B172" i="2"/>
  <c r="B184" i="3" s="1"/>
  <c r="A172" i="2"/>
  <c r="A184" i="3" s="1"/>
  <c r="G171" i="2"/>
  <c r="F171" i="2"/>
  <c r="E171" i="2"/>
  <c r="D171" i="2"/>
  <c r="C171" i="2"/>
  <c r="B171" i="2"/>
  <c r="B183" i="3" s="1"/>
  <c r="A171" i="2"/>
  <c r="A183" i="3" s="1"/>
  <c r="G170" i="2"/>
  <c r="F170" i="2"/>
  <c r="E170" i="2"/>
  <c r="D170" i="2"/>
  <c r="C170" i="2"/>
  <c r="B170" i="2"/>
  <c r="B182" i="3" s="1"/>
  <c r="A170" i="2"/>
  <c r="A182" i="3" s="1"/>
  <c r="G169" i="2"/>
  <c r="F169" i="2"/>
  <c r="E169" i="2"/>
  <c r="D169" i="2"/>
  <c r="C169" i="2"/>
  <c r="B169" i="2"/>
  <c r="B181" i="3" s="1"/>
  <c r="A169" i="2"/>
  <c r="A181" i="3" s="1"/>
  <c r="G168" i="2"/>
  <c r="F168" i="2"/>
  <c r="E168" i="2"/>
  <c r="D168" i="2"/>
  <c r="C168" i="2"/>
  <c r="B168" i="2"/>
  <c r="B180" i="3" s="1"/>
  <c r="A168" i="2"/>
  <c r="A180" i="3" s="1"/>
  <c r="G167" i="2"/>
  <c r="F167" i="2"/>
  <c r="E167" i="2"/>
  <c r="D167" i="2"/>
  <c r="C167" i="2"/>
  <c r="B167" i="2"/>
  <c r="B179" i="3" s="1"/>
  <c r="A167" i="2"/>
  <c r="A179" i="3" s="1"/>
  <c r="G166" i="2"/>
  <c r="F166" i="2"/>
  <c r="E166" i="2"/>
  <c r="D166" i="2"/>
  <c r="C166" i="2"/>
  <c r="B166" i="2"/>
  <c r="B178" i="3" s="1"/>
  <c r="A166" i="2"/>
  <c r="A178" i="3" s="1"/>
  <c r="G165" i="2"/>
  <c r="F165" i="2"/>
  <c r="E165" i="2"/>
  <c r="D165" i="2"/>
  <c r="C165" i="2"/>
  <c r="B165" i="2"/>
  <c r="B177" i="3" s="1"/>
  <c r="A165" i="2"/>
  <c r="A177" i="3" s="1"/>
  <c r="G164" i="2"/>
  <c r="F164" i="2"/>
  <c r="E164" i="2"/>
  <c r="D164" i="2"/>
  <c r="C164" i="2"/>
  <c r="B164" i="2"/>
  <c r="B176" i="3" s="1"/>
  <c r="A164" i="2"/>
  <c r="A176" i="3" s="1"/>
  <c r="G163" i="2"/>
  <c r="F163" i="2"/>
  <c r="E163" i="2"/>
  <c r="D163" i="2"/>
  <c r="C163" i="2"/>
  <c r="B163" i="2"/>
  <c r="B175" i="3" s="1"/>
  <c r="A163" i="2"/>
  <c r="A175" i="3" s="1"/>
  <c r="G162" i="2"/>
  <c r="F162" i="2"/>
  <c r="E162" i="2"/>
  <c r="D162" i="2"/>
  <c r="C162" i="2"/>
  <c r="B162" i="2"/>
  <c r="B174" i="3" s="1"/>
  <c r="A162" i="2"/>
  <c r="A174" i="3" s="1"/>
  <c r="G161" i="2"/>
  <c r="F161" i="2"/>
  <c r="E161" i="2"/>
  <c r="D161" i="2"/>
  <c r="C161" i="2"/>
  <c r="B161" i="2"/>
  <c r="B173" i="3" s="1"/>
  <c r="A161" i="2"/>
  <c r="A173" i="3" s="1"/>
  <c r="G160" i="2"/>
  <c r="F160" i="2"/>
  <c r="E160" i="2"/>
  <c r="D160" i="2"/>
  <c r="C160" i="2"/>
  <c r="B160" i="2"/>
  <c r="B172" i="3" s="1"/>
  <c r="A160" i="2"/>
  <c r="A172" i="3" s="1"/>
  <c r="G159" i="2"/>
  <c r="F159" i="2"/>
  <c r="E159" i="2"/>
  <c r="D159" i="2"/>
  <c r="C159" i="2"/>
  <c r="B159" i="2"/>
  <c r="B171" i="3" s="1"/>
  <c r="A159" i="2"/>
  <c r="A171" i="3" s="1"/>
  <c r="G158" i="2"/>
  <c r="F158" i="2"/>
  <c r="E158" i="2"/>
  <c r="D158" i="2"/>
  <c r="C158" i="2"/>
  <c r="B158" i="2"/>
  <c r="B170" i="3" s="1"/>
  <c r="A158" i="2"/>
  <c r="A170" i="3" s="1"/>
  <c r="G157" i="2"/>
  <c r="F157" i="2"/>
  <c r="E157" i="2"/>
  <c r="D157" i="2"/>
  <c r="C157" i="2"/>
  <c r="B157" i="2"/>
  <c r="B169" i="3" s="1"/>
  <c r="A157" i="2"/>
  <c r="A169" i="3" s="1"/>
  <c r="G156" i="2"/>
  <c r="F156" i="2"/>
  <c r="E156" i="2"/>
  <c r="D156" i="2"/>
  <c r="C156" i="2"/>
  <c r="B156" i="2"/>
  <c r="B168" i="3" s="1"/>
  <c r="A156" i="2"/>
  <c r="A168" i="3" s="1"/>
  <c r="G155" i="2"/>
  <c r="F155" i="2"/>
  <c r="E155" i="2"/>
  <c r="D155" i="2"/>
  <c r="C155" i="2"/>
  <c r="B155" i="2"/>
  <c r="B167" i="3" s="1"/>
  <c r="A155" i="2"/>
  <c r="A167" i="3" s="1"/>
  <c r="G154" i="2"/>
  <c r="F154" i="2"/>
  <c r="E154" i="2"/>
  <c r="D154" i="2"/>
  <c r="C154" i="2"/>
  <c r="B154" i="2"/>
  <c r="B166" i="3" s="1"/>
  <c r="A154" i="2"/>
  <c r="A166" i="3" s="1"/>
  <c r="G153" i="2"/>
  <c r="F153" i="2"/>
  <c r="E153" i="2"/>
  <c r="D153" i="2"/>
  <c r="C153" i="2"/>
  <c r="B153" i="2"/>
  <c r="B165" i="3" s="1"/>
  <c r="A153" i="2"/>
  <c r="A165" i="3" s="1"/>
  <c r="G152" i="2"/>
  <c r="F152" i="2"/>
  <c r="E152" i="2"/>
  <c r="D152" i="2"/>
  <c r="C152" i="2"/>
  <c r="B152" i="2"/>
  <c r="B164" i="3" s="1"/>
  <c r="A152" i="2"/>
  <c r="A164" i="3" s="1"/>
  <c r="G151" i="2"/>
  <c r="F151" i="2"/>
  <c r="E151" i="2"/>
  <c r="D151" i="2"/>
  <c r="C151" i="2"/>
  <c r="B151" i="2"/>
  <c r="B163" i="3" s="1"/>
  <c r="A151" i="2"/>
  <c r="A163" i="3" s="1"/>
  <c r="G150" i="2"/>
  <c r="F150" i="2"/>
  <c r="E150" i="2"/>
  <c r="D150" i="2"/>
  <c r="C150" i="2"/>
  <c r="B150" i="2"/>
  <c r="B162" i="3" s="1"/>
  <c r="A150" i="2"/>
  <c r="A162" i="3" s="1"/>
  <c r="G149" i="2"/>
  <c r="F149" i="2"/>
  <c r="E149" i="2"/>
  <c r="D149" i="2"/>
  <c r="C149" i="2"/>
  <c r="B149" i="2"/>
  <c r="B161" i="3" s="1"/>
  <c r="A149" i="2"/>
  <c r="A161" i="3" s="1"/>
  <c r="G148" i="2"/>
  <c r="F148" i="2"/>
  <c r="E148" i="2"/>
  <c r="D148" i="2"/>
  <c r="C148" i="2"/>
  <c r="B148" i="2"/>
  <c r="B160" i="3" s="1"/>
  <c r="A148" i="2"/>
  <c r="A160" i="3" s="1"/>
  <c r="G147" i="2"/>
  <c r="F147" i="2"/>
  <c r="E147" i="2"/>
  <c r="D147" i="2"/>
  <c r="C147" i="2"/>
  <c r="B147" i="2"/>
  <c r="B159" i="3" s="1"/>
  <c r="A147" i="2"/>
  <c r="A159" i="3" s="1"/>
  <c r="G146" i="2"/>
  <c r="F146" i="2"/>
  <c r="E146" i="2"/>
  <c r="D146" i="2"/>
  <c r="C146" i="2"/>
  <c r="B146" i="2"/>
  <c r="B158" i="3" s="1"/>
  <c r="A146" i="2"/>
  <c r="A158" i="3" s="1"/>
  <c r="G145" i="2"/>
  <c r="F145" i="2"/>
  <c r="E145" i="2"/>
  <c r="D145" i="2"/>
  <c r="C145" i="2"/>
  <c r="B145" i="2"/>
  <c r="B157" i="3" s="1"/>
  <c r="A145" i="2"/>
  <c r="A157" i="3" s="1"/>
  <c r="G144" i="2"/>
  <c r="F144" i="2"/>
  <c r="E144" i="2"/>
  <c r="D144" i="2"/>
  <c r="C144" i="2"/>
  <c r="B144" i="2"/>
  <c r="B156" i="3" s="1"/>
  <c r="A144" i="2"/>
  <c r="A156" i="3" s="1"/>
  <c r="G143" i="2"/>
  <c r="F143" i="2"/>
  <c r="E143" i="2"/>
  <c r="D143" i="2"/>
  <c r="C143" i="2"/>
  <c r="B143" i="2"/>
  <c r="B155" i="3" s="1"/>
  <c r="A143" i="2"/>
  <c r="A155" i="3" s="1"/>
  <c r="G142" i="2"/>
  <c r="F142" i="2"/>
  <c r="E142" i="2"/>
  <c r="D142" i="2"/>
  <c r="C142" i="2"/>
  <c r="B142" i="2"/>
  <c r="B154" i="3" s="1"/>
  <c r="A142" i="2"/>
  <c r="A154" i="3" s="1"/>
  <c r="G141" i="2"/>
  <c r="F141" i="2"/>
  <c r="E141" i="2"/>
  <c r="D141" i="2"/>
  <c r="C141" i="2"/>
  <c r="B141" i="2"/>
  <c r="B153" i="3" s="1"/>
  <c r="A141" i="2"/>
  <c r="A153" i="3" s="1"/>
  <c r="G140" i="2"/>
  <c r="F140" i="2"/>
  <c r="E140" i="2"/>
  <c r="D140" i="2"/>
  <c r="C140" i="2"/>
  <c r="B140" i="2"/>
  <c r="B152" i="3" s="1"/>
  <c r="A140" i="2"/>
  <c r="A152" i="3" s="1"/>
  <c r="G139" i="2"/>
  <c r="F139" i="2"/>
  <c r="E139" i="2"/>
  <c r="D139" i="2"/>
  <c r="C139" i="2"/>
  <c r="B139" i="2"/>
  <c r="B151" i="3" s="1"/>
  <c r="A139" i="2"/>
  <c r="A151" i="3" s="1"/>
  <c r="G138" i="2"/>
  <c r="F138" i="2"/>
  <c r="E138" i="2"/>
  <c r="D138" i="2"/>
  <c r="C138" i="2"/>
  <c r="B138" i="2"/>
  <c r="B150" i="3" s="1"/>
  <c r="A138" i="2"/>
  <c r="A150" i="3" s="1"/>
  <c r="G137" i="2"/>
  <c r="F137" i="2"/>
  <c r="E137" i="2"/>
  <c r="D137" i="2"/>
  <c r="C137" i="2"/>
  <c r="B137" i="2"/>
  <c r="B149" i="3" s="1"/>
  <c r="A137" i="2"/>
  <c r="A149" i="3" s="1"/>
  <c r="G136" i="2"/>
  <c r="F136" i="2"/>
  <c r="E136" i="2"/>
  <c r="D136" i="2"/>
  <c r="C136" i="2"/>
  <c r="B136" i="2"/>
  <c r="B148" i="3" s="1"/>
  <c r="A136" i="2"/>
  <c r="A148" i="3" s="1"/>
  <c r="G135" i="2"/>
  <c r="F135" i="2"/>
  <c r="E135" i="2"/>
  <c r="D135" i="2"/>
  <c r="C135" i="2"/>
  <c r="B135" i="2"/>
  <c r="B147" i="3" s="1"/>
  <c r="A135" i="2"/>
  <c r="A147" i="3" s="1"/>
  <c r="G134" i="2"/>
  <c r="F134" i="2"/>
  <c r="E134" i="2"/>
  <c r="D134" i="2"/>
  <c r="C134" i="2"/>
  <c r="B134" i="2"/>
  <c r="B146" i="3" s="1"/>
  <c r="A134" i="2"/>
  <c r="A146" i="3" s="1"/>
  <c r="G133" i="2"/>
  <c r="F133" i="2"/>
  <c r="E133" i="2"/>
  <c r="D133" i="2"/>
  <c r="C133" i="2"/>
  <c r="B133" i="2"/>
  <c r="B145" i="3" s="1"/>
  <c r="A133" i="2"/>
  <c r="A145" i="3" s="1"/>
  <c r="G132" i="2"/>
  <c r="F132" i="2"/>
  <c r="E132" i="2"/>
  <c r="D132" i="2"/>
  <c r="C132" i="2"/>
  <c r="B132" i="2"/>
  <c r="B144" i="3" s="1"/>
  <c r="A132" i="2"/>
  <c r="A144" i="3" s="1"/>
  <c r="G131" i="2"/>
  <c r="F131" i="2"/>
  <c r="E131" i="2"/>
  <c r="D131" i="2"/>
  <c r="C131" i="2"/>
  <c r="B131" i="2"/>
  <c r="B143" i="3" s="1"/>
  <c r="A131" i="2"/>
  <c r="A143" i="3" s="1"/>
  <c r="G130" i="2"/>
  <c r="F130" i="2"/>
  <c r="E130" i="2"/>
  <c r="D130" i="2"/>
  <c r="C130" i="2"/>
  <c r="B130" i="2"/>
  <c r="B142" i="3" s="1"/>
  <c r="A130" i="2"/>
  <c r="A142" i="3" s="1"/>
  <c r="G129" i="2"/>
  <c r="F129" i="2"/>
  <c r="E129" i="2"/>
  <c r="D129" i="2"/>
  <c r="C129" i="2"/>
  <c r="B129" i="2"/>
  <c r="B141" i="3" s="1"/>
  <c r="A129" i="2"/>
  <c r="A141" i="3" s="1"/>
  <c r="G128" i="2"/>
  <c r="F128" i="2"/>
  <c r="E128" i="2"/>
  <c r="D128" i="2"/>
  <c r="C128" i="2"/>
  <c r="B128" i="2"/>
  <c r="B140" i="3" s="1"/>
  <c r="A128" i="2"/>
  <c r="A140" i="3" s="1"/>
  <c r="G127" i="2"/>
  <c r="F127" i="2"/>
  <c r="E127" i="2"/>
  <c r="D127" i="2"/>
  <c r="C127" i="2"/>
  <c r="B127" i="2"/>
  <c r="B139" i="3" s="1"/>
  <c r="A127" i="2"/>
  <c r="A139" i="3" s="1"/>
  <c r="G126" i="2"/>
  <c r="F126" i="2"/>
  <c r="E126" i="2"/>
  <c r="D126" i="2"/>
  <c r="C126" i="2"/>
  <c r="B126" i="2"/>
  <c r="B138" i="3" s="1"/>
  <c r="A126" i="2"/>
  <c r="A138" i="3" s="1"/>
  <c r="G125" i="2"/>
  <c r="F125" i="2"/>
  <c r="E125" i="2"/>
  <c r="D125" i="2"/>
  <c r="C125" i="2"/>
  <c r="B125" i="2"/>
  <c r="B137" i="3" s="1"/>
  <c r="A125" i="2"/>
  <c r="A137" i="3" s="1"/>
  <c r="G124" i="2"/>
  <c r="F124" i="2"/>
  <c r="E124" i="2"/>
  <c r="D124" i="2"/>
  <c r="C124" i="2"/>
  <c r="B124" i="2"/>
  <c r="B136" i="3" s="1"/>
  <c r="A124" i="2"/>
  <c r="A136" i="3" s="1"/>
  <c r="G123" i="2"/>
  <c r="F123" i="2"/>
  <c r="E123" i="2"/>
  <c r="D123" i="2"/>
  <c r="C123" i="2"/>
  <c r="B123" i="2"/>
  <c r="B135" i="3" s="1"/>
  <c r="A123" i="2"/>
  <c r="A135" i="3" s="1"/>
  <c r="G122" i="2"/>
  <c r="F122" i="2"/>
  <c r="E122" i="2"/>
  <c r="D122" i="2"/>
  <c r="C122" i="2"/>
  <c r="B122" i="2"/>
  <c r="B134" i="3" s="1"/>
  <c r="A122" i="2"/>
  <c r="A134" i="3" s="1"/>
  <c r="G121" i="2"/>
  <c r="F121" i="2"/>
  <c r="E121" i="2"/>
  <c r="D121" i="2"/>
  <c r="C121" i="2"/>
  <c r="B121" i="2"/>
  <c r="B133" i="3" s="1"/>
  <c r="A121" i="2"/>
  <c r="A133" i="3" s="1"/>
  <c r="G120" i="2"/>
  <c r="F120" i="2"/>
  <c r="E120" i="2"/>
  <c r="D120" i="2"/>
  <c r="C120" i="2"/>
  <c r="B120" i="2"/>
  <c r="B132" i="3" s="1"/>
  <c r="A120" i="2"/>
  <c r="A132" i="3" s="1"/>
  <c r="G119" i="2"/>
  <c r="F119" i="2"/>
  <c r="E119" i="2"/>
  <c r="D119" i="2"/>
  <c r="C119" i="2"/>
  <c r="B119" i="2"/>
  <c r="B131" i="3" s="1"/>
  <c r="A119" i="2"/>
  <c r="A131" i="3" s="1"/>
  <c r="G118" i="2"/>
  <c r="F118" i="2"/>
  <c r="E118" i="2"/>
  <c r="D118" i="2"/>
  <c r="C118" i="2"/>
  <c r="B118" i="2"/>
  <c r="B130" i="3" s="1"/>
  <c r="A118" i="2"/>
  <c r="A130" i="3" s="1"/>
  <c r="G117" i="2"/>
  <c r="F117" i="2"/>
  <c r="E117" i="2"/>
  <c r="D117" i="2"/>
  <c r="C117" i="2"/>
  <c r="B117" i="2"/>
  <c r="B129" i="3" s="1"/>
  <c r="A117" i="2"/>
  <c r="A129" i="3" s="1"/>
  <c r="G116" i="2"/>
  <c r="F116" i="2"/>
  <c r="E116" i="2"/>
  <c r="D116" i="2"/>
  <c r="C116" i="2"/>
  <c r="B116" i="2"/>
  <c r="B128" i="3" s="1"/>
  <c r="A116" i="2"/>
  <c r="A128" i="3" s="1"/>
  <c r="G115" i="2"/>
  <c r="F115" i="2"/>
  <c r="E115" i="2"/>
  <c r="D115" i="2"/>
  <c r="C115" i="2"/>
  <c r="B115" i="2"/>
  <c r="B127" i="3" s="1"/>
  <c r="A115" i="2"/>
  <c r="A127" i="3" s="1"/>
  <c r="G114" i="2"/>
  <c r="F114" i="2"/>
  <c r="E114" i="2"/>
  <c r="D114" i="2"/>
  <c r="C114" i="2"/>
  <c r="B114" i="2"/>
  <c r="B126" i="3" s="1"/>
  <c r="A114" i="2"/>
  <c r="A126" i="3" s="1"/>
  <c r="G113" i="2"/>
  <c r="F113" i="2"/>
  <c r="E113" i="2"/>
  <c r="D113" i="2"/>
  <c r="C113" i="2"/>
  <c r="B113" i="2"/>
  <c r="B125" i="3" s="1"/>
  <c r="A113" i="2"/>
  <c r="A125" i="3" s="1"/>
  <c r="G112" i="2"/>
  <c r="F112" i="2"/>
  <c r="E112" i="2"/>
  <c r="D112" i="2"/>
  <c r="C112" i="2"/>
  <c r="B112" i="2"/>
  <c r="B124" i="3" s="1"/>
  <c r="A112" i="2"/>
  <c r="A124" i="3" s="1"/>
  <c r="G111" i="2"/>
  <c r="F111" i="2"/>
  <c r="E111" i="2"/>
  <c r="D111" i="2"/>
  <c r="C111" i="2"/>
  <c r="B111" i="2"/>
  <c r="B123" i="3" s="1"/>
  <c r="A111" i="2"/>
  <c r="A123" i="3" s="1"/>
  <c r="G110" i="2"/>
  <c r="F110" i="2"/>
  <c r="E110" i="2"/>
  <c r="D110" i="2"/>
  <c r="C110" i="2"/>
  <c r="B110" i="2"/>
  <c r="B122" i="3" s="1"/>
  <c r="A110" i="2"/>
  <c r="A122" i="3" s="1"/>
  <c r="G109" i="2"/>
  <c r="F109" i="2"/>
  <c r="E109" i="2"/>
  <c r="D109" i="2"/>
  <c r="C109" i="2"/>
  <c r="B109" i="2"/>
  <c r="B121" i="3" s="1"/>
  <c r="A109" i="2"/>
  <c r="A121" i="3" s="1"/>
  <c r="G108" i="2"/>
  <c r="F108" i="2"/>
  <c r="E108" i="2"/>
  <c r="D108" i="2"/>
  <c r="C108" i="2"/>
  <c r="B108" i="2"/>
  <c r="B120" i="3" s="1"/>
  <c r="A108" i="2"/>
  <c r="A120" i="3" s="1"/>
  <c r="G107" i="2"/>
  <c r="F107" i="2"/>
  <c r="E107" i="2"/>
  <c r="D107" i="2"/>
  <c r="C107" i="2"/>
  <c r="B107" i="2"/>
  <c r="B119" i="3" s="1"/>
  <c r="A107" i="2"/>
  <c r="A119" i="3" s="1"/>
  <c r="G106" i="2"/>
  <c r="F106" i="2"/>
  <c r="E106" i="2"/>
  <c r="D106" i="2"/>
  <c r="C106" i="2"/>
  <c r="B106" i="2"/>
  <c r="B118" i="3" s="1"/>
  <c r="A106" i="2"/>
  <c r="A118" i="3" s="1"/>
  <c r="G105" i="2"/>
  <c r="F105" i="2"/>
  <c r="E105" i="2"/>
  <c r="D105" i="2"/>
  <c r="C105" i="2"/>
  <c r="B105" i="2"/>
  <c r="B117" i="3" s="1"/>
  <c r="A105" i="2"/>
  <c r="A117" i="3" s="1"/>
  <c r="G104" i="2"/>
  <c r="F104" i="2"/>
  <c r="E104" i="2"/>
  <c r="D104" i="2"/>
  <c r="C104" i="2"/>
  <c r="B104" i="2"/>
  <c r="B116" i="3" s="1"/>
  <c r="A104" i="2"/>
  <c r="A116" i="3" s="1"/>
  <c r="G103" i="2"/>
  <c r="F103" i="2"/>
  <c r="E103" i="2"/>
  <c r="D103" i="2"/>
  <c r="C103" i="2"/>
  <c r="B103" i="2"/>
  <c r="B115" i="3" s="1"/>
  <c r="A103" i="2"/>
  <c r="A115" i="3" s="1"/>
  <c r="G102" i="2"/>
  <c r="F102" i="2"/>
  <c r="E102" i="2"/>
  <c r="D102" i="2"/>
  <c r="C102" i="2"/>
  <c r="B102" i="2"/>
  <c r="B114" i="3" s="1"/>
  <c r="A102" i="2"/>
  <c r="A114" i="3" s="1"/>
  <c r="G101" i="2"/>
  <c r="F101" i="2"/>
  <c r="E101" i="2"/>
  <c r="D101" i="2"/>
  <c r="C101" i="2"/>
  <c r="B101" i="2"/>
  <c r="B113" i="3" s="1"/>
  <c r="A101" i="2"/>
  <c r="A113" i="3" s="1"/>
  <c r="G100" i="2"/>
  <c r="F100" i="2"/>
  <c r="E100" i="2"/>
  <c r="D100" i="2"/>
  <c r="C100" i="2"/>
  <c r="B100" i="2"/>
  <c r="B112" i="3" s="1"/>
  <c r="A100" i="2"/>
  <c r="A112" i="3" s="1"/>
  <c r="G99" i="2"/>
  <c r="F99" i="2"/>
  <c r="E99" i="2"/>
  <c r="D99" i="2"/>
  <c r="C99" i="2"/>
  <c r="B99" i="2"/>
  <c r="B111" i="3" s="1"/>
  <c r="A99" i="2"/>
  <c r="A111" i="3" s="1"/>
  <c r="G98" i="2"/>
  <c r="F98" i="2"/>
  <c r="E98" i="2"/>
  <c r="D98" i="2"/>
  <c r="C98" i="2"/>
  <c r="B98" i="2"/>
  <c r="B110" i="3" s="1"/>
  <c r="A98" i="2"/>
  <c r="A110" i="3" s="1"/>
  <c r="G97" i="2"/>
  <c r="F97" i="2"/>
  <c r="E97" i="2"/>
  <c r="D97" i="2"/>
  <c r="C97" i="2"/>
  <c r="B97" i="2"/>
  <c r="B109" i="3" s="1"/>
  <c r="A97" i="2"/>
  <c r="A109" i="3" s="1"/>
  <c r="G96" i="2"/>
  <c r="F96" i="2"/>
  <c r="E96" i="2"/>
  <c r="D96" i="2"/>
  <c r="C96" i="2"/>
  <c r="B96" i="2"/>
  <c r="B108" i="3" s="1"/>
  <c r="A96" i="2"/>
  <c r="A108" i="3" s="1"/>
  <c r="G95" i="2"/>
  <c r="F95" i="2"/>
  <c r="E95" i="2"/>
  <c r="D95" i="2"/>
  <c r="C95" i="2"/>
  <c r="B95" i="2"/>
  <c r="B107" i="3" s="1"/>
  <c r="A95" i="2"/>
  <c r="A107" i="3" s="1"/>
  <c r="G94" i="2"/>
  <c r="F94" i="2"/>
  <c r="E94" i="2"/>
  <c r="D94" i="2"/>
  <c r="C94" i="2"/>
  <c r="B94" i="2"/>
  <c r="B106" i="3" s="1"/>
  <c r="A94" i="2"/>
  <c r="A106" i="3" s="1"/>
  <c r="G93" i="2"/>
  <c r="F93" i="2"/>
  <c r="E93" i="2"/>
  <c r="D93" i="2"/>
  <c r="C93" i="2"/>
  <c r="B93" i="2"/>
  <c r="B105" i="3" s="1"/>
  <c r="A93" i="2"/>
  <c r="A105" i="3" s="1"/>
  <c r="G92" i="2"/>
  <c r="F92" i="2"/>
  <c r="E92" i="2"/>
  <c r="D92" i="2"/>
  <c r="C92" i="2"/>
  <c r="B92" i="2"/>
  <c r="B104" i="3" s="1"/>
  <c r="A92" i="2"/>
  <c r="A104" i="3" s="1"/>
  <c r="G91" i="2"/>
  <c r="F91" i="2"/>
  <c r="E91" i="2"/>
  <c r="D91" i="2"/>
  <c r="C91" i="2"/>
  <c r="B91" i="2"/>
  <c r="B103" i="3" s="1"/>
  <c r="A91" i="2"/>
  <c r="A103" i="3" s="1"/>
  <c r="G90" i="2"/>
  <c r="F90" i="2"/>
  <c r="E90" i="2"/>
  <c r="D90" i="2"/>
  <c r="C90" i="2"/>
  <c r="B90" i="2"/>
  <c r="B102" i="3" s="1"/>
  <c r="A90" i="2"/>
  <c r="A102" i="3" s="1"/>
  <c r="G89" i="2"/>
  <c r="F89" i="2"/>
  <c r="E89" i="2"/>
  <c r="D89" i="2"/>
  <c r="C89" i="2"/>
  <c r="B89" i="2"/>
  <c r="B101" i="3" s="1"/>
  <c r="A89" i="2"/>
  <c r="A101" i="3" s="1"/>
  <c r="G88" i="2"/>
  <c r="F88" i="2"/>
  <c r="E88" i="2"/>
  <c r="D88" i="2"/>
  <c r="C88" i="2"/>
  <c r="B88" i="2"/>
  <c r="B100" i="3" s="1"/>
  <c r="A88" i="2"/>
  <c r="A100" i="3" s="1"/>
  <c r="G87" i="2"/>
  <c r="F87" i="2"/>
  <c r="E87" i="2"/>
  <c r="D87" i="2"/>
  <c r="C87" i="2"/>
  <c r="B87" i="2"/>
  <c r="B99" i="3" s="1"/>
  <c r="A87" i="2"/>
  <c r="A99" i="3" s="1"/>
  <c r="G86" i="2"/>
  <c r="F86" i="2"/>
  <c r="E86" i="2"/>
  <c r="D86" i="2"/>
  <c r="C86" i="2"/>
  <c r="B86" i="2"/>
  <c r="B98" i="3" s="1"/>
  <c r="A86" i="2"/>
  <c r="A98" i="3" s="1"/>
  <c r="G85" i="2"/>
  <c r="F85" i="2"/>
  <c r="E85" i="2"/>
  <c r="D85" i="2"/>
  <c r="C85" i="2"/>
  <c r="B85" i="2"/>
  <c r="B97" i="3" s="1"/>
  <c r="A85" i="2"/>
  <c r="A97" i="3" s="1"/>
  <c r="G84" i="2"/>
  <c r="F84" i="2"/>
  <c r="E84" i="2"/>
  <c r="D84" i="2"/>
  <c r="C84" i="2"/>
  <c r="B84" i="2"/>
  <c r="B96" i="3" s="1"/>
  <c r="A84" i="2"/>
  <c r="A96" i="3" s="1"/>
  <c r="G83" i="2"/>
  <c r="F83" i="2"/>
  <c r="E83" i="2"/>
  <c r="D83" i="2"/>
  <c r="C83" i="2"/>
  <c r="B83" i="2"/>
  <c r="B95" i="3" s="1"/>
  <c r="A83" i="2"/>
  <c r="A95" i="3" s="1"/>
  <c r="G82" i="2"/>
  <c r="F82" i="2"/>
  <c r="E82" i="2"/>
  <c r="D82" i="2"/>
  <c r="C82" i="2"/>
  <c r="B82" i="2"/>
  <c r="B94" i="3" s="1"/>
  <c r="A82" i="2"/>
  <c r="A94" i="3" s="1"/>
  <c r="G81" i="2"/>
  <c r="F81" i="2"/>
  <c r="E81" i="2"/>
  <c r="D81" i="2"/>
  <c r="C81" i="2"/>
  <c r="B81" i="2"/>
  <c r="B93" i="3" s="1"/>
  <c r="A81" i="2"/>
  <c r="A93" i="3" s="1"/>
  <c r="G80" i="2"/>
  <c r="F80" i="2"/>
  <c r="E80" i="2"/>
  <c r="D80" i="2"/>
  <c r="C80" i="2"/>
  <c r="B80" i="2"/>
  <c r="B92" i="3" s="1"/>
  <c r="A80" i="2"/>
  <c r="A92" i="3" s="1"/>
  <c r="G79" i="2"/>
  <c r="F79" i="2"/>
  <c r="E79" i="2"/>
  <c r="D79" i="2"/>
  <c r="C79" i="2"/>
  <c r="B79" i="2"/>
  <c r="B91" i="3" s="1"/>
  <c r="A79" i="2"/>
  <c r="A91" i="3" s="1"/>
  <c r="G78" i="2"/>
  <c r="F78" i="2"/>
  <c r="E78" i="2"/>
  <c r="D78" i="2"/>
  <c r="C78" i="2"/>
  <c r="B78" i="2"/>
  <c r="B90" i="3" s="1"/>
  <c r="A78" i="2"/>
  <c r="A90" i="3" s="1"/>
  <c r="G77" i="2"/>
  <c r="F77" i="2"/>
  <c r="E77" i="2"/>
  <c r="D77" i="2"/>
  <c r="C77" i="2"/>
  <c r="B77" i="2"/>
  <c r="B89" i="3" s="1"/>
  <c r="A77" i="2"/>
  <c r="A89" i="3" s="1"/>
  <c r="G76" i="2"/>
  <c r="F76" i="2"/>
  <c r="E76" i="2"/>
  <c r="D76" i="2"/>
  <c r="C76" i="2"/>
  <c r="B76" i="2"/>
  <c r="B88" i="3" s="1"/>
  <c r="A76" i="2"/>
  <c r="A88" i="3" s="1"/>
  <c r="G75" i="2"/>
  <c r="F75" i="2"/>
  <c r="E75" i="2"/>
  <c r="D75" i="2"/>
  <c r="C75" i="2"/>
  <c r="B75" i="2"/>
  <c r="B87" i="3" s="1"/>
  <c r="A75" i="2"/>
  <c r="A87" i="3" s="1"/>
  <c r="G74" i="2"/>
  <c r="F74" i="2"/>
  <c r="E74" i="2"/>
  <c r="D74" i="2"/>
  <c r="C74" i="2"/>
  <c r="B74" i="2"/>
  <c r="B86" i="3" s="1"/>
  <c r="A74" i="2"/>
  <c r="A86" i="3" s="1"/>
  <c r="G73" i="2"/>
  <c r="F73" i="2"/>
  <c r="E73" i="2"/>
  <c r="D73" i="2"/>
  <c r="C73" i="2"/>
  <c r="B73" i="2"/>
  <c r="B85" i="3" s="1"/>
  <c r="A73" i="2"/>
  <c r="A85" i="3" s="1"/>
  <c r="G72" i="2"/>
  <c r="F72" i="2"/>
  <c r="E72" i="2"/>
  <c r="D72" i="2"/>
  <c r="C72" i="2"/>
  <c r="B72" i="2"/>
  <c r="B84" i="3" s="1"/>
  <c r="A72" i="2"/>
  <c r="A84" i="3" s="1"/>
  <c r="G71" i="2"/>
  <c r="F71" i="2"/>
  <c r="E71" i="2"/>
  <c r="D71" i="2"/>
  <c r="C71" i="2"/>
  <c r="B71" i="2"/>
  <c r="B83" i="3" s="1"/>
  <c r="A71" i="2"/>
  <c r="A83" i="3" s="1"/>
  <c r="G70" i="2"/>
  <c r="F70" i="2"/>
  <c r="E70" i="2"/>
  <c r="D70" i="2"/>
  <c r="C70" i="2"/>
  <c r="B70" i="2"/>
  <c r="B82" i="3" s="1"/>
  <c r="A70" i="2"/>
  <c r="A82" i="3" s="1"/>
  <c r="G69" i="2"/>
  <c r="F69" i="2"/>
  <c r="E69" i="2"/>
  <c r="D69" i="2"/>
  <c r="C69" i="2"/>
  <c r="B69" i="2"/>
  <c r="B81" i="3" s="1"/>
  <c r="A69" i="2"/>
  <c r="A81" i="3" s="1"/>
  <c r="G68" i="2"/>
  <c r="F68" i="2"/>
  <c r="E68" i="2"/>
  <c r="D68" i="2"/>
  <c r="C68" i="2"/>
  <c r="B68" i="2"/>
  <c r="B80" i="3" s="1"/>
  <c r="A68" i="2"/>
  <c r="A80" i="3" s="1"/>
  <c r="G67" i="2"/>
  <c r="F67" i="2"/>
  <c r="E67" i="2"/>
  <c r="D67" i="2"/>
  <c r="C67" i="2"/>
  <c r="B67" i="2"/>
  <c r="B79" i="3" s="1"/>
  <c r="A67" i="2"/>
  <c r="A79" i="3" s="1"/>
  <c r="G66" i="2"/>
  <c r="F66" i="2"/>
  <c r="E66" i="2"/>
  <c r="D66" i="2"/>
  <c r="C66" i="2"/>
  <c r="B66" i="2"/>
  <c r="B78" i="3" s="1"/>
  <c r="A66" i="2"/>
  <c r="A78" i="3" s="1"/>
  <c r="G65" i="2"/>
  <c r="F65" i="2"/>
  <c r="E65" i="2"/>
  <c r="D65" i="2"/>
  <c r="C65" i="2"/>
  <c r="B65" i="2"/>
  <c r="B77" i="3" s="1"/>
  <c r="A65" i="2"/>
  <c r="A77" i="3" s="1"/>
  <c r="G64" i="2"/>
  <c r="F64" i="2"/>
  <c r="E64" i="2"/>
  <c r="D64" i="2"/>
  <c r="C64" i="2"/>
  <c r="B64" i="2"/>
  <c r="B76" i="3" s="1"/>
  <c r="A64" i="2"/>
  <c r="A76" i="3" s="1"/>
  <c r="G63" i="2"/>
  <c r="F63" i="2"/>
  <c r="E63" i="2"/>
  <c r="D63" i="2"/>
  <c r="C63" i="2"/>
  <c r="B63" i="2"/>
  <c r="B75" i="3" s="1"/>
  <c r="A63" i="2"/>
  <c r="A75" i="3" s="1"/>
  <c r="G62" i="2"/>
  <c r="F62" i="2"/>
  <c r="E62" i="2"/>
  <c r="D62" i="2"/>
  <c r="C62" i="2"/>
  <c r="B62" i="2"/>
  <c r="B74" i="3" s="1"/>
  <c r="A62" i="2"/>
  <c r="A74" i="3" s="1"/>
  <c r="G61" i="2"/>
  <c r="F61" i="2"/>
  <c r="E61" i="2"/>
  <c r="D61" i="2"/>
  <c r="C61" i="2"/>
  <c r="B61" i="2"/>
  <c r="B73" i="3" s="1"/>
  <c r="A61" i="2"/>
  <c r="A73" i="3" s="1"/>
  <c r="G60" i="2"/>
  <c r="F60" i="2"/>
  <c r="E60" i="2"/>
  <c r="D60" i="2"/>
  <c r="C60" i="2"/>
  <c r="B60" i="2"/>
  <c r="B72" i="3" s="1"/>
  <c r="A60" i="2"/>
  <c r="A72" i="3" s="1"/>
  <c r="G59" i="2"/>
  <c r="F59" i="2"/>
  <c r="E59" i="2"/>
  <c r="D59" i="2"/>
  <c r="C59" i="2"/>
  <c r="B59" i="2"/>
  <c r="B71" i="3" s="1"/>
  <c r="A59" i="2"/>
  <c r="A71" i="3" s="1"/>
  <c r="G58" i="2"/>
  <c r="F58" i="2"/>
  <c r="E58" i="2"/>
  <c r="D58" i="2"/>
  <c r="C58" i="2"/>
  <c r="B58" i="2"/>
  <c r="B70" i="3" s="1"/>
  <c r="A58" i="2"/>
  <c r="A70" i="3" s="1"/>
  <c r="G57" i="2"/>
  <c r="F57" i="2"/>
  <c r="E57" i="2"/>
  <c r="D57" i="2"/>
  <c r="C57" i="2"/>
  <c r="B57" i="2"/>
  <c r="B69" i="3" s="1"/>
  <c r="A57" i="2"/>
  <c r="A69" i="3" s="1"/>
  <c r="G56" i="2"/>
  <c r="F56" i="2"/>
  <c r="E56" i="2"/>
  <c r="D56" i="2"/>
  <c r="C56" i="2"/>
  <c r="B56" i="2"/>
  <c r="B68" i="3" s="1"/>
  <c r="A56" i="2"/>
  <c r="A68" i="3" s="1"/>
  <c r="G55" i="2"/>
  <c r="F55" i="2"/>
  <c r="E55" i="2"/>
  <c r="D55" i="2"/>
  <c r="C55" i="2"/>
  <c r="B55" i="2"/>
  <c r="B67" i="3" s="1"/>
  <c r="A55" i="2"/>
  <c r="A67" i="3" s="1"/>
  <c r="G54" i="2"/>
  <c r="F54" i="2"/>
  <c r="E54" i="2"/>
  <c r="D54" i="2"/>
  <c r="C54" i="2"/>
  <c r="B54" i="2"/>
  <c r="B66" i="3" s="1"/>
  <c r="A54" i="2"/>
  <c r="A66" i="3" s="1"/>
  <c r="G53" i="2"/>
  <c r="F53" i="2"/>
  <c r="E53" i="2"/>
  <c r="D53" i="2"/>
  <c r="C53" i="2"/>
  <c r="B53" i="2"/>
  <c r="B65" i="3" s="1"/>
  <c r="A53" i="2"/>
  <c r="A65" i="3" s="1"/>
  <c r="G52" i="2"/>
  <c r="F52" i="2"/>
  <c r="E52" i="2"/>
  <c r="D52" i="2"/>
  <c r="C52" i="2"/>
  <c r="C778" i="1" s="1"/>
  <c r="B52" i="2"/>
  <c r="B64" i="3" s="1"/>
  <c r="A52" i="2"/>
  <c r="A64" i="3" s="1"/>
  <c r="G51" i="2"/>
  <c r="F51" i="2"/>
  <c r="F778" i="1" s="1"/>
  <c r="E51" i="2"/>
  <c r="E778" i="1" s="1"/>
  <c r="D51" i="2"/>
  <c r="C51" i="2"/>
  <c r="B51" i="2"/>
  <c r="A51" i="2"/>
  <c r="G50" i="2"/>
  <c r="F50" i="2"/>
  <c r="E50" i="2"/>
  <c r="D50" i="2"/>
  <c r="C50" i="2"/>
  <c r="B50" i="2"/>
  <c r="A50" i="2"/>
  <c r="G49" i="2"/>
  <c r="F49" i="2"/>
  <c r="E49" i="2"/>
  <c r="D49" i="2"/>
  <c r="C49" i="2"/>
  <c r="B49" i="2"/>
  <c r="A49" i="2"/>
  <c r="G48" i="2"/>
  <c r="F48" i="2"/>
  <c r="E48" i="2"/>
  <c r="D48" i="2"/>
  <c r="C48" i="2"/>
  <c r="B48" i="2"/>
  <c r="A48" i="2"/>
  <c r="G47" i="2"/>
  <c r="F47" i="2"/>
  <c r="E47" i="2"/>
  <c r="D47" i="2"/>
  <c r="C47" i="2"/>
  <c r="B47" i="2"/>
  <c r="A47" i="2"/>
  <c r="G46" i="2"/>
  <c r="F46" i="2"/>
  <c r="E46" i="2"/>
  <c r="D46" i="2"/>
  <c r="C46" i="2"/>
  <c r="B46" i="2"/>
  <c r="A46" i="2"/>
  <c r="G45" i="2"/>
  <c r="F45" i="2"/>
  <c r="E45" i="2"/>
  <c r="D45" i="2"/>
  <c r="C45" i="2"/>
  <c r="B45" i="2"/>
  <c r="A45" i="2"/>
  <c r="G44" i="2"/>
  <c r="F44" i="2"/>
  <c r="E44" i="2"/>
  <c r="D44" i="2"/>
  <c r="C44" i="2"/>
  <c r="B44" i="2"/>
  <c r="A44" i="2"/>
  <c r="G43" i="2"/>
  <c r="F43" i="2"/>
  <c r="E43" i="2"/>
  <c r="D43" i="2"/>
  <c r="C43" i="2"/>
  <c r="B43" i="2"/>
  <c r="A43" i="2"/>
  <c r="G42" i="2"/>
  <c r="F42" i="2"/>
  <c r="E42" i="2"/>
  <c r="D42" i="2"/>
  <c r="C42" i="2"/>
  <c r="B42" i="2"/>
  <c r="A42" i="2"/>
  <c r="G41" i="2"/>
  <c r="F41" i="2"/>
  <c r="E41" i="2"/>
  <c r="D41" i="2"/>
  <c r="C41" i="2"/>
  <c r="B41" i="2"/>
  <c r="A41" i="2"/>
  <c r="G40" i="2"/>
  <c r="F40" i="2"/>
  <c r="E40" i="2"/>
  <c r="D40" i="2"/>
  <c r="C40" i="2"/>
  <c r="B40" i="2"/>
  <c r="A40" i="2"/>
  <c r="G39" i="2"/>
  <c r="F39" i="2"/>
  <c r="E39" i="2"/>
  <c r="D39" i="2"/>
  <c r="C39" i="2"/>
  <c r="B39" i="2"/>
  <c r="A39" i="2"/>
  <c r="G38" i="2"/>
  <c r="F38" i="2"/>
  <c r="E38" i="2"/>
  <c r="D38" i="2"/>
  <c r="C38" i="2"/>
  <c r="B38" i="2"/>
  <c r="A38" i="2"/>
  <c r="G37" i="2"/>
  <c r="F37" i="2"/>
  <c r="E37" i="2"/>
  <c r="D37" i="2"/>
  <c r="C37" i="2"/>
  <c r="B37" i="2"/>
  <c r="A37" i="2"/>
  <c r="G36" i="2"/>
  <c r="F36" i="2"/>
  <c r="E36" i="2"/>
  <c r="D36" i="2"/>
  <c r="C36" i="2"/>
  <c r="B36" i="2"/>
  <c r="A36" i="2"/>
  <c r="G35" i="2"/>
  <c r="F35" i="2"/>
  <c r="E35" i="2"/>
  <c r="D35" i="2"/>
  <c r="C35" i="2"/>
  <c r="B35" i="2"/>
  <c r="A35" i="2"/>
  <c r="G34" i="2"/>
  <c r="F34" i="2"/>
  <c r="E34" i="2"/>
  <c r="D34" i="2"/>
  <c r="C34" i="2"/>
  <c r="B34" i="2"/>
  <c r="A34" i="2"/>
  <c r="G33" i="2"/>
  <c r="F33" i="2"/>
  <c r="E33" i="2"/>
  <c r="D33" i="2"/>
  <c r="C33" i="2"/>
  <c r="B33" i="2"/>
  <c r="A33" i="2"/>
  <c r="G32" i="2"/>
  <c r="F32" i="2"/>
  <c r="E32" i="2"/>
  <c r="D32" i="2"/>
  <c r="C32" i="2"/>
  <c r="B32" i="2"/>
  <c r="A32" i="2"/>
  <c r="G31" i="2"/>
  <c r="F31" i="2"/>
  <c r="E31" i="2"/>
  <c r="D31" i="2"/>
  <c r="C31" i="2"/>
  <c r="B31" i="2"/>
  <c r="A31" i="2"/>
  <c r="G30" i="2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G26" i="2"/>
  <c r="F26" i="2"/>
  <c r="E26" i="2"/>
  <c r="D26" i="2"/>
  <c r="C26" i="2"/>
  <c r="B26" i="2"/>
  <c r="A26" i="2"/>
  <c r="G25" i="2"/>
  <c r="F25" i="2"/>
  <c r="E25" i="2"/>
  <c r="D25" i="2"/>
  <c r="C25" i="2"/>
  <c r="B25" i="2"/>
  <c r="A25" i="2"/>
  <c r="G24" i="2"/>
  <c r="F24" i="2"/>
  <c r="E24" i="2"/>
  <c r="D24" i="2"/>
  <c r="C24" i="2"/>
  <c r="B24" i="2"/>
  <c r="A24" i="2"/>
  <c r="G23" i="2"/>
  <c r="F23" i="2"/>
  <c r="E23" i="2"/>
  <c r="D23" i="2"/>
  <c r="C23" i="2"/>
  <c r="B23" i="2"/>
  <c r="A23" i="2"/>
  <c r="G22" i="2"/>
  <c r="F22" i="2"/>
  <c r="E22" i="2"/>
  <c r="D22" i="2"/>
  <c r="C22" i="2"/>
  <c r="B22" i="2"/>
  <c r="A22" i="2"/>
  <c r="G21" i="2"/>
  <c r="F21" i="2"/>
  <c r="E21" i="2"/>
  <c r="D21" i="2"/>
  <c r="C21" i="2"/>
  <c r="B21" i="2"/>
  <c r="A21" i="2"/>
  <c r="G20" i="2"/>
  <c r="F20" i="2"/>
  <c r="E20" i="2"/>
  <c r="D20" i="2"/>
  <c r="C20" i="2"/>
  <c r="B20" i="2"/>
  <c r="A20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G17" i="2"/>
  <c r="F17" i="2"/>
  <c r="E17" i="2"/>
  <c r="D17" i="2"/>
  <c r="C17" i="2"/>
  <c r="B17" i="2"/>
  <c r="A17" i="2"/>
  <c r="G16" i="2"/>
  <c r="F16" i="2"/>
  <c r="E16" i="2"/>
  <c r="D16" i="2"/>
  <c r="C16" i="2"/>
  <c r="B16" i="2"/>
  <c r="A16" i="2"/>
  <c r="G15" i="2"/>
  <c r="F15" i="2"/>
  <c r="E15" i="2"/>
  <c r="D15" i="2"/>
  <c r="C15" i="2"/>
  <c r="B15" i="2"/>
  <c r="A15" i="2"/>
  <c r="G14" i="2"/>
  <c r="F14" i="2"/>
  <c r="E14" i="2"/>
  <c r="D14" i="2"/>
  <c r="C14" i="2"/>
  <c r="B14" i="2"/>
  <c r="A14" i="2"/>
  <c r="G13" i="2"/>
  <c r="F13" i="2"/>
  <c r="E13" i="2"/>
  <c r="D13" i="2"/>
  <c r="C13" i="2"/>
  <c r="B13" i="2"/>
  <c r="A13" i="2"/>
  <c r="G12" i="2"/>
  <c r="F12" i="2"/>
  <c r="E12" i="2"/>
  <c r="D12" i="2"/>
  <c r="C12" i="2"/>
  <c r="B12" i="2"/>
  <c r="A12" i="2"/>
  <c r="G11" i="2"/>
  <c r="F11" i="2"/>
  <c r="E11" i="2"/>
  <c r="D11" i="2"/>
  <c r="C11" i="2"/>
  <c r="B11" i="2"/>
  <c r="A11" i="2"/>
  <c r="G10" i="2"/>
  <c r="F10" i="2"/>
  <c r="E10" i="2"/>
  <c r="D10" i="2"/>
  <c r="C10" i="2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B8" i="2"/>
  <c r="A8" i="2"/>
  <c r="G7" i="2"/>
  <c r="F7" i="2"/>
  <c r="E7" i="2"/>
  <c r="D7" i="2"/>
  <c r="C7" i="2"/>
  <c r="B7" i="2"/>
  <c r="A7" i="2"/>
  <c r="G6" i="2"/>
  <c r="F6" i="2"/>
  <c r="E6" i="2"/>
  <c r="D6" i="2"/>
  <c r="C6" i="2"/>
  <c r="B6" i="2"/>
  <c r="A6" i="2"/>
  <c r="G5" i="2"/>
  <c r="F5" i="2"/>
  <c r="E5" i="2"/>
  <c r="D5" i="2"/>
  <c r="C5" i="2"/>
  <c r="B5" i="2"/>
  <c r="A5" i="2"/>
  <c r="G4" i="2"/>
  <c r="F4" i="2"/>
  <c r="E4" i="2"/>
  <c r="D4" i="2"/>
  <c r="C4" i="2"/>
  <c r="B4" i="2"/>
  <c r="A4" i="2"/>
  <c r="G3" i="2"/>
  <c r="F3" i="2"/>
  <c r="E3" i="2"/>
  <c r="D3" i="2"/>
  <c r="C3" i="2"/>
  <c r="B3" i="2"/>
  <c r="A3" i="2"/>
  <c r="G2" i="2"/>
  <c r="F2" i="2"/>
  <c r="E2" i="2"/>
  <c r="D2" i="2"/>
  <c r="C2" i="2"/>
  <c r="B2" i="2"/>
  <c r="A2" i="2"/>
  <c r="G758" i="1"/>
  <c r="F758" i="1"/>
  <c r="E758" i="1"/>
  <c r="D758" i="1"/>
  <c r="C758" i="1"/>
  <c r="B758" i="1"/>
  <c r="G757" i="1"/>
  <c r="F757" i="1"/>
  <c r="E757" i="1"/>
  <c r="D757" i="1"/>
  <c r="C757" i="1"/>
  <c r="B757" i="1"/>
  <c r="C14" i="3" l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D760" i="1"/>
  <c r="D777" i="1"/>
  <c r="D765" i="1"/>
  <c r="D771" i="1"/>
  <c r="D759" i="1"/>
  <c r="D770" i="1"/>
  <c r="D764" i="1"/>
  <c r="C764" i="1"/>
  <c r="C770" i="1"/>
  <c r="C777" i="1"/>
  <c r="C779" i="1" s="1"/>
  <c r="C759" i="1"/>
  <c r="C760" i="1"/>
  <c r="C771" i="1"/>
  <c r="C765" i="1"/>
  <c r="B771" i="1"/>
  <c r="B770" i="1"/>
  <c r="B777" i="1"/>
  <c r="B235" i="3"/>
  <c r="B764" i="1"/>
  <c r="B760" i="1"/>
  <c r="B778" i="1"/>
  <c r="B765" i="1"/>
  <c r="B759" i="1"/>
  <c r="G772" i="1"/>
  <c r="G764" i="1"/>
  <c r="G770" i="1"/>
  <c r="G765" i="1"/>
  <c r="G759" i="1"/>
  <c r="G760" i="1"/>
  <c r="G771" i="1"/>
  <c r="C775" i="1"/>
  <c r="D775" i="1"/>
  <c r="B775" i="1"/>
  <c r="F759" i="1"/>
  <c r="F775" i="1"/>
  <c r="F771" i="1"/>
  <c r="F777" i="1"/>
  <c r="F779" i="1" s="1"/>
  <c r="F764" i="1"/>
  <c r="F770" i="1"/>
  <c r="F760" i="1"/>
  <c r="F765" i="1"/>
  <c r="E775" i="1"/>
  <c r="E770" i="1"/>
  <c r="E771" i="1"/>
  <c r="E760" i="1"/>
  <c r="E777" i="1"/>
  <c r="E779" i="1" s="1"/>
  <c r="E765" i="1"/>
  <c r="E764" i="1"/>
  <c r="E759" i="1"/>
  <c r="B234" i="3"/>
  <c r="B63" i="3"/>
  <c r="D778" i="1"/>
  <c r="C776" i="1" l="1"/>
  <c r="C772" i="1"/>
  <c r="D776" i="1"/>
  <c r="D772" i="1"/>
  <c r="B776" i="1"/>
  <c r="B772" i="1"/>
  <c r="F776" i="1"/>
  <c r="E772" i="1"/>
  <c r="E776" i="1"/>
  <c r="C63" i="3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B779" i="1"/>
  <c r="D779" i="1"/>
  <c r="B787" i="3"/>
  <c r="B779" i="3"/>
  <c r="B776" i="3"/>
  <c r="B775" i="3"/>
  <c r="B771" i="3"/>
  <c r="B770" i="3"/>
  <c r="B786" i="3"/>
  <c r="B780" i="3"/>
  <c r="B784" i="3"/>
  <c r="B769" i="3" l="1"/>
  <c r="B768" i="3"/>
  <c r="B781" i="3"/>
  <c r="B785" i="3"/>
  <c r="B788" i="3"/>
</calcChain>
</file>

<file path=xl/sharedStrings.xml><?xml version="1.0" encoding="utf-8"?>
<sst xmlns="http://schemas.openxmlformats.org/spreadsheetml/2006/main" count="73" uniqueCount="37">
  <si>
    <t>Date</t>
  </si>
  <si>
    <t>IVV</t>
  </si>
  <si>
    <t>ARCC</t>
  </si>
  <si>
    <t>TSLX</t>
  </si>
  <si>
    <t>BXSL</t>
  </si>
  <si>
    <t>JPST</t>
  </si>
  <si>
    <t>S&amp;P 500</t>
  </si>
  <si>
    <t>RETURN METRICS</t>
  </si>
  <si>
    <t>Total Return</t>
  </si>
  <si>
    <t>CAGR</t>
  </si>
  <si>
    <t>Annualized Return</t>
  </si>
  <si>
    <t>Annualized Volatility</t>
  </si>
  <si>
    <t>RISK METRICS  (95% confidence)</t>
  </si>
  <si>
    <t>Max Drawdown *</t>
  </si>
  <si>
    <t>VaR 95% Daily</t>
  </si>
  <si>
    <t>ES 95% Daily</t>
  </si>
  <si>
    <t>* Max Drawdown: pre-computed (max peak-to-trough decline). All other metrics use 'Daily Returns' sheet formulas.</t>
  </si>
  <si>
    <t>RISK-ADJUSTED RATIOS</t>
  </si>
  <si>
    <t>Sharpe Ratio</t>
  </si>
  <si>
    <t>Sortino Ratio</t>
  </si>
  <si>
    <t>Treynor Ratio</t>
  </si>
  <si>
    <t>RELATIVE METRICS vs S&amp;P 500</t>
  </si>
  <si>
    <t>Beta</t>
  </si>
  <si>
    <t>—</t>
  </si>
  <si>
    <t>Alpha (Annualized)</t>
  </si>
  <si>
    <t>Excess Return</t>
  </si>
  <si>
    <t>Tracking Error</t>
  </si>
  <si>
    <t>Information Ratio</t>
  </si>
  <si>
    <t>EQUAL-WEIGHT PORTFOLIO ANALYSIS</t>
  </si>
  <si>
    <t>Tickers: IVV, ARCC, TSLX, BXSL, JPST  |  Benchmark: S&amp;P 500  |  Risk-Free Rate: 4.00%</t>
  </si>
  <si>
    <t>PORTFOLIO WEIGHTS</t>
  </si>
  <si>
    <t>Ticker</t>
  </si>
  <si>
    <t>Weight</t>
  </si>
  <si>
    <t>PORTFOLIO DAILY RETURNS</t>
  </si>
  <si>
    <t>Daily Return</t>
  </si>
  <si>
    <t>Cum. Return</t>
  </si>
  <si>
    <t>* Max Drawdown: pre-computed (max peak-to-trough decline). All other metrics use Excel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</si>
</sst>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yyyy\-mm\-dd"/>
    <numFmt numFmtId="167" formatCode="0.0000"/>
    <numFmt numFmtId="168" formatCode="#,##0.00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i/>
      <sz val="9"/>
      <color rgb="FF666666"/>
      <name val="Calibri"/>
    </font>
    <font>
      <b/>
      <sz val="14"/>
      <color rgb="FF1F3864"/>
      <name val="Calibri"/>
    </font>
    <font>
      <sz val="10"/>
      <color rgb="FF44444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F8A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1F3864"/>
      </top>
      <bottom style="thin">
        <color rgb="FF1F38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0" fontId="2" fillId="0" borderId="1" xfId="0" applyNumberFormat="1" applyFont="1" applyBorder="1" applyAlignment="1">
      <alignment horizontal="center" vertical="center"/>
    </xf>
    <xf numFmtId="0" fontId="5" fillId="0" borderId="0" xfId="0" applyFont="1"/>
    <xf numFmtId="167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2" fillId="0" borderId="1" xfId="0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5486400" cy="21907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9"/>
  <sheetViews>
    <sheetView showGridLines="0" tabSelected="1" workbookViewId="0">
      <pane ySplit="1" topLeftCell="A739" activePane="bottomLeft" state="frozen"/>
      <selection pane="bottomLeft" activeCell="G772" sqref="G772"/>
    </sheetView>
  </sheetViews>
  <sheetFormatPr defaultRowHeight="14.25" x14ac:dyDescent="0.45"/>
  <cols>
    <col min="1" max="1" width="26" customWidth="1"/>
    <col min="2" max="7" width="18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5">
      <c r="A2" s="2">
        <v>45076</v>
      </c>
      <c r="B2" s="3">
        <v>405.21</v>
      </c>
      <c r="C2" s="3">
        <v>14.23</v>
      </c>
      <c r="D2" s="3">
        <v>13.69</v>
      </c>
      <c r="E2" s="3">
        <v>18.600000000000001</v>
      </c>
      <c r="F2" s="3">
        <v>43.48</v>
      </c>
      <c r="G2" s="3">
        <v>4205.5200000000004</v>
      </c>
    </row>
    <row r="3" spans="1:7" x14ac:dyDescent="0.45">
      <c r="A3" s="2">
        <v>45077</v>
      </c>
      <c r="B3" s="3">
        <v>402.71</v>
      </c>
      <c r="C3" s="3">
        <v>14.13</v>
      </c>
      <c r="D3" s="3">
        <v>13.62</v>
      </c>
      <c r="E3" s="3">
        <v>18.62</v>
      </c>
      <c r="F3" s="3">
        <v>43.51</v>
      </c>
      <c r="G3" s="3">
        <v>4179.83</v>
      </c>
    </row>
    <row r="4" spans="1:7" x14ac:dyDescent="0.45">
      <c r="A4" s="2">
        <v>45078</v>
      </c>
      <c r="B4" s="3">
        <v>406.86</v>
      </c>
      <c r="C4" s="3">
        <v>14.34</v>
      </c>
      <c r="D4" s="3">
        <v>13.96</v>
      </c>
      <c r="E4" s="3">
        <v>18.649999999999999</v>
      </c>
      <c r="F4" s="3">
        <v>43.53</v>
      </c>
      <c r="G4" s="3">
        <v>4221.0200000000004</v>
      </c>
    </row>
    <row r="5" spans="1:7" x14ac:dyDescent="0.45">
      <c r="A5" s="2">
        <v>45079</v>
      </c>
      <c r="B5" s="3">
        <v>412.66</v>
      </c>
      <c r="C5" s="3">
        <v>14.39</v>
      </c>
      <c r="D5" s="3">
        <v>13.95</v>
      </c>
      <c r="E5" s="3">
        <v>18.87</v>
      </c>
      <c r="F5" s="3">
        <v>43.52</v>
      </c>
      <c r="G5" s="3">
        <v>4282.37</v>
      </c>
    </row>
    <row r="6" spans="1:7" x14ac:dyDescent="0.45">
      <c r="A6" s="2">
        <v>45082</v>
      </c>
      <c r="B6" s="3">
        <v>411.95</v>
      </c>
      <c r="C6" s="3">
        <v>14.38</v>
      </c>
      <c r="D6" s="3">
        <v>14.08</v>
      </c>
      <c r="E6" s="3">
        <v>18.98</v>
      </c>
      <c r="F6" s="3">
        <v>43.53</v>
      </c>
      <c r="G6" s="3">
        <v>4273.79</v>
      </c>
    </row>
    <row r="7" spans="1:7" x14ac:dyDescent="0.45">
      <c r="A7" s="2">
        <v>45083</v>
      </c>
      <c r="B7" s="3">
        <v>412.82</v>
      </c>
      <c r="C7" s="3">
        <v>14.38</v>
      </c>
      <c r="D7" s="3">
        <v>14.06</v>
      </c>
      <c r="E7" s="3">
        <v>18.96</v>
      </c>
      <c r="F7" s="3">
        <v>43.52</v>
      </c>
      <c r="G7" s="3">
        <v>4283.8500000000004</v>
      </c>
    </row>
    <row r="8" spans="1:7" x14ac:dyDescent="0.45">
      <c r="A8" s="2">
        <v>45084</v>
      </c>
      <c r="B8" s="3">
        <v>411.46</v>
      </c>
      <c r="C8" s="3">
        <v>14.35</v>
      </c>
      <c r="D8" s="3">
        <v>14.15</v>
      </c>
      <c r="E8" s="3">
        <v>19.03</v>
      </c>
      <c r="F8" s="3">
        <v>43.52</v>
      </c>
      <c r="G8" s="3">
        <v>4267.5200000000004</v>
      </c>
    </row>
    <row r="9" spans="1:7" x14ac:dyDescent="0.45">
      <c r="A9" s="2">
        <v>45085</v>
      </c>
      <c r="B9" s="3">
        <v>413.84</v>
      </c>
      <c r="C9" s="3">
        <v>14.38</v>
      </c>
      <c r="D9" s="3">
        <v>14.17</v>
      </c>
      <c r="E9" s="3">
        <v>18.96</v>
      </c>
      <c r="F9" s="3">
        <v>43.54</v>
      </c>
      <c r="G9" s="3">
        <v>4293.93</v>
      </c>
    </row>
    <row r="10" spans="1:7" x14ac:dyDescent="0.45">
      <c r="A10" s="2">
        <v>45086</v>
      </c>
      <c r="B10" s="3">
        <v>414.67</v>
      </c>
      <c r="C10" s="3">
        <v>14.41</v>
      </c>
      <c r="D10" s="3">
        <v>14.17</v>
      </c>
      <c r="E10" s="3">
        <v>18.91</v>
      </c>
      <c r="F10" s="3">
        <v>43.54</v>
      </c>
      <c r="G10" s="3">
        <v>4298.8599999999997</v>
      </c>
    </row>
    <row r="11" spans="1:7" x14ac:dyDescent="0.45">
      <c r="A11" s="2">
        <v>45089</v>
      </c>
      <c r="B11" s="3">
        <v>418.43</v>
      </c>
      <c r="C11" s="3">
        <v>14.36</v>
      </c>
      <c r="D11" s="3">
        <v>14.3</v>
      </c>
      <c r="E11" s="3">
        <v>19</v>
      </c>
      <c r="F11" s="3">
        <v>43.53</v>
      </c>
      <c r="G11" s="3">
        <v>4338.93</v>
      </c>
    </row>
    <row r="12" spans="1:7" x14ac:dyDescent="0.45">
      <c r="A12" s="2">
        <v>45090</v>
      </c>
      <c r="B12" s="3">
        <v>421.17</v>
      </c>
      <c r="C12" s="3">
        <v>14.36</v>
      </c>
      <c r="D12" s="3">
        <v>14.34</v>
      </c>
      <c r="E12" s="3">
        <v>19.2</v>
      </c>
      <c r="F12" s="3">
        <v>43.53</v>
      </c>
      <c r="G12" s="3">
        <v>4369.01</v>
      </c>
    </row>
    <row r="13" spans="1:7" x14ac:dyDescent="0.45">
      <c r="A13" s="2">
        <v>45091</v>
      </c>
      <c r="B13" s="3">
        <v>421.66</v>
      </c>
      <c r="C13" s="3">
        <v>14.33</v>
      </c>
      <c r="D13" s="3">
        <v>14.25</v>
      </c>
      <c r="E13" s="3">
        <v>19.02</v>
      </c>
      <c r="F13" s="3">
        <v>43.52</v>
      </c>
      <c r="G13" s="3">
        <v>4372.59</v>
      </c>
    </row>
    <row r="14" spans="1:7" x14ac:dyDescent="0.45">
      <c r="A14" s="2">
        <v>45092</v>
      </c>
      <c r="B14" s="3">
        <v>426.87</v>
      </c>
      <c r="C14" s="3">
        <v>14.42</v>
      </c>
      <c r="D14" s="3">
        <v>14.22</v>
      </c>
      <c r="E14" s="3">
        <v>19</v>
      </c>
      <c r="F14" s="3">
        <v>43.55</v>
      </c>
      <c r="G14" s="3">
        <v>4425.84</v>
      </c>
    </row>
    <row r="15" spans="1:7" x14ac:dyDescent="0.45">
      <c r="A15" s="2">
        <v>45093</v>
      </c>
      <c r="B15" s="3">
        <v>425.35</v>
      </c>
      <c r="C15" s="3">
        <v>14.44</v>
      </c>
      <c r="D15" s="3">
        <v>14.35</v>
      </c>
      <c r="E15" s="3">
        <v>18.829999999999998</v>
      </c>
      <c r="F15" s="3">
        <v>43.56</v>
      </c>
      <c r="G15" s="3">
        <v>4409.59</v>
      </c>
    </row>
    <row r="16" spans="1:7" x14ac:dyDescent="0.45">
      <c r="A16" s="2">
        <v>45097</v>
      </c>
      <c r="B16" s="3">
        <v>423.33</v>
      </c>
      <c r="C16" s="3">
        <v>14.33</v>
      </c>
      <c r="D16" s="3">
        <v>14.31</v>
      </c>
      <c r="E16" s="3">
        <v>19.100000000000001</v>
      </c>
      <c r="F16" s="3">
        <v>43.57</v>
      </c>
      <c r="G16" s="3">
        <v>4388.71</v>
      </c>
    </row>
    <row r="17" spans="1:7" x14ac:dyDescent="0.45">
      <c r="A17" s="2">
        <v>45098</v>
      </c>
      <c r="B17" s="3">
        <v>421.1</v>
      </c>
      <c r="C17" s="3">
        <v>14.37</v>
      </c>
      <c r="D17" s="3">
        <v>14.31</v>
      </c>
      <c r="E17" s="3">
        <v>19.61</v>
      </c>
      <c r="F17" s="3">
        <v>43.57</v>
      </c>
      <c r="G17" s="3">
        <v>4365.6899999999996</v>
      </c>
    </row>
    <row r="18" spans="1:7" x14ac:dyDescent="0.45">
      <c r="A18" s="2">
        <v>45099</v>
      </c>
      <c r="B18" s="3">
        <v>422.62</v>
      </c>
      <c r="C18" s="3">
        <v>14.05</v>
      </c>
      <c r="D18" s="3">
        <v>14.07</v>
      </c>
      <c r="E18" s="3">
        <v>19.579999999999998</v>
      </c>
      <c r="F18" s="3">
        <v>43.58</v>
      </c>
      <c r="G18" s="3">
        <v>4381.8900000000003</v>
      </c>
    </row>
    <row r="19" spans="1:7" x14ac:dyDescent="0.45">
      <c r="A19" s="2">
        <v>45100</v>
      </c>
      <c r="B19" s="3">
        <v>419.4</v>
      </c>
      <c r="C19" s="3">
        <v>13.93</v>
      </c>
      <c r="D19" s="3">
        <v>13.89</v>
      </c>
      <c r="E19" s="3">
        <v>19.649999999999999</v>
      </c>
      <c r="F19" s="3">
        <v>43.59</v>
      </c>
      <c r="G19" s="3">
        <v>4348.33</v>
      </c>
    </row>
    <row r="20" spans="1:7" x14ac:dyDescent="0.45">
      <c r="A20" s="2">
        <v>45103</v>
      </c>
      <c r="B20" s="3">
        <v>417.63</v>
      </c>
      <c r="C20" s="3">
        <v>14.13</v>
      </c>
      <c r="D20" s="3">
        <v>14</v>
      </c>
      <c r="E20" s="3">
        <v>19.79</v>
      </c>
      <c r="F20" s="3">
        <v>43.61</v>
      </c>
      <c r="G20" s="3">
        <v>4328.82</v>
      </c>
    </row>
    <row r="21" spans="1:7" x14ac:dyDescent="0.45">
      <c r="A21" s="2">
        <v>45104</v>
      </c>
      <c r="B21" s="3">
        <v>422.26</v>
      </c>
      <c r="C21" s="3">
        <v>14.13</v>
      </c>
      <c r="D21" s="3">
        <v>14.04</v>
      </c>
      <c r="E21" s="3">
        <v>19.899999999999999</v>
      </c>
      <c r="F21" s="3">
        <v>43.6</v>
      </c>
      <c r="G21" s="3">
        <v>4378.41</v>
      </c>
    </row>
    <row r="22" spans="1:7" x14ac:dyDescent="0.45">
      <c r="A22" s="2">
        <v>45105</v>
      </c>
      <c r="B22" s="3">
        <v>422.39</v>
      </c>
      <c r="C22" s="3">
        <v>14.4</v>
      </c>
      <c r="D22" s="3">
        <v>14.13</v>
      </c>
      <c r="E22" s="3">
        <v>19.989999999999998</v>
      </c>
      <c r="F22" s="3">
        <v>43.61</v>
      </c>
      <c r="G22" s="3">
        <v>4376.8599999999997</v>
      </c>
    </row>
    <row r="23" spans="1:7" x14ac:dyDescent="0.45">
      <c r="A23" s="2">
        <v>45106</v>
      </c>
      <c r="B23" s="3">
        <v>424.08</v>
      </c>
      <c r="C23" s="3">
        <v>14.54</v>
      </c>
      <c r="D23" s="3">
        <v>14.34</v>
      </c>
      <c r="E23" s="3">
        <v>20.28</v>
      </c>
      <c r="F23" s="3">
        <v>43.6</v>
      </c>
      <c r="G23" s="3">
        <v>4396.4399999999996</v>
      </c>
    </row>
    <row r="24" spans="1:7" x14ac:dyDescent="0.45">
      <c r="A24" s="2">
        <v>45107</v>
      </c>
      <c r="B24" s="3">
        <v>429.28</v>
      </c>
      <c r="C24" s="3">
        <v>14.53</v>
      </c>
      <c r="D24" s="3">
        <v>14.33</v>
      </c>
      <c r="E24" s="3">
        <v>20.399999999999999</v>
      </c>
      <c r="F24" s="3">
        <v>43.61</v>
      </c>
      <c r="G24" s="3">
        <v>4450.38</v>
      </c>
    </row>
    <row r="25" spans="1:7" x14ac:dyDescent="0.45">
      <c r="A25" s="2">
        <v>45110</v>
      </c>
      <c r="B25" s="3">
        <v>429.89</v>
      </c>
      <c r="C25" s="3">
        <v>14.6</v>
      </c>
      <c r="D25" s="3">
        <v>14.35</v>
      </c>
      <c r="E25" s="3">
        <v>20.18</v>
      </c>
      <c r="F25" s="3">
        <v>43.61</v>
      </c>
      <c r="G25" s="3">
        <v>4455.59</v>
      </c>
    </row>
    <row r="26" spans="1:7" x14ac:dyDescent="0.45">
      <c r="A26" s="2">
        <v>45112</v>
      </c>
      <c r="B26" s="3">
        <v>429.15</v>
      </c>
      <c r="C26" s="3">
        <v>14.58</v>
      </c>
      <c r="D26" s="3">
        <v>14.36</v>
      </c>
      <c r="E26" s="3">
        <v>20.14</v>
      </c>
      <c r="F26" s="3">
        <v>43.63</v>
      </c>
      <c r="G26" s="3">
        <v>4446.82</v>
      </c>
    </row>
    <row r="27" spans="1:7" x14ac:dyDescent="0.45">
      <c r="A27" s="2">
        <v>45113</v>
      </c>
      <c r="B27" s="3">
        <v>425.64</v>
      </c>
      <c r="C27" s="3">
        <v>14.67</v>
      </c>
      <c r="D27" s="3">
        <v>14.35</v>
      </c>
      <c r="E27" s="3">
        <v>20.13</v>
      </c>
      <c r="F27" s="3">
        <v>43.62</v>
      </c>
      <c r="G27" s="3">
        <v>4411.59</v>
      </c>
    </row>
    <row r="28" spans="1:7" x14ac:dyDescent="0.45">
      <c r="A28" s="2">
        <v>45114</v>
      </c>
      <c r="B28" s="3">
        <v>424.55</v>
      </c>
      <c r="C28" s="3">
        <v>14.75</v>
      </c>
      <c r="D28" s="3">
        <v>14.43</v>
      </c>
      <c r="E28" s="3">
        <v>20.12</v>
      </c>
      <c r="F28" s="3">
        <v>43.64</v>
      </c>
      <c r="G28" s="3">
        <v>4398.95</v>
      </c>
    </row>
    <row r="29" spans="1:7" x14ac:dyDescent="0.45">
      <c r="A29" s="2">
        <v>45117</v>
      </c>
      <c r="B29" s="3">
        <v>425.67</v>
      </c>
      <c r="C29" s="3">
        <v>14.74</v>
      </c>
      <c r="D29" s="3">
        <v>14.48</v>
      </c>
      <c r="E29" s="3">
        <v>19.88</v>
      </c>
      <c r="F29" s="3">
        <v>43.67</v>
      </c>
      <c r="G29" s="3">
        <v>4409.53</v>
      </c>
    </row>
    <row r="30" spans="1:7" x14ac:dyDescent="0.45">
      <c r="A30" s="2">
        <v>45118</v>
      </c>
      <c r="B30" s="3">
        <v>428.54</v>
      </c>
      <c r="C30" s="3">
        <v>14.78</v>
      </c>
      <c r="D30" s="3">
        <v>14.48</v>
      </c>
      <c r="E30" s="3">
        <v>20.16</v>
      </c>
      <c r="F30" s="3">
        <v>43.68</v>
      </c>
      <c r="G30" s="3">
        <v>4439.26</v>
      </c>
    </row>
    <row r="31" spans="1:7" x14ac:dyDescent="0.45">
      <c r="A31" s="2">
        <v>45119</v>
      </c>
      <c r="B31" s="3">
        <v>431.75</v>
      </c>
      <c r="C31" s="3">
        <v>14.9</v>
      </c>
      <c r="D31" s="3">
        <v>14.52</v>
      </c>
      <c r="E31" s="3">
        <v>20.46</v>
      </c>
      <c r="F31" s="3">
        <v>43.72</v>
      </c>
      <c r="G31" s="3">
        <v>4472.16</v>
      </c>
    </row>
    <row r="32" spans="1:7" x14ac:dyDescent="0.45">
      <c r="A32" s="2">
        <v>45120</v>
      </c>
      <c r="B32" s="3">
        <v>435.43</v>
      </c>
      <c r="C32" s="3">
        <v>14.94</v>
      </c>
      <c r="D32" s="3">
        <v>14.7</v>
      </c>
      <c r="E32" s="3">
        <v>20.36</v>
      </c>
      <c r="F32" s="3">
        <v>43.75</v>
      </c>
      <c r="G32" s="3">
        <v>4510.04</v>
      </c>
    </row>
    <row r="33" spans="1:7" x14ac:dyDescent="0.45">
      <c r="A33" s="2">
        <v>45121</v>
      </c>
      <c r="B33" s="3">
        <v>435</v>
      </c>
      <c r="C33" s="3">
        <v>14.84</v>
      </c>
      <c r="D33" s="3">
        <v>14.7</v>
      </c>
      <c r="E33" s="3">
        <v>20.63</v>
      </c>
      <c r="F33" s="3">
        <v>43.74</v>
      </c>
      <c r="G33" s="3">
        <v>4505.42</v>
      </c>
    </row>
    <row r="34" spans="1:7" x14ac:dyDescent="0.45">
      <c r="A34" s="2">
        <v>45124</v>
      </c>
      <c r="B34" s="3">
        <v>436.62</v>
      </c>
      <c r="C34" s="3">
        <v>14.95</v>
      </c>
      <c r="D34" s="3">
        <v>14.91</v>
      </c>
      <c r="E34" s="3">
        <v>20.58</v>
      </c>
      <c r="F34" s="3">
        <v>43.74</v>
      </c>
      <c r="G34" s="3">
        <v>4522.79</v>
      </c>
    </row>
    <row r="35" spans="1:7" x14ac:dyDescent="0.45">
      <c r="A35" s="2">
        <v>45125</v>
      </c>
      <c r="B35" s="3">
        <v>439.78</v>
      </c>
      <c r="C35" s="3">
        <v>15.17</v>
      </c>
      <c r="D35" s="3">
        <v>15.12</v>
      </c>
      <c r="E35" s="3">
        <v>20.76</v>
      </c>
      <c r="F35" s="3">
        <v>43.76</v>
      </c>
      <c r="G35" s="3">
        <v>4554.9799999999996</v>
      </c>
    </row>
    <row r="36" spans="1:7" x14ac:dyDescent="0.45">
      <c r="A36" s="2">
        <v>45126</v>
      </c>
      <c r="B36" s="3">
        <v>440.59</v>
      </c>
      <c r="C36" s="3">
        <v>15.17</v>
      </c>
      <c r="D36" s="3">
        <v>15.1</v>
      </c>
      <c r="E36" s="3">
        <v>20.52</v>
      </c>
      <c r="F36" s="3">
        <v>43.78</v>
      </c>
      <c r="G36" s="3">
        <v>4565.72</v>
      </c>
    </row>
    <row r="37" spans="1:7" x14ac:dyDescent="0.45">
      <c r="A37" s="2">
        <v>45127</v>
      </c>
      <c r="B37" s="3">
        <v>437.85</v>
      </c>
      <c r="C37" s="3">
        <v>15.05</v>
      </c>
      <c r="D37" s="3">
        <v>15.01</v>
      </c>
      <c r="E37" s="3">
        <v>20.6</v>
      </c>
      <c r="F37" s="3">
        <v>43.77</v>
      </c>
      <c r="G37" s="3">
        <v>4534.87</v>
      </c>
    </row>
    <row r="38" spans="1:7" x14ac:dyDescent="0.45">
      <c r="A38" s="2">
        <v>45128</v>
      </c>
      <c r="B38" s="3">
        <v>437.84</v>
      </c>
      <c r="C38" s="3">
        <v>15.09</v>
      </c>
      <c r="D38" s="3">
        <v>15.06</v>
      </c>
      <c r="E38" s="3">
        <v>20.77</v>
      </c>
      <c r="F38" s="3">
        <v>43.76</v>
      </c>
      <c r="G38" s="3">
        <v>4536.34</v>
      </c>
    </row>
    <row r="39" spans="1:7" x14ac:dyDescent="0.45">
      <c r="A39" s="2">
        <v>45131</v>
      </c>
      <c r="B39" s="3">
        <v>439.77</v>
      </c>
      <c r="C39" s="3">
        <v>15.17</v>
      </c>
      <c r="D39" s="3">
        <v>15.17</v>
      </c>
      <c r="E39" s="3">
        <v>20.97</v>
      </c>
      <c r="F39" s="3">
        <v>43.78</v>
      </c>
      <c r="G39" s="3">
        <v>4554.6400000000003</v>
      </c>
    </row>
    <row r="40" spans="1:7" x14ac:dyDescent="0.45">
      <c r="A40" s="2">
        <v>45132</v>
      </c>
      <c r="B40" s="3">
        <v>440.96</v>
      </c>
      <c r="C40" s="3">
        <v>15.01</v>
      </c>
      <c r="D40" s="3">
        <v>15.09</v>
      </c>
      <c r="E40" s="3">
        <v>20.82</v>
      </c>
      <c r="F40" s="3">
        <v>43.79</v>
      </c>
      <c r="G40" s="3">
        <v>4567.46</v>
      </c>
    </row>
    <row r="41" spans="1:7" x14ac:dyDescent="0.45">
      <c r="A41" s="2">
        <v>45133</v>
      </c>
      <c r="B41" s="3">
        <v>441</v>
      </c>
      <c r="C41" s="3">
        <v>15.32</v>
      </c>
      <c r="D41" s="3">
        <v>15.3</v>
      </c>
      <c r="E41" s="3">
        <v>21.25</v>
      </c>
      <c r="F41" s="3">
        <v>43.81</v>
      </c>
      <c r="G41" s="3">
        <v>4566.75</v>
      </c>
    </row>
    <row r="42" spans="1:7" x14ac:dyDescent="0.45">
      <c r="A42" s="2">
        <v>45134</v>
      </c>
      <c r="B42" s="3">
        <v>438.15</v>
      </c>
      <c r="C42" s="3">
        <v>15.27</v>
      </c>
      <c r="D42" s="3">
        <v>15.18</v>
      </c>
      <c r="E42" s="3">
        <v>21.04</v>
      </c>
      <c r="F42" s="3">
        <v>43.81</v>
      </c>
      <c r="G42" s="3">
        <v>4537.41</v>
      </c>
    </row>
    <row r="43" spans="1:7" x14ac:dyDescent="0.45">
      <c r="A43" s="2">
        <v>45135</v>
      </c>
      <c r="B43" s="3">
        <v>442.29</v>
      </c>
      <c r="C43" s="3">
        <v>15.12</v>
      </c>
      <c r="D43" s="3">
        <v>15.23</v>
      </c>
      <c r="E43" s="3">
        <v>21.29</v>
      </c>
      <c r="F43" s="3">
        <v>43.82</v>
      </c>
      <c r="G43" s="3">
        <v>4582.2299999999996</v>
      </c>
    </row>
    <row r="44" spans="1:7" x14ac:dyDescent="0.45">
      <c r="A44" s="2">
        <v>45138</v>
      </c>
      <c r="B44" s="3">
        <v>443.21</v>
      </c>
      <c r="C44" s="3">
        <v>15.15</v>
      </c>
      <c r="D44" s="3">
        <v>15.25</v>
      </c>
      <c r="E44" s="3">
        <v>21.2</v>
      </c>
      <c r="F44" s="3">
        <v>43.84</v>
      </c>
      <c r="G44" s="3">
        <v>4588.96</v>
      </c>
    </row>
    <row r="45" spans="1:7" x14ac:dyDescent="0.45">
      <c r="A45" s="2">
        <v>45139</v>
      </c>
      <c r="B45" s="3">
        <v>441.98</v>
      </c>
      <c r="C45" s="3">
        <v>15.1</v>
      </c>
      <c r="D45" s="3">
        <v>15.36</v>
      </c>
      <c r="E45" s="3">
        <v>21.08</v>
      </c>
      <c r="F45" s="3">
        <v>43.84</v>
      </c>
      <c r="G45" s="3">
        <v>4576.7299999999996</v>
      </c>
    </row>
    <row r="46" spans="1:7" x14ac:dyDescent="0.45">
      <c r="A46" s="2">
        <v>45140</v>
      </c>
      <c r="B46" s="3">
        <v>435.81</v>
      </c>
      <c r="C46" s="3">
        <v>14.98</v>
      </c>
      <c r="D46" s="3">
        <v>15.34</v>
      </c>
      <c r="E46" s="3">
        <v>20.91</v>
      </c>
      <c r="F46" s="3">
        <v>43.86</v>
      </c>
      <c r="G46" s="3">
        <v>4513.3900000000003</v>
      </c>
    </row>
    <row r="47" spans="1:7" x14ac:dyDescent="0.45">
      <c r="A47" s="2">
        <v>45141</v>
      </c>
      <c r="B47" s="3">
        <v>434.55</v>
      </c>
      <c r="C47" s="3">
        <v>15.08</v>
      </c>
      <c r="D47" s="3">
        <v>15.37</v>
      </c>
      <c r="E47" s="3">
        <v>20.7</v>
      </c>
      <c r="F47" s="3">
        <v>43.87</v>
      </c>
      <c r="G47" s="3">
        <v>4501.8900000000003</v>
      </c>
    </row>
    <row r="48" spans="1:7" x14ac:dyDescent="0.45">
      <c r="A48" s="2">
        <v>45142</v>
      </c>
      <c r="B48" s="3">
        <v>432.53</v>
      </c>
      <c r="C48" s="3">
        <v>15.12</v>
      </c>
      <c r="D48" s="3">
        <v>16.03</v>
      </c>
      <c r="E48" s="3">
        <v>21.08</v>
      </c>
      <c r="F48" s="3">
        <v>43.89</v>
      </c>
      <c r="G48" s="3">
        <v>4478.03</v>
      </c>
    </row>
    <row r="49" spans="1:7" x14ac:dyDescent="0.45">
      <c r="A49" s="2">
        <v>45145</v>
      </c>
      <c r="B49" s="3">
        <v>436.36</v>
      </c>
      <c r="C49" s="3">
        <v>15.17</v>
      </c>
      <c r="D49" s="3">
        <v>15.77</v>
      </c>
      <c r="E49" s="3">
        <v>21.11</v>
      </c>
      <c r="F49" s="3">
        <v>43.9</v>
      </c>
      <c r="G49" s="3">
        <v>4518.4399999999996</v>
      </c>
    </row>
    <row r="50" spans="1:7" x14ac:dyDescent="0.45">
      <c r="A50" s="2">
        <v>45146</v>
      </c>
      <c r="B50" s="3">
        <v>434.53</v>
      </c>
      <c r="C50" s="3">
        <v>15.18</v>
      </c>
      <c r="D50" s="3">
        <v>15.72</v>
      </c>
      <c r="E50" s="3">
        <v>21.17</v>
      </c>
      <c r="F50" s="3">
        <v>43.91</v>
      </c>
      <c r="G50" s="3">
        <v>4499.38</v>
      </c>
    </row>
    <row r="51" spans="1:7" x14ac:dyDescent="0.45">
      <c r="A51" s="2">
        <v>45147</v>
      </c>
      <c r="B51" s="3">
        <v>431.59</v>
      </c>
      <c r="C51" s="3">
        <v>15.12</v>
      </c>
      <c r="D51" s="3">
        <v>15.64</v>
      </c>
      <c r="E51" s="3">
        <v>21.45</v>
      </c>
      <c r="F51" s="3">
        <v>43.91</v>
      </c>
      <c r="G51" s="3">
        <v>4467.71</v>
      </c>
    </row>
    <row r="52" spans="1:7" x14ac:dyDescent="0.45">
      <c r="A52" s="2">
        <v>45148</v>
      </c>
      <c r="B52" s="3">
        <v>431.78</v>
      </c>
      <c r="C52" s="3">
        <v>15.12</v>
      </c>
      <c r="D52" s="3">
        <v>15.55</v>
      </c>
      <c r="E52" s="3">
        <v>20.2</v>
      </c>
      <c r="F52" s="3">
        <v>43.91</v>
      </c>
      <c r="G52" s="3">
        <v>4468.83</v>
      </c>
    </row>
    <row r="53" spans="1:7" x14ac:dyDescent="0.45">
      <c r="A53" s="2">
        <v>45149</v>
      </c>
      <c r="B53" s="3">
        <v>431.52</v>
      </c>
      <c r="C53" s="3">
        <v>15.11</v>
      </c>
      <c r="D53" s="3">
        <v>15.57</v>
      </c>
      <c r="E53" s="3">
        <v>20.28</v>
      </c>
      <c r="F53" s="3">
        <v>43.92</v>
      </c>
      <c r="G53" s="3">
        <v>4464.05</v>
      </c>
    </row>
    <row r="54" spans="1:7" x14ac:dyDescent="0.45">
      <c r="A54" s="2">
        <v>45152</v>
      </c>
      <c r="B54" s="3">
        <v>433.83</v>
      </c>
      <c r="C54" s="3">
        <v>15.11</v>
      </c>
      <c r="D54" s="3">
        <v>15.66</v>
      </c>
      <c r="E54" s="3">
        <v>20.36</v>
      </c>
      <c r="F54" s="3">
        <v>43.92</v>
      </c>
      <c r="G54" s="3">
        <v>4489.72</v>
      </c>
    </row>
    <row r="55" spans="1:7" x14ac:dyDescent="0.45">
      <c r="A55" s="2">
        <v>45153</v>
      </c>
      <c r="B55" s="3">
        <v>428.92</v>
      </c>
      <c r="C55" s="3">
        <v>14.96</v>
      </c>
      <c r="D55" s="3">
        <v>15.55</v>
      </c>
      <c r="E55" s="3">
        <v>20.29</v>
      </c>
      <c r="F55" s="3">
        <v>43.93</v>
      </c>
      <c r="G55" s="3">
        <v>4437.8599999999997</v>
      </c>
    </row>
    <row r="56" spans="1:7" x14ac:dyDescent="0.45">
      <c r="A56" s="2">
        <v>45154</v>
      </c>
      <c r="B56" s="3">
        <v>425.71</v>
      </c>
      <c r="C56" s="3">
        <v>14.93</v>
      </c>
      <c r="D56" s="3">
        <v>15.5</v>
      </c>
      <c r="E56" s="3">
        <v>20.46</v>
      </c>
      <c r="F56" s="3">
        <v>43.92</v>
      </c>
      <c r="G56" s="3">
        <v>4404.33</v>
      </c>
    </row>
    <row r="57" spans="1:7" x14ac:dyDescent="0.45">
      <c r="A57" s="2">
        <v>45155</v>
      </c>
      <c r="B57" s="3">
        <v>422.44</v>
      </c>
      <c r="C57" s="3">
        <v>14.81</v>
      </c>
      <c r="D57" s="3">
        <v>15.26</v>
      </c>
      <c r="E57" s="3">
        <v>20.2</v>
      </c>
      <c r="F57" s="3">
        <v>43.93</v>
      </c>
      <c r="G57" s="3">
        <v>4370.3599999999997</v>
      </c>
    </row>
    <row r="58" spans="1:7" x14ac:dyDescent="0.45">
      <c r="A58" s="2">
        <v>45156</v>
      </c>
      <c r="B58" s="3">
        <v>422.52</v>
      </c>
      <c r="C58" s="3">
        <v>14.91</v>
      </c>
      <c r="D58" s="3">
        <v>15.42</v>
      </c>
      <c r="E58" s="3">
        <v>20.29</v>
      </c>
      <c r="F58" s="3">
        <v>43.95</v>
      </c>
      <c r="G58" s="3">
        <v>4369.71</v>
      </c>
    </row>
    <row r="59" spans="1:7" x14ac:dyDescent="0.45">
      <c r="A59" s="2">
        <v>45159</v>
      </c>
      <c r="B59" s="3">
        <v>425.37</v>
      </c>
      <c r="C59" s="3">
        <v>14.91</v>
      </c>
      <c r="D59" s="3">
        <v>15.4</v>
      </c>
      <c r="E59" s="3">
        <v>20.29</v>
      </c>
      <c r="F59" s="3">
        <v>43.94</v>
      </c>
      <c r="G59" s="3">
        <v>4399.7700000000004</v>
      </c>
    </row>
    <row r="60" spans="1:7" x14ac:dyDescent="0.45">
      <c r="A60" s="2">
        <v>45160</v>
      </c>
      <c r="B60" s="3">
        <v>424.15</v>
      </c>
      <c r="C60" s="3">
        <v>14.74</v>
      </c>
      <c r="D60" s="3">
        <v>15.27</v>
      </c>
      <c r="E60" s="3">
        <v>20.079999999999998</v>
      </c>
      <c r="F60" s="3">
        <v>43.95</v>
      </c>
      <c r="G60" s="3">
        <v>4387.55</v>
      </c>
    </row>
    <row r="61" spans="1:7" x14ac:dyDescent="0.45">
      <c r="A61" s="2">
        <v>45161</v>
      </c>
      <c r="B61" s="3">
        <v>428.83</v>
      </c>
      <c r="C61" s="3">
        <v>14.83</v>
      </c>
      <c r="D61" s="3">
        <v>15.27</v>
      </c>
      <c r="E61" s="3">
        <v>20.25</v>
      </c>
      <c r="F61" s="3">
        <v>43.98</v>
      </c>
      <c r="G61" s="3">
        <v>4436.01</v>
      </c>
    </row>
    <row r="62" spans="1:7" x14ac:dyDescent="0.45">
      <c r="A62" s="2">
        <v>45162</v>
      </c>
      <c r="B62" s="3">
        <v>423.07</v>
      </c>
      <c r="C62" s="3">
        <v>14.85</v>
      </c>
      <c r="D62" s="3">
        <v>15.33</v>
      </c>
      <c r="E62" s="3">
        <v>20.22</v>
      </c>
      <c r="F62" s="3">
        <v>43.98</v>
      </c>
      <c r="G62" s="3">
        <v>4376.3100000000004</v>
      </c>
    </row>
    <row r="63" spans="1:7" x14ac:dyDescent="0.45">
      <c r="A63" s="2">
        <v>45163</v>
      </c>
      <c r="B63" s="3">
        <v>426.1</v>
      </c>
      <c r="C63" s="3">
        <v>14.88</v>
      </c>
      <c r="D63" s="3">
        <v>15.35</v>
      </c>
      <c r="E63" s="3">
        <v>20.260000000000002</v>
      </c>
      <c r="F63" s="3">
        <v>43.99</v>
      </c>
      <c r="G63" s="3">
        <v>4405.71</v>
      </c>
    </row>
    <row r="64" spans="1:7" x14ac:dyDescent="0.45">
      <c r="A64" s="2">
        <v>45166</v>
      </c>
      <c r="B64" s="3">
        <v>428.67</v>
      </c>
      <c r="C64" s="3">
        <v>14.97</v>
      </c>
      <c r="D64" s="3">
        <v>15.42</v>
      </c>
      <c r="E64" s="3">
        <v>20.47</v>
      </c>
      <c r="F64" s="3">
        <v>44</v>
      </c>
      <c r="G64" s="3">
        <v>4433.3100000000004</v>
      </c>
    </row>
    <row r="65" spans="1:7" x14ac:dyDescent="0.45">
      <c r="A65" s="2">
        <v>45167</v>
      </c>
      <c r="B65" s="3">
        <v>434.86</v>
      </c>
      <c r="C65" s="3">
        <v>15.01</v>
      </c>
      <c r="D65" s="3">
        <v>15.45</v>
      </c>
      <c r="E65" s="3">
        <v>20.6</v>
      </c>
      <c r="F65" s="3">
        <v>44.03</v>
      </c>
      <c r="G65" s="3">
        <v>4497.63</v>
      </c>
    </row>
    <row r="66" spans="1:7" x14ac:dyDescent="0.45">
      <c r="A66" s="2">
        <v>45168</v>
      </c>
      <c r="B66" s="3">
        <v>436.77</v>
      </c>
      <c r="C66" s="3">
        <v>15.04</v>
      </c>
      <c r="D66" s="3">
        <v>15.51</v>
      </c>
      <c r="E66" s="3">
        <v>20.54</v>
      </c>
      <c r="F66" s="3">
        <v>44.04</v>
      </c>
      <c r="G66" s="3">
        <v>4514.87</v>
      </c>
    </row>
    <row r="67" spans="1:7" x14ac:dyDescent="0.45">
      <c r="A67" s="2">
        <v>45169</v>
      </c>
      <c r="B67" s="3">
        <v>436</v>
      </c>
      <c r="C67" s="3">
        <v>15.07</v>
      </c>
      <c r="D67" s="3">
        <v>15.51</v>
      </c>
      <c r="E67" s="3">
        <v>20.72</v>
      </c>
      <c r="F67" s="3">
        <v>44.06</v>
      </c>
      <c r="G67" s="3">
        <v>4507.66</v>
      </c>
    </row>
    <row r="68" spans="1:7" x14ac:dyDescent="0.45">
      <c r="A68" s="2">
        <v>45170</v>
      </c>
      <c r="B68" s="3">
        <v>436.92</v>
      </c>
      <c r="C68" s="3">
        <v>15.08</v>
      </c>
      <c r="D68" s="3">
        <v>15.59</v>
      </c>
      <c r="E68" s="3">
        <v>20.9</v>
      </c>
      <c r="F68" s="3">
        <v>44.07</v>
      </c>
      <c r="G68" s="3">
        <v>4515.7700000000004</v>
      </c>
    </row>
    <row r="69" spans="1:7" x14ac:dyDescent="0.45">
      <c r="A69" s="2">
        <v>45174</v>
      </c>
      <c r="B69" s="3">
        <v>435.05</v>
      </c>
      <c r="C69" s="3">
        <v>14.98</v>
      </c>
      <c r="D69" s="3">
        <v>15.43</v>
      </c>
      <c r="E69" s="3">
        <v>20.41</v>
      </c>
      <c r="F69" s="3">
        <v>44.05</v>
      </c>
      <c r="G69" s="3">
        <v>4496.83</v>
      </c>
    </row>
    <row r="70" spans="1:7" x14ac:dyDescent="0.45">
      <c r="A70" s="2">
        <v>45175</v>
      </c>
      <c r="B70" s="3">
        <v>432.02</v>
      </c>
      <c r="C70" s="3">
        <v>14.84</v>
      </c>
      <c r="D70" s="3">
        <v>15.28</v>
      </c>
      <c r="E70" s="3">
        <v>20.23</v>
      </c>
      <c r="F70" s="3">
        <v>44.07</v>
      </c>
      <c r="G70" s="3">
        <v>4465.4799999999996</v>
      </c>
    </row>
    <row r="71" spans="1:7" x14ac:dyDescent="0.45">
      <c r="A71" s="2">
        <v>45176</v>
      </c>
      <c r="B71" s="3">
        <v>430.83</v>
      </c>
      <c r="C71" s="3">
        <v>15.01</v>
      </c>
      <c r="D71" s="3">
        <v>15.42</v>
      </c>
      <c r="E71" s="3">
        <v>20.309999999999999</v>
      </c>
      <c r="F71" s="3">
        <v>44.09</v>
      </c>
      <c r="G71" s="3">
        <v>4451.1400000000003</v>
      </c>
    </row>
    <row r="72" spans="1:7" x14ac:dyDescent="0.45">
      <c r="A72" s="2">
        <v>45177</v>
      </c>
      <c r="B72" s="3">
        <v>431.36</v>
      </c>
      <c r="C72" s="3">
        <v>15.13</v>
      </c>
      <c r="D72" s="3">
        <v>15.53</v>
      </c>
      <c r="E72" s="3">
        <v>20.5</v>
      </c>
      <c r="F72" s="3">
        <v>44.09</v>
      </c>
      <c r="G72" s="3">
        <v>4457.49</v>
      </c>
    </row>
    <row r="73" spans="1:7" x14ac:dyDescent="0.45">
      <c r="A73" s="2">
        <v>45180</v>
      </c>
      <c r="B73" s="3">
        <v>434.28</v>
      </c>
      <c r="C73" s="3">
        <v>15.16</v>
      </c>
      <c r="D73" s="3">
        <v>15.76</v>
      </c>
      <c r="E73" s="3">
        <v>20.65</v>
      </c>
      <c r="F73" s="3">
        <v>44.08</v>
      </c>
      <c r="G73" s="3">
        <v>4487.46</v>
      </c>
    </row>
    <row r="74" spans="1:7" x14ac:dyDescent="0.45">
      <c r="A74" s="2">
        <v>45181</v>
      </c>
      <c r="B74" s="3">
        <v>431.93</v>
      </c>
      <c r="C74" s="3">
        <v>15.17</v>
      </c>
      <c r="D74" s="3">
        <v>15.76</v>
      </c>
      <c r="E74" s="3">
        <v>20.74</v>
      </c>
      <c r="F74" s="3">
        <v>44.1</v>
      </c>
      <c r="G74" s="3">
        <v>4461.8999999999996</v>
      </c>
    </row>
    <row r="75" spans="1:7" x14ac:dyDescent="0.45">
      <c r="A75" s="2">
        <v>45182</v>
      </c>
      <c r="B75" s="3">
        <v>432.33</v>
      </c>
      <c r="C75" s="3">
        <v>15.27</v>
      </c>
      <c r="D75" s="3">
        <v>15.81</v>
      </c>
      <c r="E75" s="3">
        <v>20.87</v>
      </c>
      <c r="F75" s="3">
        <v>44.12</v>
      </c>
      <c r="G75" s="3">
        <v>4467.4399999999996</v>
      </c>
    </row>
    <row r="76" spans="1:7" x14ac:dyDescent="0.45">
      <c r="A76" s="2">
        <v>45183</v>
      </c>
      <c r="B76" s="3">
        <v>436.19</v>
      </c>
      <c r="C76" s="3">
        <v>15.29</v>
      </c>
      <c r="D76" s="3">
        <v>15.86</v>
      </c>
      <c r="E76" s="3">
        <v>20.93</v>
      </c>
      <c r="F76" s="3">
        <v>44.13</v>
      </c>
      <c r="G76" s="3">
        <v>4505.1000000000004</v>
      </c>
    </row>
    <row r="77" spans="1:7" x14ac:dyDescent="0.45">
      <c r="A77" s="2">
        <v>45184</v>
      </c>
      <c r="B77" s="3">
        <v>430.57</v>
      </c>
      <c r="C77" s="3">
        <v>15.27</v>
      </c>
      <c r="D77" s="3">
        <v>15.98</v>
      </c>
      <c r="E77" s="3">
        <v>20.9</v>
      </c>
      <c r="F77" s="3">
        <v>44.13</v>
      </c>
      <c r="G77" s="3">
        <v>4450.32</v>
      </c>
    </row>
    <row r="78" spans="1:7" x14ac:dyDescent="0.45">
      <c r="A78" s="2">
        <v>45187</v>
      </c>
      <c r="B78" s="3">
        <v>431.31</v>
      </c>
      <c r="C78" s="3">
        <v>15.31</v>
      </c>
      <c r="D78" s="3">
        <v>15.95</v>
      </c>
      <c r="E78" s="3">
        <v>21.04</v>
      </c>
      <c r="F78" s="3">
        <v>44.13</v>
      </c>
      <c r="G78" s="3">
        <v>4453.53</v>
      </c>
    </row>
    <row r="79" spans="1:7" x14ac:dyDescent="0.45">
      <c r="A79" s="2">
        <v>45188</v>
      </c>
      <c r="B79" s="3">
        <v>430.35</v>
      </c>
      <c r="C79" s="3">
        <v>15.33</v>
      </c>
      <c r="D79" s="3">
        <v>16.03</v>
      </c>
      <c r="E79" s="3">
        <v>21.08</v>
      </c>
      <c r="F79" s="3">
        <v>44.15</v>
      </c>
      <c r="G79" s="3">
        <v>4443.95</v>
      </c>
    </row>
    <row r="80" spans="1:7" x14ac:dyDescent="0.45">
      <c r="A80" s="2">
        <v>45189</v>
      </c>
      <c r="B80" s="3">
        <v>426.27</v>
      </c>
      <c r="C80" s="3">
        <v>15.3</v>
      </c>
      <c r="D80" s="3">
        <v>16</v>
      </c>
      <c r="E80" s="3">
        <v>21.14</v>
      </c>
      <c r="F80" s="3">
        <v>44.14</v>
      </c>
      <c r="G80" s="3">
        <v>4402.2</v>
      </c>
    </row>
    <row r="81" spans="1:7" x14ac:dyDescent="0.45">
      <c r="A81" s="2">
        <v>45190</v>
      </c>
      <c r="B81" s="3">
        <v>419.29</v>
      </c>
      <c r="C81" s="3">
        <v>15.11</v>
      </c>
      <c r="D81" s="3">
        <v>15.81</v>
      </c>
      <c r="E81" s="3">
        <v>20.65</v>
      </c>
      <c r="F81" s="3">
        <v>44.16</v>
      </c>
      <c r="G81" s="3">
        <v>4330</v>
      </c>
    </row>
    <row r="82" spans="1:7" x14ac:dyDescent="0.45">
      <c r="A82" s="2">
        <v>45191</v>
      </c>
      <c r="B82" s="3">
        <v>418.29</v>
      </c>
      <c r="C82" s="3">
        <v>15.23</v>
      </c>
      <c r="D82" s="3">
        <v>15.96</v>
      </c>
      <c r="E82" s="3">
        <v>20.87</v>
      </c>
      <c r="F82" s="3">
        <v>44.18</v>
      </c>
      <c r="G82" s="3">
        <v>4320.0600000000004</v>
      </c>
    </row>
    <row r="83" spans="1:7" x14ac:dyDescent="0.45">
      <c r="A83" s="2">
        <v>45194</v>
      </c>
      <c r="B83" s="3">
        <v>420.02</v>
      </c>
      <c r="C83" s="3">
        <v>15.47</v>
      </c>
      <c r="D83" s="3">
        <v>16.07</v>
      </c>
      <c r="E83" s="3">
        <v>21.04</v>
      </c>
      <c r="F83" s="3">
        <v>44.18</v>
      </c>
      <c r="G83" s="3">
        <v>4337.4399999999996</v>
      </c>
    </row>
    <row r="84" spans="1:7" x14ac:dyDescent="0.45">
      <c r="A84" s="2">
        <v>45195</v>
      </c>
      <c r="B84" s="3">
        <v>413.87</v>
      </c>
      <c r="C84" s="3">
        <v>15.23</v>
      </c>
      <c r="D84" s="3">
        <v>15.84</v>
      </c>
      <c r="E84" s="3">
        <v>20.95</v>
      </c>
      <c r="F84" s="3">
        <v>44.18</v>
      </c>
      <c r="G84" s="3">
        <v>4273.53</v>
      </c>
    </row>
    <row r="85" spans="1:7" x14ac:dyDescent="0.45">
      <c r="A85" s="2">
        <v>45196</v>
      </c>
      <c r="B85" s="3">
        <v>413.98</v>
      </c>
      <c r="C85" s="3">
        <v>15.39</v>
      </c>
      <c r="D85" s="3">
        <v>15.93</v>
      </c>
      <c r="E85" s="3">
        <v>20.8</v>
      </c>
      <c r="F85" s="3">
        <v>44.18</v>
      </c>
      <c r="G85" s="3">
        <v>4274.51</v>
      </c>
    </row>
    <row r="86" spans="1:7" x14ac:dyDescent="0.45">
      <c r="A86" s="2">
        <v>45197</v>
      </c>
      <c r="B86" s="3">
        <v>416.4</v>
      </c>
      <c r="C86" s="3">
        <v>15.56</v>
      </c>
      <c r="D86" s="3">
        <v>16.14</v>
      </c>
      <c r="E86" s="3">
        <v>21.13</v>
      </c>
      <c r="F86" s="3">
        <v>44.21</v>
      </c>
      <c r="G86" s="3">
        <v>4299.7</v>
      </c>
    </row>
    <row r="87" spans="1:7" x14ac:dyDescent="0.45">
      <c r="A87" s="2">
        <v>45198</v>
      </c>
      <c r="B87" s="3">
        <v>415.49</v>
      </c>
      <c r="C87" s="3">
        <v>15.42</v>
      </c>
      <c r="D87" s="3">
        <v>16.079999999999998</v>
      </c>
      <c r="E87" s="3">
        <v>20.98</v>
      </c>
      <c r="F87" s="3">
        <v>44.19</v>
      </c>
      <c r="G87" s="3">
        <v>4288.05</v>
      </c>
    </row>
    <row r="88" spans="1:7" x14ac:dyDescent="0.45">
      <c r="A88" s="2">
        <v>45201</v>
      </c>
      <c r="B88" s="3">
        <v>415.34</v>
      </c>
      <c r="C88" s="3">
        <v>15.19</v>
      </c>
      <c r="D88" s="3">
        <v>15.77</v>
      </c>
      <c r="E88" s="3">
        <v>20.38</v>
      </c>
      <c r="F88" s="3">
        <v>44.2</v>
      </c>
      <c r="G88" s="3">
        <v>4288.3900000000003</v>
      </c>
    </row>
    <row r="89" spans="1:7" x14ac:dyDescent="0.45">
      <c r="A89" s="2">
        <v>45202</v>
      </c>
      <c r="B89" s="3">
        <v>409.81</v>
      </c>
      <c r="C89" s="3">
        <v>14.88</v>
      </c>
      <c r="D89" s="3">
        <v>15.5</v>
      </c>
      <c r="E89" s="3">
        <v>20.079999999999998</v>
      </c>
      <c r="F89" s="3">
        <v>44.19</v>
      </c>
      <c r="G89" s="3">
        <v>4229.45</v>
      </c>
    </row>
    <row r="90" spans="1:7" x14ac:dyDescent="0.45">
      <c r="A90" s="2">
        <v>45203</v>
      </c>
      <c r="B90" s="3">
        <v>412.71</v>
      </c>
      <c r="C90" s="3">
        <v>14.85</v>
      </c>
      <c r="D90" s="3">
        <v>15.59</v>
      </c>
      <c r="E90" s="3">
        <v>19.98</v>
      </c>
      <c r="F90" s="3">
        <v>44.24</v>
      </c>
      <c r="G90" s="3">
        <v>4263.75</v>
      </c>
    </row>
    <row r="91" spans="1:7" x14ac:dyDescent="0.45">
      <c r="A91" s="2">
        <v>45204</v>
      </c>
      <c r="B91" s="3">
        <v>412.52</v>
      </c>
      <c r="C91" s="3">
        <v>14.96</v>
      </c>
      <c r="D91" s="3">
        <v>15.58</v>
      </c>
      <c r="E91" s="3">
        <v>20.170000000000002</v>
      </c>
      <c r="F91" s="3">
        <v>44.26</v>
      </c>
      <c r="G91" s="3">
        <v>4258.1899999999996</v>
      </c>
    </row>
    <row r="92" spans="1:7" x14ac:dyDescent="0.45">
      <c r="A92" s="2">
        <v>45205</v>
      </c>
      <c r="B92" s="3">
        <v>417.36</v>
      </c>
      <c r="C92" s="3">
        <v>15.02</v>
      </c>
      <c r="D92" s="3">
        <v>15.69</v>
      </c>
      <c r="E92" s="3">
        <v>20.03</v>
      </c>
      <c r="F92" s="3">
        <v>44.24</v>
      </c>
      <c r="G92" s="3">
        <v>4308.5</v>
      </c>
    </row>
    <row r="93" spans="1:7" x14ac:dyDescent="0.45">
      <c r="A93" s="2">
        <v>45208</v>
      </c>
      <c r="B93" s="3">
        <v>420.11</v>
      </c>
      <c r="C93" s="3">
        <v>15.2</v>
      </c>
      <c r="D93" s="3">
        <v>15.76</v>
      </c>
      <c r="E93" s="3">
        <v>20.260000000000002</v>
      </c>
      <c r="F93" s="3">
        <v>44.28</v>
      </c>
      <c r="G93" s="3">
        <v>4335.6601600000004</v>
      </c>
    </row>
    <row r="94" spans="1:7" x14ac:dyDescent="0.45">
      <c r="A94" s="2">
        <v>45209</v>
      </c>
      <c r="B94" s="3">
        <v>422.31</v>
      </c>
      <c r="C94" s="3">
        <v>15.23</v>
      </c>
      <c r="D94" s="3">
        <v>15.73</v>
      </c>
      <c r="E94" s="3">
        <v>20.46</v>
      </c>
      <c r="F94" s="3">
        <v>44.28</v>
      </c>
      <c r="G94" s="3">
        <v>4358.2402300000003</v>
      </c>
    </row>
    <row r="95" spans="1:7" x14ac:dyDescent="0.45">
      <c r="A95" s="2">
        <v>45210</v>
      </c>
      <c r="B95" s="3">
        <v>424.1</v>
      </c>
      <c r="C95" s="3">
        <v>15.3</v>
      </c>
      <c r="D95" s="3">
        <v>15.81</v>
      </c>
      <c r="E95" s="3">
        <v>20.43</v>
      </c>
      <c r="F95" s="3">
        <v>44.28</v>
      </c>
      <c r="G95" s="3">
        <v>4376.9502000000002</v>
      </c>
    </row>
    <row r="96" spans="1:7" x14ac:dyDescent="0.45">
      <c r="A96" s="2">
        <v>45211</v>
      </c>
      <c r="B96" s="3">
        <v>421.55</v>
      </c>
      <c r="C96" s="3">
        <v>15.1</v>
      </c>
      <c r="D96" s="3">
        <v>15.67</v>
      </c>
      <c r="E96" s="3">
        <v>20.43</v>
      </c>
      <c r="F96" s="3">
        <v>44.28</v>
      </c>
      <c r="G96" s="3">
        <v>4349.6098599999996</v>
      </c>
    </row>
    <row r="97" spans="1:7" x14ac:dyDescent="0.45">
      <c r="A97" s="2">
        <v>45212</v>
      </c>
      <c r="B97" s="3">
        <v>419.34</v>
      </c>
      <c r="C97" s="3">
        <v>15.08</v>
      </c>
      <c r="D97" s="3">
        <v>15.72</v>
      </c>
      <c r="E97" s="3">
        <v>20.52</v>
      </c>
      <c r="F97" s="3">
        <v>44.29</v>
      </c>
      <c r="G97" s="3">
        <v>4327.7797899999996</v>
      </c>
    </row>
    <row r="98" spans="1:7" x14ac:dyDescent="0.45">
      <c r="A98" s="2">
        <v>45215</v>
      </c>
      <c r="B98" s="3">
        <v>423.7</v>
      </c>
      <c r="C98" s="3">
        <v>15.43</v>
      </c>
      <c r="D98" s="3">
        <v>15.92</v>
      </c>
      <c r="E98" s="3">
        <v>20.92</v>
      </c>
      <c r="F98" s="3">
        <v>44.3</v>
      </c>
      <c r="G98" s="3">
        <v>4373.6298800000004</v>
      </c>
    </row>
    <row r="99" spans="1:7" x14ac:dyDescent="0.45">
      <c r="A99" s="2">
        <v>45216</v>
      </c>
      <c r="B99" s="3">
        <v>423.83</v>
      </c>
      <c r="C99" s="3">
        <v>15.45</v>
      </c>
      <c r="D99" s="3">
        <v>15.84</v>
      </c>
      <c r="E99" s="3">
        <v>21.08</v>
      </c>
      <c r="F99" s="3">
        <v>44.29</v>
      </c>
      <c r="G99" s="3">
        <v>4373.2002000000002</v>
      </c>
    </row>
    <row r="100" spans="1:7" x14ac:dyDescent="0.45">
      <c r="A100" s="2">
        <v>45217</v>
      </c>
      <c r="B100" s="3">
        <v>418.27</v>
      </c>
      <c r="C100" s="3">
        <v>15.24</v>
      </c>
      <c r="D100" s="3">
        <v>15.59</v>
      </c>
      <c r="E100" s="3">
        <v>20.95</v>
      </c>
      <c r="F100" s="3">
        <v>44.29</v>
      </c>
      <c r="G100" s="3">
        <v>4314.6000999999997</v>
      </c>
    </row>
    <row r="101" spans="1:7" x14ac:dyDescent="0.45">
      <c r="A101" s="2">
        <v>45218</v>
      </c>
      <c r="B101" s="3">
        <v>414.48</v>
      </c>
      <c r="C101" s="3">
        <v>14.99</v>
      </c>
      <c r="D101" s="3">
        <v>15.44</v>
      </c>
      <c r="E101" s="3">
        <v>20.59</v>
      </c>
      <c r="F101" s="3">
        <v>44.31</v>
      </c>
      <c r="G101" s="3">
        <v>4278</v>
      </c>
    </row>
    <row r="102" spans="1:7" x14ac:dyDescent="0.45">
      <c r="A102" s="2">
        <v>45219</v>
      </c>
      <c r="B102" s="3">
        <v>409.38</v>
      </c>
      <c r="C102" s="3">
        <v>14.89</v>
      </c>
      <c r="D102" s="3">
        <v>15.36</v>
      </c>
      <c r="E102" s="3">
        <v>20.420000000000002</v>
      </c>
      <c r="F102" s="3">
        <v>44.35</v>
      </c>
      <c r="G102" s="3">
        <v>4224.1601600000004</v>
      </c>
    </row>
    <row r="103" spans="1:7" x14ac:dyDescent="0.45">
      <c r="A103" s="2">
        <v>45222</v>
      </c>
      <c r="B103" s="3">
        <v>408.67</v>
      </c>
      <c r="C103" s="3">
        <v>14.9</v>
      </c>
      <c r="D103" s="3">
        <v>15.22</v>
      </c>
      <c r="E103" s="3">
        <v>20.71</v>
      </c>
      <c r="F103" s="3">
        <v>44.36</v>
      </c>
      <c r="G103" s="3">
        <v>4217.0400399999999</v>
      </c>
    </row>
    <row r="104" spans="1:7" x14ac:dyDescent="0.45">
      <c r="A104" s="2">
        <v>45223</v>
      </c>
      <c r="B104" s="3">
        <v>411.74</v>
      </c>
      <c r="C104" s="3">
        <v>15.04</v>
      </c>
      <c r="D104" s="3">
        <v>15.29</v>
      </c>
      <c r="E104" s="3">
        <v>20.95</v>
      </c>
      <c r="F104" s="3">
        <v>44.38</v>
      </c>
      <c r="G104" s="3">
        <v>4247.6801800000003</v>
      </c>
    </row>
    <row r="105" spans="1:7" x14ac:dyDescent="0.45">
      <c r="A105" s="2">
        <v>45224</v>
      </c>
      <c r="B105" s="3">
        <v>405.89</v>
      </c>
      <c r="C105" s="3">
        <v>14.97</v>
      </c>
      <c r="D105" s="3">
        <v>15.15</v>
      </c>
      <c r="E105" s="3">
        <v>20.73</v>
      </c>
      <c r="F105" s="3">
        <v>44.36</v>
      </c>
      <c r="G105" s="3">
        <v>4186.7700199999999</v>
      </c>
    </row>
    <row r="106" spans="1:7" x14ac:dyDescent="0.45">
      <c r="A106" s="2">
        <v>45225</v>
      </c>
      <c r="B106" s="3">
        <v>400.99</v>
      </c>
      <c r="C106" s="3">
        <v>14.96</v>
      </c>
      <c r="D106" s="3">
        <v>15.19</v>
      </c>
      <c r="E106" s="3">
        <v>20.98</v>
      </c>
      <c r="F106" s="3">
        <v>44.38</v>
      </c>
      <c r="G106" s="3">
        <v>4137.2299800000001</v>
      </c>
    </row>
    <row r="107" spans="1:7" x14ac:dyDescent="0.45">
      <c r="A107" s="2">
        <v>45226</v>
      </c>
      <c r="B107" s="3">
        <v>399.15</v>
      </c>
      <c r="C107" s="3">
        <v>14.78</v>
      </c>
      <c r="D107" s="3">
        <v>14.99</v>
      </c>
      <c r="E107" s="3">
        <v>20.75</v>
      </c>
      <c r="F107" s="3">
        <v>44.41</v>
      </c>
      <c r="G107" s="3">
        <v>4117.3701199999996</v>
      </c>
    </row>
    <row r="108" spans="1:7" x14ac:dyDescent="0.45">
      <c r="A108" s="2">
        <v>45229</v>
      </c>
      <c r="B108" s="3">
        <v>403.9</v>
      </c>
      <c r="C108" s="3">
        <v>15.04</v>
      </c>
      <c r="D108" s="3">
        <v>15.22</v>
      </c>
      <c r="E108" s="3">
        <v>20.97</v>
      </c>
      <c r="F108" s="3">
        <v>44.4</v>
      </c>
      <c r="G108" s="3">
        <v>4166.8198199999997</v>
      </c>
    </row>
    <row r="109" spans="1:7" x14ac:dyDescent="0.45">
      <c r="A109" s="2">
        <v>45230</v>
      </c>
      <c r="B109" s="3">
        <v>406.3</v>
      </c>
      <c r="C109" s="3">
        <v>15.02</v>
      </c>
      <c r="D109" s="3">
        <v>15.27</v>
      </c>
      <c r="E109" s="3">
        <v>20.98</v>
      </c>
      <c r="F109" s="3">
        <v>44.4</v>
      </c>
      <c r="G109" s="3">
        <v>4193.7997999999998</v>
      </c>
    </row>
    <row r="110" spans="1:7" x14ac:dyDescent="0.45">
      <c r="A110" s="2">
        <v>45231</v>
      </c>
      <c r="B110" s="3">
        <v>410.75</v>
      </c>
      <c r="C110" s="3">
        <v>15.2</v>
      </c>
      <c r="D110" s="3">
        <v>15.54</v>
      </c>
      <c r="E110" s="3">
        <v>21.16</v>
      </c>
      <c r="F110" s="3">
        <v>44.42</v>
      </c>
      <c r="G110" s="3">
        <v>4237.8598599999996</v>
      </c>
    </row>
    <row r="111" spans="1:7" x14ac:dyDescent="0.45">
      <c r="A111" s="2">
        <v>45232</v>
      </c>
      <c r="B111" s="3">
        <v>418.66</v>
      </c>
      <c r="C111" s="3">
        <v>15.52</v>
      </c>
      <c r="D111" s="3">
        <v>15.94</v>
      </c>
      <c r="E111" s="3">
        <v>21.28</v>
      </c>
      <c r="F111" s="3">
        <v>44.44</v>
      </c>
      <c r="G111" s="3">
        <v>4317.7797899999996</v>
      </c>
    </row>
    <row r="112" spans="1:7" x14ac:dyDescent="0.45">
      <c r="A112" s="2">
        <v>45233</v>
      </c>
      <c r="B112" s="3">
        <v>422.41</v>
      </c>
      <c r="C112" s="3">
        <v>15.57</v>
      </c>
      <c r="D112" s="3">
        <v>16.260000000000002</v>
      </c>
      <c r="E112" s="3">
        <v>21.57</v>
      </c>
      <c r="F112" s="3">
        <v>44.47</v>
      </c>
      <c r="G112" s="3">
        <v>4358.3398399999996</v>
      </c>
    </row>
    <row r="113" spans="1:7" x14ac:dyDescent="0.45">
      <c r="A113" s="2">
        <v>45236</v>
      </c>
      <c r="B113" s="3">
        <v>423.43</v>
      </c>
      <c r="C113" s="3">
        <v>15.48</v>
      </c>
      <c r="D113" s="3">
        <v>16.13</v>
      </c>
      <c r="E113" s="3">
        <v>21.44</v>
      </c>
      <c r="F113" s="3">
        <v>44.46</v>
      </c>
      <c r="G113" s="3">
        <v>4365.9799800000001</v>
      </c>
    </row>
    <row r="114" spans="1:7" x14ac:dyDescent="0.45">
      <c r="A114" s="2">
        <v>45237</v>
      </c>
      <c r="B114" s="3">
        <v>424.55</v>
      </c>
      <c r="C114" s="3">
        <v>15.46</v>
      </c>
      <c r="D114" s="3">
        <v>16</v>
      </c>
      <c r="E114" s="3">
        <v>21.45</v>
      </c>
      <c r="F114" s="3">
        <v>44.48</v>
      </c>
      <c r="G114" s="3">
        <v>4378.3798800000004</v>
      </c>
    </row>
    <row r="115" spans="1:7" x14ac:dyDescent="0.45">
      <c r="A115" s="2">
        <v>45238</v>
      </c>
      <c r="B115" s="3">
        <v>424.9</v>
      </c>
      <c r="C115" s="3">
        <v>15.47</v>
      </c>
      <c r="D115" s="3">
        <v>16.07</v>
      </c>
      <c r="E115" s="3">
        <v>21.27</v>
      </c>
      <c r="F115" s="3">
        <v>44.49</v>
      </c>
      <c r="G115" s="3">
        <v>4382.7797899999996</v>
      </c>
    </row>
    <row r="116" spans="1:7" x14ac:dyDescent="0.45">
      <c r="A116" s="2">
        <v>45239</v>
      </c>
      <c r="B116" s="3">
        <v>421.7</v>
      </c>
      <c r="C116" s="3">
        <v>15.42</v>
      </c>
      <c r="D116" s="3">
        <v>16.149999999999999</v>
      </c>
      <c r="E116" s="3">
        <v>21.22</v>
      </c>
      <c r="F116" s="3">
        <v>44.49</v>
      </c>
      <c r="G116" s="3">
        <v>4347.3500999999997</v>
      </c>
    </row>
    <row r="117" spans="1:7" x14ac:dyDescent="0.45">
      <c r="A117" s="2">
        <v>45240</v>
      </c>
      <c r="B117" s="3">
        <v>428.3</v>
      </c>
      <c r="C117" s="3">
        <v>15.53</v>
      </c>
      <c r="D117" s="3">
        <v>16.27</v>
      </c>
      <c r="E117" s="3">
        <v>21.37</v>
      </c>
      <c r="F117" s="3">
        <v>44.5</v>
      </c>
      <c r="G117" s="3">
        <v>4415.2402300000003</v>
      </c>
    </row>
    <row r="118" spans="1:7" x14ac:dyDescent="0.45">
      <c r="A118" s="2">
        <v>45243</v>
      </c>
      <c r="B118" s="3">
        <v>427.8</v>
      </c>
      <c r="C118" s="3">
        <v>15.53</v>
      </c>
      <c r="D118" s="3">
        <v>16.420000000000002</v>
      </c>
      <c r="E118" s="3">
        <v>21.28</v>
      </c>
      <c r="F118" s="3">
        <v>44.52</v>
      </c>
      <c r="G118" s="3">
        <v>4411.5497999999998</v>
      </c>
    </row>
    <row r="119" spans="1:7" x14ac:dyDescent="0.45">
      <c r="A119" s="2">
        <v>45244</v>
      </c>
      <c r="B119" s="3">
        <v>436.19</v>
      </c>
      <c r="C119" s="3">
        <v>15.65</v>
      </c>
      <c r="D119" s="3">
        <v>16.59</v>
      </c>
      <c r="E119" s="3">
        <v>21.73</v>
      </c>
      <c r="F119" s="3">
        <v>44.57</v>
      </c>
      <c r="G119" s="3">
        <v>4495.7002000000002</v>
      </c>
    </row>
    <row r="120" spans="1:7" x14ac:dyDescent="0.45">
      <c r="A120" s="2">
        <v>45245</v>
      </c>
      <c r="B120" s="3">
        <v>437.07</v>
      </c>
      <c r="C120" s="3">
        <v>15.6</v>
      </c>
      <c r="D120" s="3">
        <v>16.5</v>
      </c>
      <c r="E120" s="3">
        <v>21.61</v>
      </c>
      <c r="F120" s="3">
        <v>44.58</v>
      </c>
      <c r="G120" s="3">
        <v>4502.8798800000004</v>
      </c>
    </row>
    <row r="121" spans="1:7" x14ac:dyDescent="0.45">
      <c r="A121" s="2">
        <v>45246</v>
      </c>
      <c r="B121" s="3">
        <v>437.61</v>
      </c>
      <c r="C121" s="3">
        <v>15.55</v>
      </c>
      <c r="D121" s="3">
        <v>16.420000000000002</v>
      </c>
      <c r="E121" s="3">
        <v>21.48</v>
      </c>
      <c r="F121" s="3">
        <v>44.6</v>
      </c>
      <c r="G121" s="3">
        <v>4508.2402300000003</v>
      </c>
    </row>
    <row r="122" spans="1:7" x14ac:dyDescent="0.45">
      <c r="A122" s="2">
        <v>45247</v>
      </c>
      <c r="B122" s="3">
        <v>438.08</v>
      </c>
      <c r="C122" s="3">
        <v>15.57</v>
      </c>
      <c r="D122" s="3">
        <v>16.5</v>
      </c>
      <c r="E122" s="3">
        <v>21.72</v>
      </c>
      <c r="F122" s="3">
        <v>44.59</v>
      </c>
      <c r="G122" s="3">
        <v>4514.0200199999999</v>
      </c>
    </row>
    <row r="123" spans="1:7" x14ac:dyDescent="0.45">
      <c r="A123" s="2">
        <v>45250</v>
      </c>
      <c r="B123" s="3">
        <v>441.6</v>
      </c>
      <c r="C123" s="3">
        <v>15.63</v>
      </c>
      <c r="D123" s="3">
        <v>16.52</v>
      </c>
      <c r="E123" s="3">
        <v>21.66</v>
      </c>
      <c r="F123" s="3">
        <v>44.6</v>
      </c>
      <c r="G123" s="3">
        <v>4547.3798800000004</v>
      </c>
    </row>
    <row r="124" spans="1:7" x14ac:dyDescent="0.45">
      <c r="A124" s="2">
        <v>45251</v>
      </c>
      <c r="B124" s="3">
        <v>440.58</v>
      </c>
      <c r="C124" s="3">
        <v>15.64</v>
      </c>
      <c r="D124" s="3">
        <v>16.52</v>
      </c>
      <c r="E124" s="3">
        <v>21.7</v>
      </c>
      <c r="F124" s="3">
        <v>44.61</v>
      </c>
      <c r="G124" s="3">
        <v>4538.1899400000002</v>
      </c>
    </row>
    <row r="125" spans="1:7" x14ac:dyDescent="0.45">
      <c r="A125" s="2">
        <v>45252</v>
      </c>
      <c r="B125" s="3">
        <v>442.26</v>
      </c>
      <c r="C125" s="3">
        <v>15.72</v>
      </c>
      <c r="D125" s="3">
        <v>16.59</v>
      </c>
      <c r="E125" s="3">
        <v>21.64</v>
      </c>
      <c r="F125" s="3">
        <v>44.64</v>
      </c>
      <c r="G125" s="3">
        <v>4556.6201199999996</v>
      </c>
    </row>
    <row r="126" spans="1:7" x14ac:dyDescent="0.45">
      <c r="A126" s="2">
        <v>45254</v>
      </c>
      <c r="B126" s="3">
        <v>442.59</v>
      </c>
      <c r="C126" s="3">
        <v>15.76</v>
      </c>
      <c r="D126" s="3">
        <v>16.600000000000001</v>
      </c>
      <c r="E126" s="3">
        <v>21.95</v>
      </c>
      <c r="F126" s="3">
        <v>44.63</v>
      </c>
      <c r="G126" s="3">
        <v>4559.3398399999996</v>
      </c>
    </row>
    <row r="127" spans="1:7" x14ac:dyDescent="0.45">
      <c r="A127" s="2">
        <v>45257</v>
      </c>
      <c r="B127" s="3">
        <v>441.76</v>
      </c>
      <c r="C127" s="3">
        <v>15.72</v>
      </c>
      <c r="D127" s="3">
        <v>16.600000000000001</v>
      </c>
      <c r="E127" s="3">
        <v>21.84</v>
      </c>
      <c r="F127" s="3">
        <v>44.67</v>
      </c>
      <c r="G127" s="3">
        <v>4550.4301800000003</v>
      </c>
    </row>
    <row r="128" spans="1:7" x14ac:dyDescent="0.45">
      <c r="A128" s="2">
        <v>45258</v>
      </c>
      <c r="B128" s="3">
        <v>442.14</v>
      </c>
      <c r="C128" s="3">
        <v>15.65</v>
      </c>
      <c r="D128" s="3">
        <v>16.46</v>
      </c>
      <c r="E128" s="3">
        <v>21.81</v>
      </c>
      <c r="F128" s="3">
        <v>44.69</v>
      </c>
      <c r="G128" s="3">
        <v>4554.8901400000004</v>
      </c>
    </row>
    <row r="129" spans="1:7" x14ac:dyDescent="0.45">
      <c r="A129" s="2">
        <v>45259</v>
      </c>
      <c r="B129" s="3">
        <v>441.94</v>
      </c>
      <c r="C129" s="3">
        <v>15.66</v>
      </c>
      <c r="D129" s="3">
        <v>16.39</v>
      </c>
      <c r="E129" s="3">
        <v>21.67</v>
      </c>
      <c r="F129" s="3">
        <v>44.71</v>
      </c>
      <c r="G129" s="3">
        <v>4550.5800799999997</v>
      </c>
    </row>
    <row r="130" spans="1:7" x14ac:dyDescent="0.45">
      <c r="A130" s="2">
        <v>45260</v>
      </c>
      <c r="B130" s="3">
        <v>443.54</v>
      </c>
      <c r="C130" s="3">
        <v>15.7</v>
      </c>
      <c r="D130" s="3">
        <v>16.55</v>
      </c>
      <c r="E130" s="3">
        <v>21.75</v>
      </c>
      <c r="F130" s="3">
        <v>44.72</v>
      </c>
      <c r="G130" s="3">
        <v>4567.7997999999998</v>
      </c>
    </row>
    <row r="131" spans="1:7" x14ac:dyDescent="0.45">
      <c r="A131" s="2">
        <v>45261</v>
      </c>
      <c r="B131" s="3">
        <v>446.16</v>
      </c>
      <c r="C131" s="3">
        <v>15.78</v>
      </c>
      <c r="D131" s="3">
        <v>16.579999999999998</v>
      </c>
      <c r="E131" s="3">
        <v>21.67</v>
      </c>
      <c r="F131" s="3">
        <v>44.76</v>
      </c>
      <c r="G131" s="3">
        <v>4594.6298800000004</v>
      </c>
    </row>
    <row r="132" spans="1:7" x14ac:dyDescent="0.45">
      <c r="A132" s="2">
        <v>45264</v>
      </c>
      <c r="B132" s="3">
        <v>443.95</v>
      </c>
      <c r="C132" s="3">
        <v>15.73</v>
      </c>
      <c r="D132" s="3">
        <v>16.55</v>
      </c>
      <c r="E132" s="3">
        <v>21.41</v>
      </c>
      <c r="F132" s="3">
        <v>44.76</v>
      </c>
      <c r="G132" s="3">
        <v>4569.7700000000004</v>
      </c>
    </row>
    <row r="133" spans="1:7" x14ac:dyDescent="0.45">
      <c r="A133" s="2">
        <v>45265</v>
      </c>
      <c r="B133" s="3">
        <v>443.85</v>
      </c>
      <c r="C133" s="3">
        <v>15.67</v>
      </c>
      <c r="D133" s="3">
        <v>16.47</v>
      </c>
      <c r="E133" s="3">
        <v>21.13</v>
      </c>
      <c r="F133" s="3">
        <v>44.79</v>
      </c>
      <c r="G133" s="3">
        <v>4567.17</v>
      </c>
    </row>
    <row r="134" spans="1:7" x14ac:dyDescent="0.45">
      <c r="A134" s="2">
        <v>45266</v>
      </c>
      <c r="B134" s="3">
        <v>442.02</v>
      </c>
      <c r="C134" s="3">
        <v>15.61</v>
      </c>
      <c r="D134" s="3">
        <v>16.440000000000001</v>
      </c>
      <c r="E134" s="3">
        <v>20.94</v>
      </c>
      <c r="F134" s="3">
        <v>44.79</v>
      </c>
      <c r="G134" s="3">
        <v>4549.3500000000004</v>
      </c>
    </row>
    <row r="135" spans="1:7" x14ac:dyDescent="0.45">
      <c r="A135" s="2">
        <v>45267</v>
      </c>
      <c r="B135" s="3">
        <v>445.41</v>
      </c>
      <c r="C135" s="3">
        <v>15.8</v>
      </c>
      <c r="D135" s="3">
        <v>16.57</v>
      </c>
      <c r="E135" s="3">
        <v>21.14</v>
      </c>
      <c r="F135" s="3">
        <v>44.8</v>
      </c>
      <c r="G135" s="3">
        <v>4585.58</v>
      </c>
    </row>
    <row r="136" spans="1:7" x14ac:dyDescent="0.45">
      <c r="A136" s="2">
        <v>45268</v>
      </c>
      <c r="B136" s="3">
        <v>447.34</v>
      </c>
      <c r="C136" s="3">
        <v>15.91</v>
      </c>
      <c r="D136" s="3">
        <v>16.690000000000001</v>
      </c>
      <c r="E136" s="3">
        <v>21.34</v>
      </c>
      <c r="F136" s="3">
        <v>44.8</v>
      </c>
      <c r="G136" s="3">
        <v>4604.3599999999997</v>
      </c>
    </row>
    <row r="137" spans="1:7" x14ac:dyDescent="0.45">
      <c r="A137" s="2">
        <v>45271</v>
      </c>
      <c r="B137" s="3">
        <v>449.08</v>
      </c>
      <c r="C137" s="3">
        <v>15.89</v>
      </c>
      <c r="D137" s="3">
        <v>16.649999999999999</v>
      </c>
      <c r="E137" s="3">
        <v>21.37</v>
      </c>
      <c r="F137" s="3">
        <v>44.8</v>
      </c>
      <c r="G137" s="3">
        <v>4622.43</v>
      </c>
    </row>
    <row r="138" spans="1:7" x14ac:dyDescent="0.45">
      <c r="A138" s="2">
        <v>45272</v>
      </c>
      <c r="B138" s="3">
        <v>451.3</v>
      </c>
      <c r="C138" s="3">
        <v>15.94</v>
      </c>
      <c r="D138" s="3">
        <v>16.809999999999999</v>
      </c>
      <c r="E138" s="3">
        <v>21.49</v>
      </c>
      <c r="F138" s="3">
        <v>44.81</v>
      </c>
      <c r="G138" s="3">
        <v>4643.6899999999996</v>
      </c>
    </row>
    <row r="139" spans="1:7" x14ac:dyDescent="0.45">
      <c r="A139" s="2">
        <v>45273</v>
      </c>
      <c r="B139" s="3">
        <v>457.49</v>
      </c>
      <c r="C139" s="3">
        <v>16.010000000000002</v>
      </c>
      <c r="D139" s="3">
        <v>16.97</v>
      </c>
      <c r="E139" s="3">
        <v>21.5</v>
      </c>
      <c r="F139" s="3">
        <v>44.88</v>
      </c>
      <c r="G139" s="3">
        <v>4707.08</v>
      </c>
    </row>
    <row r="140" spans="1:7" x14ac:dyDescent="0.45">
      <c r="A140" s="2">
        <v>45274</v>
      </c>
      <c r="B140" s="3">
        <v>458.92</v>
      </c>
      <c r="C140" s="3">
        <v>16.02</v>
      </c>
      <c r="D140" s="3">
        <v>17.21</v>
      </c>
      <c r="E140" s="3">
        <v>21.39</v>
      </c>
      <c r="F140" s="3">
        <v>44.9</v>
      </c>
      <c r="G140" s="3">
        <v>4719.54</v>
      </c>
    </row>
    <row r="141" spans="1:7" x14ac:dyDescent="0.45">
      <c r="A141" s="2">
        <v>45275</v>
      </c>
      <c r="B141" s="3">
        <v>458.14</v>
      </c>
      <c r="C141" s="3">
        <v>15.89</v>
      </c>
      <c r="D141" s="3">
        <v>17.079999999999998</v>
      </c>
      <c r="E141" s="3">
        <v>21.33</v>
      </c>
      <c r="F141" s="3">
        <v>44.9</v>
      </c>
      <c r="G141" s="3">
        <v>4719.18</v>
      </c>
    </row>
    <row r="142" spans="1:7" x14ac:dyDescent="0.45">
      <c r="A142" s="2">
        <v>45278</v>
      </c>
      <c r="B142" s="3">
        <v>460.69</v>
      </c>
      <c r="C142" s="3">
        <v>16.02</v>
      </c>
      <c r="D142" s="3">
        <v>17.04</v>
      </c>
      <c r="E142" s="3">
        <v>21.39</v>
      </c>
      <c r="F142" s="3">
        <v>44.9</v>
      </c>
      <c r="G142" s="3">
        <v>4740.57</v>
      </c>
    </row>
    <row r="143" spans="1:7" x14ac:dyDescent="0.45">
      <c r="A143" s="2">
        <v>45279</v>
      </c>
      <c r="B143" s="3">
        <v>463.35</v>
      </c>
      <c r="C143" s="3">
        <v>16</v>
      </c>
      <c r="D143" s="3">
        <v>17.16</v>
      </c>
      <c r="E143" s="3">
        <v>21.67</v>
      </c>
      <c r="F143" s="3">
        <v>44.92</v>
      </c>
      <c r="G143" s="3">
        <v>4768.3599999999997</v>
      </c>
    </row>
    <row r="144" spans="1:7" x14ac:dyDescent="0.45">
      <c r="A144" s="2">
        <v>45280</v>
      </c>
      <c r="B144" s="3">
        <v>456.71</v>
      </c>
      <c r="C144" s="3">
        <v>15.86</v>
      </c>
      <c r="D144" s="3">
        <v>17.010000000000002</v>
      </c>
      <c r="E144" s="3">
        <v>21.47</v>
      </c>
      <c r="F144" s="3">
        <v>44.95</v>
      </c>
      <c r="G144" s="3">
        <v>4698.34</v>
      </c>
    </row>
    <row r="145" spans="1:7" x14ac:dyDescent="0.45">
      <c r="A145" s="2">
        <v>45281</v>
      </c>
      <c r="B145" s="3">
        <v>461.34</v>
      </c>
      <c r="C145" s="3">
        <v>15.92</v>
      </c>
      <c r="D145" s="3">
        <v>17.100000000000001</v>
      </c>
      <c r="E145" s="3">
        <v>21.47</v>
      </c>
      <c r="F145" s="3">
        <v>44.97</v>
      </c>
      <c r="G145" s="3">
        <v>4746.76</v>
      </c>
    </row>
    <row r="146" spans="1:7" x14ac:dyDescent="0.45">
      <c r="A146" s="2">
        <v>45282</v>
      </c>
      <c r="B146" s="3">
        <v>462.23</v>
      </c>
      <c r="C146" s="3">
        <v>16.03</v>
      </c>
      <c r="D146" s="3">
        <v>17.2</v>
      </c>
      <c r="E146" s="3">
        <v>21.57</v>
      </c>
      <c r="F146" s="3">
        <v>44.98</v>
      </c>
      <c r="G146" s="3">
        <v>4754.6400000000003</v>
      </c>
    </row>
    <row r="147" spans="1:7" x14ac:dyDescent="0.45">
      <c r="A147" s="2">
        <v>45286</v>
      </c>
      <c r="B147" s="3">
        <v>464.22</v>
      </c>
      <c r="C147" s="3">
        <v>16.18</v>
      </c>
      <c r="D147" s="3">
        <v>17.34</v>
      </c>
      <c r="E147" s="3">
        <v>21.77</v>
      </c>
      <c r="F147" s="3">
        <v>44.99</v>
      </c>
      <c r="G147" s="3">
        <v>4774.74</v>
      </c>
    </row>
    <row r="148" spans="1:7" x14ac:dyDescent="0.45">
      <c r="A148" s="2">
        <v>45287</v>
      </c>
      <c r="B148" s="3">
        <v>465.1</v>
      </c>
      <c r="C148" s="3">
        <v>16.27</v>
      </c>
      <c r="D148" s="3">
        <v>17.54</v>
      </c>
      <c r="E148" s="3">
        <v>21.95</v>
      </c>
      <c r="F148" s="3">
        <v>45.01</v>
      </c>
      <c r="G148" s="3">
        <v>4781.59</v>
      </c>
    </row>
    <row r="149" spans="1:7" x14ac:dyDescent="0.45">
      <c r="A149" s="2">
        <v>45288</v>
      </c>
      <c r="B149" s="3">
        <v>465.31</v>
      </c>
      <c r="C149" s="3">
        <v>16.29</v>
      </c>
      <c r="D149" s="3">
        <v>17.71</v>
      </c>
      <c r="E149" s="3">
        <v>21.85</v>
      </c>
      <c r="F149" s="3">
        <v>45.03</v>
      </c>
      <c r="G149" s="3">
        <v>4783.3599999999997</v>
      </c>
    </row>
    <row r="150" spans="1:7" x14ac:dyDescent="0.45">
      <c r="A150" s="2">
        <v>45289</v>
      </c>
      <c r="B150" s="3">
        <v>463.98</v>
      </c>
      <c r="C150" s="3">
        <v>16.25</v>
      </c>
      <c r="D150" s="3">
        <v>17.43</v>
      </c>
      <c r="E150" s="3">
        <v>21.78</v>
      </c>
      <c r="F150" s="3">
        <v>45.04</v>
      </c>
      <c r="G150" s="3">
        <v>4769.82</v>
      </c>
    </row>
    <row r="151" spans="1:7" x14ac:dyDescent="0.45">
      <c r="A151" s="2">
        <v>45293</v>
      </c>
      <c r="B151" s="3">
        <v>461.32</v>
      </c>
      <c r="C151" s="3">
        <v>16.25</v>
      </c>
      <c r="D151" s="3">
        <v>17.420000000000002</v>
      </c>
      <c r="E151" s="3">
        <v>21.96</v>
      </c>
      <c r="F151" s="3">
        <v>45.04</v>
      </c>
      <c r="G151" s="3">
        <v>4742.82</v>
      </c>
    </row>
    <row r="152" spans="1:7" x14ac:dyDescent="0.45">
      <c r="A152" s="2">
        <v>45294</v>
      </c>
      <c r="B152" s="3">
        <v>457.55</v>
      </c>
      <c r="C152" s="3">
        <v>16.25</v>
      </c>
      <c r="D152" s="3">
        <v>17.29</v>
      </c>
      <c r="E152" s="3">
        <v>22.03</v>
      </c>
      <c r="F152" s="3">
        <v>45.05</v>
      </c>
      <c r="G152" s="3">
        <v>4704.82</v>
      </c>
    </row>
    <row r="153" spans="1:7" x14ac:dyDescent="0.45">
      <c r="A153" s="2">
        <v>45295</v>
      </c>
      <c r="B153" s="3">
        <v>456.14</v>
      </c>
      <c r="C153" s="3">
        <v>16.62</v>
      </c>
      <c r="D153" s="3">
        <v>17.59</v>
      </c>
      <c r="E153" s="3">
        <v>22.62</v>
      </c>
      <c r="F153" s="3">
        <v>45.05</v>
      </c>
      <c r="G153" s="3">
        <v>4688.6899999999996</v>
      </c>
    </row>
    <row r="154" spans="1:7" x14ac:dyDescent="0.45">
      <c r="A154" s="2">
        <v>45296</v>
      </c>
      <c r="B154" s="3">
        <v>456.69</v>
      </c>
      <c r="C154" s="3">
        <v>16.559999999999999</v>
      </c>
      <c r="D154" s="3">
        <v>17.53</v>
      </c>
      <c r="E154" s="3">
        <v>22.41</v>
      </c>
      <c r="F154" s="3">
        <v>45.05</v>
      </c>
      <c r="G154" s="3">
        <v>4697.2299999999996</v>
      </c>
    </row>
    <row r="155" spans="1:7" x14ac:dyDescent="0.45">
      <c r="A155" s="2">
        <v>45299</v>
      </c>
      <c r="B155" s="3">
        <v>462.97</v>
      </c>
      <c r="C155" s="3">
        <v>16.54</v>
      </c>
      <c r="D155" s="3">
        <v>17.63</v>
      </c>
      <c r="E155" s="3">
        <v>22.62</v>
      </c>
      <c r="F155" s="3">
        <v>45.06</v>
      </c>
      <c r="G155" s="3">
        <v>4763.55</v>
      </c>
    </row>
    <row r="156" spans="1:7" x14ac:dyDescent="0.45">
      <c r="A156" s="2">
        <v>45300</v>
      </c>
      <c r="B156" s="3">
        <v>462.54</v>
      </c>
      <c r="C156" s="3">
        <v>16.48</v>
      </c>
      <c r="D156" s="3">
        <v>17.510000000000002</v>
      </c>
      <c r="E156" s="3">
        <v>22.46</v>
      </c>
      <c r="F156" s="3">
        <v>45.08</v>
      </c>
      <c r="G156" s="3">
        <v>4756.51</v>
      </c>
    </row>
    <row r="157" spans="1:7" x14ac:dyDescent="0.45">
      <c r="A157" s="2">
        <v>45301</v>
      </c>
      <c r="B157" s="3">
        <v>465.13</v>
      </c>
      <c r="C157" s="3">
        <v>16.559999999999999</v>
      </c>
      <c r="D157" s="3">
        <v>17.54</v>
      </c>
      <c r="E157" s="3">
        <v>22.4</v>
      </c>
      <c r="F157" s="3">
        <v>45.08</v>
      </c>
      <c r="G157" s="3">
        <v>4783.46</v>
      </c>
    </row>
    <row r="158" spans="1:7" x14ac:dyDescent="0.45">
      <c r="A158" s="2">
        <v>45302</v>
      </c>
      <c r="B158" s="3">
        <v>464.88</v>
      </c>
      <c r="C158" s="3">
        <v>16.47</v>
      </c>
      <c r="D158" s="3">
        <v>17.43</v>
      </c>
      <c r="E158" s="3">
        <v>22.21</v>
      </c>
      <c r="F158" s="3">
        <v>45.13</v>
      </c>
      <c r="G158" s="3">
        <v>4780.2299999999996</v>
      </c>
    </row>
    <row r="159" spans="1:7" x14ac:dyDescent="0.45">
      <c r="A159" s="2">
        <v>45303</v>
      </c>
      <c r="B159" s="3">
        <v>465.28</v>
      </c>
      <c r="C159" s="3">
        <v>16.55</v>
      </c>
      <c r="D159" s="3">
        <v>17.54</v>
      </c>
      <c r="E159" s="3">
        <v>22.29</v>
      </c>
      <c r="F159" s="3">
        <v>45.16</v>
      </c>
      <c r="G159" s="3">
        <v>4783.84</v>
      </c>
    </row>
    <row r="160" spans="1:7" x14ac:dyDescent="0.45">
      <c r="A160" s="2">
        <v>45307</v>
      </c>
      <c r="B160" s="3">
        <v>463.66</v>
      </c>
      <c r="C160" s="3">
        <v>16.37</v>
      </c>
      <c r="D160" s="3">
        <v>17.420000000000002</v>
      </c>
      <c r="E160" s="3">
        <v>22.09</v>
      </c>
      <c r="F160" s="3">
        <v>45.16</v>
      </c>
      <c r="G160" s="3">
        <v>4765.99</v>
      </c>
    </row>
    <row r="161" spans="1:7" x14ac:dyDescent="0.45">
      <c r="A161" s="2">
        <v>45308</v>
      </c>
      <c r="B161" s="3">
        <v>461.06</v>
      </c>
      <c r="C161" s="3">
        <v>16.37</v>
      </c>
      <c r="D161" s="3">
        <v>17.45</v>
      </c>
      <c r="E161" s="3">
        <v>22.25</v>
      </c>
      <c r="F161" s="3">
        <v>45.14</v>
      </c>
      <c r="G161" s="3">
        <v>4739.22</v>
      </c>
    </row>
    <row r="162" spans="1:7" x14ac:dyDescent="0.45">
      <c r="A162" s="2">
        <v>45309</v>
      </c>
      <c r="B162" s="3">
        <v>465.01</v>
      </c>
      <c r="C162" s="3">
        <v>16.45</v>
      </c>
      <c r="D162" s="3">
        <v>17.53</v>
      </c>
      <c r="E162" s="3">
        <v>22.28</v>
      </c>
      <c r="F162" s="3">
        <v>45.17</v>
      </c>
      <c r="G162" s="3">
        <v>4780.95</v>
      </c>
    </row>
    <row r="163" spans="1:7" x14ac:dyDescent="0.45">
      <c r="A163" s="2">
        <v>45310</v>
      </c>
      <c r="B163" s="3">
        <v>470.83</v>
      </c>
      <c r="C163" s="3">
        <v>16.52</v>
      </c>
      <c r="D163" s="3">
        <v>17.579999999999998</v>
      </c>
      <c r="E163" s="3">
        <v>22.26</v>
      </c>
      <c r="F163" s="3">
        <v>45.17</v>
      </c>
      <c r="G163" s="3">
        <v>4839.82</v>
      </c>
    </row>
    <row r="164" spans="1:7" x14ac:dyDescent="0.45">
      <c r="A164" s="2">
        <v>45313</v>
      </c>
      <c r="B164" s="3">
        <v>471.85</v>
      </c>
      <c r="C164" s="3">
        <v>16.54</v>
      </c>
      <c r="D164" s="3">
        <v>17.8</v>
      </c>
      <c r="E164" s="3">
        <v>22.47</v>
      </c>
      <c r="F164" s="3">
        <v>45.18</v>
      </c>
      <c r="G164" s="3">
        <v>4850.4399999999996</v>
      </c>
    </row>
    <row r="165" spans="1:7" x14ac:dyDescent="0.45">
      <c r="A165" s="2">
        <v>45314</v>
      </c>
      <c r="B165" s="3">
        <v>473.32</v>
      </c>
      <c r="C165" s="3">
        <v>16.57</v>
      </c>
      <c r="D165" s="3">
        <v>17.87</v>
      </c>
      <c r="E165" s="3">
        <v>22.49</v>
      </c>
      <c r="F165" s="3">
        <v>45.19</v>
      </c>
      <c r="G165" s="3">
        <v>4864.6099999999997</v>
      </c>
    </row>
    <row r="166" spans="1:7" x14ac:dyDescent="0.45">
      <c r="A166" s="2">
        <v>45315</v>
      </c>
      <c r="B166" s="3">
        <v>473.68</v>
      </c>
      <c r="C166" s="3">
        <v>16.489999999999998</v>
      </c>
      <c r="D166" s="3">
        <v>17.78</v>
      </c>
      <c r="E166" s="3">
        <v>22.45</v>
      </c>
      <c r="F166" s="3">
        <v>45.19</v>
      </c>
      <c r="G166" s="3">
        <v>4868.54</v>
      </c>
    </row>
    <row r="167" spans="1:7" x14ac:dyDescent="0.45">
      <c r="A167" s="2">
        <v>45316</v>
      </c>
      <c r="B167" s="3">
        <v>476.32</v>
      </c>
      <c r="C167" s="3">
        <v>16.62</v>
      </c>
      <c r="D167" s="3">
        <v>17.8</v>
      </c>
      <c r="E167" s="3">
        <v>22.34</v>
      </c>
      <c r="F167" s="3">
        <v>45.23</v>
      </c>
      <c r="G167" s="3">
        <v>4894.17</v>
      </c>
    </row>
    <row r="168" spans="1:7" x14ac:dyDescent="0.45">
      <c r="A168" s="2">
        <v>45317</v>
      </c>
      <c r="B168" s="3">
        <v>475.83</v>
      </c>
      <c r="C168" s="3">
        <v>16.68</v>
      </c>
      <c r="D168" s="3">
        <v>17.96</v>
      </c>
      <c r="E168" s="3">
        <v>22.55</v>
      </c>
      <c r="F168" s="3">
        <v>45.23</v>
      </c>
      <c r="G168" s="3">
        <v>4890.96</v>
      </c>
    </row>
    <row r="169" spans="1:7" x14ac:dyDescent="0.45">
      <c r="A169" s="2">
        <v>45320</v>
      </c>
      <c r="B169" s="3">
        <v>479.57</v>
      </c>
      <c r="C169" s="3">
        <v>16.649999999999999</v>
      </c>
      <c r="D169" s="3">
        <v>17.77</v>
      </c>
      <c r="E169" s="3">
        <v>22.66</v>
      </c>
      <c r="F169" s="3">
        <v>45.24</v>
      </c>
      <c r="G169" s="3">
        <v>4927.9399999999996</v>
      </c>
    </row>
    <row r="170" spans="1:7" x14ac:dyDescent="0.45">
      <c r="A170" s="2">
        <v>45321</v>
      </c>
      <c r="B170" s="3">
        <v>479.21</v>
      </c>
      <c r="C170" s="3">
        <v>16.72</v>
      </c>
      <c r="D170" s="3">
        <v>17.829999999999998</v>
      </c>
      <c r="E170" s="3">
        <v>22.78</v>
      </c>
      <c r="F170" s="3">
        <v>45.25</v>
      </c>
      <c r="G170" s="3">
        <v>4924.96</v>
      </c>
    </row>
    <row r="171" spans="1:7" x14ac:dyDescent="0.45">
      <c r="A171" s="2">
        <v>45322</v>
      </c>
      <c r="B171" s="3">
        <v>471.34</v>
      </c>
      <c r="C171" s="3">
        <v>16.41</v>
      </c>
      <c r="D171" s="3">
        <v>17.48</v>
      </c>
      <c r="E171" s="3">
        <v>22.55</v>
      </c>
      <c r="F171" s="3">
        <v>45.27</v>
      </c>
      <c r="G171" s="3">
        <v>4845.66</v>
      </c>
    </row>
    <row r="172" spans="1:7" x14ac:dyDescent="0.45">
      <c r="A172" s="2">
        <v>45323</v>
      </c>
      <c r="B172" s="3">
        <v>477.59</v>
      </c>
      <c r="C172" s="3">
        <v>16.29</v>
      </c>
      <c r="D172" s="3">
        <v>17.309999999999999</v>
      </c>
      <c r="E172" s="3">
        <v>22.41</v>
      </c>
      <c r="F172" s="3">
        <v>45.29</v>
      </c>
      <c r="G172" s="3">
        <v>4906.18</v>
      </c>
    </row>
    <row r="173" spans="1:7" x14ac:dyDescent="0.45">
      <c r="A173" s="2">
        <v>45324</v>
      </c>
      <c r="B173" s="3">
        <v>482.52</v>
      </c>
      <c r="C173" s="3">
        <v>16.37</v>
      </c>
      <c r="D173" s="3">
        <v>17.329999999999998</v>
      </c>
      <c r="E173" s="3">
        <v>22.55</v>
      </c>
      <c r="F173" s="3">
        <v>45.29</v>
      </c>
      <c r="G173" s="3">
        <v>4958.62</v>
      </c>
    </row>
    <row r="174" spans="1:7" x14ac:dyDescent="0.45">
      <c r="A174" s="2">
        <v>45327</v>
      </c>
      <c r="B174" s="3">
        <v>480.91</v>
      </c>
      <c r="C174" s="3">
        <v>16.2</v>
      </c>
      <c r="D174" s="3">
        <v>17.3</v>
      </c>
      <c r="E174" s="3">
        <v>22.18</v>
      </c>
      <c r="F174" s="3">
        <v>45.28</v>
      </c>
      <c r="G174" s="3">
        <v>4942.82</v>
      </c>
    </row>
    <row r="175" spans="1:7" x14ac:dyDescent="0.45">
      <c r="A175" s="2">
        <v>45328</v>
      </c>
      <c r="B175" s="3">
        <v>482.21</v>
      </c>
      <c r="C175" s="3">
        <v>16.18</v>
      </c>
      <c r="D175" s="3">
        <v>17.260000000000002</v>
      </c>
      <c r="E175" s="3">
        <v>22.04</v>
      </c>
      <c r="F175" s="3">
        <v>45.29</v>
      </c>
      <c r="G175" s="3">
        <v>4954.24</v>
      </c>
    </row>
    <row r="176" spans="1:7" x14ac:dyDescent="0.45">
      <c r="A176" s="2">
        <v>45329</v>
      </c>
      <c r="B176" s="3">
        <v>486.12</v>
      </c>
      <c r="C176" s="3">
        <v>16.38</v>
      </c>
      <c r="D176" s="3">
        <v>17.29</v>
      </c>
      <c r="E176" s="3">
        <v>22.32</v>
      </c>
      <c r="F176" s="3">
        <v>45.29</v>
      </c>
      <c r="G176" s="3">
        <v>4995.05</v>
      </c>
    </row>
    <row r="177" spans="1:7" x14ac:dyDescent="0.45">
      <c r="A177" s="2">
        <v>45330</v>
      </c>
      <c r="B177" s="3">
        <v>486.44</v>
      </c>
      <c r="C177" s="3">
        <v>16.239999999999998</v>
      </c>
      <c r="D177" s="3">
        <v>17.2</v>
      </c>
      <c r="E177" s="3">
        <v>22.41</v>
      </c>
      <c r="F177" s="3">
        <v>45.3</v>
      </c>
      <c r="G177" s="3">
        <v>4997.92</v>
      </c>
    </row>
    <row r="178" spans="1:7" x14ac:dyDescent="0.45">
      <c r="A178" s="2">
        <v>45331</v>
      </c>
      <c r="B178" s="3">
        <v>489.26</v>
      </c>
      <c r="C178" s="3">
        <v>16.28</v>
      </c>
      <c r="D178" s="3">
        <v>17.29</v>
      </c>
      <c r="E178" s="3">
        <v>22.37</v>
      </c>
      <c r="F178" s="3">
        <v>45.31</v>
      </c>
      <c r="G178" s="3">
        <v>5026.62</v>
      </c>
    </row>
    <row r="179" spans="1:7" x14ac:dyDescent="0.45">
      <c r="A179" s="2">
        <v>45334</v>
      </c>
      <c r="B179" s="3">
        <v>489</v>
      </c>
      <c r="C179" s="3">
        <v>16.38</v>
      </c>
      <c r="D179" s="3">
        <v>17.5</v>
      </c>
      <c r="E179" s="3">
        <v>22.52</v>
      </c>
      <c r="F179" s="3">
        <v>45.32</v>
      </c>
      <c r="G179" s="3">
        <v>5021.83</v>
      </c>
    </row>
    <row r="180" spans="1:7" x14ac:dyDescent="0.45">
      <c r="A180" s="2">
        <v>45335</v>
      </c>
      <c r="B180" s="3">
        <v>482.43</v>
      </c>
      <c r="C180" s="3">
        <v>16.41</v>
      </c>
      <c r="D180" s="3">
        <v>17.29</v>
      </c>
      <c r="E180" s="3">
        <v>22.65</v>
      </c>
      <c r="F180" s="3">
        <v>45.3</v>
      </c>
      <c r="G180" s="3">
        <v>4953.16</v>
      </c>
    </row>
    <row r="181" spans="1:7" x14ac:dyDescent="0.45">
      <c r="A181" s="2">
        <v>45336</v>
      </c>
      <c r="B181" s="3">
        <v>486.74</v>
      </c>
      <c r="C181" s="3">
        <v>16.420000000000002</v>
      </c>
      <c r="D181" s="3">
        <v>17.21</v>
      </c>
      <c r="E181" s="3">
        <v>22.78</v>
      </c>
      <c r="F181" s="3">
        <v>45.31</v>
      </c>
      <c r="G181" s="3">
        <v>5000.63</v>
      </c>
    </row>
    <row r="182" spans="1:7" x14ac:dyDescent="0.45">
      <c r="A182" s="2">
        <v>45337</v>
      </c>
      <c r="B182" s="3">
        <v>489.94</v>
      </c>
      <c r="C182" s="3">
        <v>16.37</v>
      </c>
      <c r="D182" s="3">
        <v>17.54</v>
      </c>
      <c r="E182" s="3">
        <v>23.05</v>
      </c>
      <c r="F182" s="3">
        <v>45.34</v>
      </c>
      <c r="G182" s="3">
        <v>5029.72</v>
      </c>
    </row>
    <row r="183" spans="1:7" x14ac:dyDescent="0.45">
      <c r="A183" s="2">
        <v>45338</v>
      </c>
      <c r="B183" s="3">
        <v>487.61</v>
      </c>
      <c r="C183" s="3">
        <v>16.350000000000001</v>
      </c>
      <c r="D183" s="3">
        <v>17.54</v>
      </c>
      <c r="E183" s="3">
        <v>23.14</v>
      </c>
      <c r="F183" s="3">
        <v>45.33</v>
      </c>
      <c r="G183" s="3">
        <v>5005.5600000000004</v>
      </c>
    </row>
    <row r="184" spans="1:7" x14ac:dyDescent="0.45">
      <c r="A184" s="2">
        <v>45342</v>
      </c>
      <c r="B184" s="3">
        <v>484.9</v>
      </c>
      <c r="C184" s="3">
        <v>16.32</v>
      </c>
      <c r="D184" s="3">
        <v>17.489999999999998</v>
      </c>
      <c r="E184" s="3">
        <v>22.93</v>
      </c>
      <c r="F184" s="3">
        <v>45.36</v>
      </c>
      <c r="G184" s="3">
        <v>4975.5200000000004</v>
      </c>
    </row>
    <row r="185" spans="1:7" x14ac:dyDescent="0.45">
      <c r="A185" s="2">
        <v>45343</v>
      </c>
      <c r="B185" s="3">
        <v>485.34</v>
      </c>
      <c r="C185" s="3">
        <v>16.25</v>
      </c>
      <c r="D185" s="3">
        <v>17.54</v>
      </c>
      <c r="E185" s="3">
        <v>23.05</v>
      </c>
      <c r="F185" s="3">
        <v>45.37</v>
      </c>
      <c r="G185" s="3">
        <v>4981.8100000000004</v>
      </c>
    </row>
    <row r="186" spans="1:7" x14ac:dyDescent="0.45">
      <c r="A186" s="2">
        <v>45344</v>
      </c>
      <c r="B186" s="3">
        <v>495.48</v>
      </c>
      <c r="C186" s="3">
        <v>16.32</v>
      </c>
      <c r="D186" s="3">
        <v>17.61</v>
      </c>
      <c r="E186" s="3">
        <v>23.28</v>
      </c>
      <c r="F186" s="3">
        <v>45.37</v>
      </c>
      <c r="G186" s="3">
        <v>5087.0200000000004</v>
      </c>
    </row>
    <row r="187" spans="1:7" x14ac:dyDescent="0.45">
      <c r="A187" s="2">
        <v>45345</v>
      </c>
      <c r="B187" s="3">
        <v>495.76</v>
      </c>
      <c r="C187" s="3">
        <v>16.32</v>
      </c>
      <c r="D187" s="3">
        <v>17.66</v>
      </c>
      <c r="E187" s="3">
        <v>23.46</v>
      </c>
      <c r="F187" s="3">
        <v>45.38</v>
      </c>
      <c r="G187" s="3">
        <v>5088.79</v>
      </c>
    </row>
    <row r="188" spans="1:7" x14ac:dyDescent="0.45">
      <c r="A188" s="2">
        <v>45348</v>
      </c>
      <c r="B188" s="3">
        <v>493.89</v>
      </c>
      <c r="C188" s="3">
        <v>16.28</v>
      </c>
      <c r="D188" s="3">
        <v>17.600000000000001</v>
      </c>
      <c r="E188" s="3">
        <v>23.43</v>
      </c>
      <c r="F188" s="3">
        <v>45.38</v>
      </c>
      <c r="G188" s="3">
        <v>5069.54</v>
      </c>
    </row>
    <row r="189" spans="1:7" x14ac:dyDescent="0.45">
      <c r="A189" s="2">
        <v>45349</v>
      </c>
      <c r="B189" s="3">
        <v>494.77</v>
      </c>
      <c r="C189" s="3">
        <v>16.41</v>
      </c>
      <c r="D189" s="3">
        <v>17.73</v>
      </c>
      <c r="E189" s="3">
        <v>23.59</v>
      </c>
      <c r="F189" s="3">
        <v>45.39</v>
      </c>
      <c r="G189" s="3">
        <v>5078.17</v>
      </c>
    </row>
    <row r="190" spans="1:7" x14ac:dyDescent="0.45">
      <c r="A190" s="2">
        <v>45350</v>
      </c>
      <c r="B190" s="3">
        <v>494.15</v>
      </c>
      <c r="C190" s="3">
        <v>16.36</v>
      </c>
      <c r="D190" s="3">
        <v>17.62</v>
      </c>
      <c r="E190" s="3">
        <v>23.35</v>
      </c>
      <c r="F190" s="3">
        <v>45.41</v>
      </c>
      <c r="G190" s="3">
        <v>5069.7700000000004</v>
      </c>
    </row>
    <row r="191" spans="1:7" x14ac:dyDescent="0.45">
      <c r="A191" s="2">
        <v>45351</v>
      </c>
      <c r="B191" s="3">
        <v>495.87</v>
      </c>
      <c r="C191" s="3">
        <v>16.41</v>
      </c>
      <c r="D191" s="3">
        <v>17.68</v>
      </c>
      <c r="E191" s="3">
        <v>23.33</v>
      </c>
      <c r="F191" s="3">
        <v>45.42</v>
      </c>
      <c r="G191" s="3">
        <v>5096.28</v>
      </c>
    </row>
    <row r="192" spans="1:7" x14ac:dyDescent="0.45">
      <c r="A192" s="2">
        <v>45352</v>
      </c>
      <c r="B192" s="3">
        <v>500.67</v>
      </c>
      <c r="C192" s="3">
        <v>16.41</v>
      </c>
      <c r="D192" s="3">
        <v>17.07</v>
      </c>
      <c r="E192" s="3">
        <v>23.37</v>
      </c>
      <c r="F192" s="3">
        <v>45.43</v>
      </c>
      <c r="G192" s="3">
        <v>5137.07</v>
      </c>
    </row>
    <row r="193" spans="1:7" x14ac:dyDescent="0.45">
      <c r="A193" s="2">
        <v>45355</v>
      </c>
      <c r="B193" s="3">
        <v>500.07</v>
      </c>
      <c r="C193" s="3">
        <v>16.489999999999998</v>
      </c>
      <c r="D193" s="3">
        <v>17.03</v>
      </c>
      <c r="E193" s="3">
        <v>23.4</v>
      </c>
      <c r="F193" s="3">
        <v>45.43</v>
      </c>
      <c r="G193" s="3">
        <v>5130.9399999999996</v>
      </c>
    </row>
    <row r="194" spans="1:7" x14ac:dyDescent="0.45">
      <c r="A194" s="2">
        <v>45356</v>
      </c>
      <c r="B194" s="3">
        <v>495.02</v>
      </c>
      <c r="C194" s="3">
        <v>16.41</v>
      </c>
      <c r="D194" s="3">
        <v>16.899999999999999</v>
      </c>
      <c r="E194" s="3">
        <v>23.42</v>
      </c>
      <c r="F194" s="3">
        <v>45.45</v>
      </c>
      <c r="G194" s="3">
        <v>5078.6400000000003</v>
      </c>
    </row>
    <row r="195" spans="1:7" x14ac:dyDescent="0.45">
      <c r="A195" s="2">
        <v>45357</v>
      </c>
      <c r="B195" s="3">
        <v>497.7</v>
      </c>
      <c r="C195" s="3">
        <v>16.54</v>
      </c>
      <c r="D195" s="3">
        <v>17.03</v>
      </c>
      <c r="E195" s="3">
        <v>23.66</v>
      </c>
      <c r="F195" s="3">
        <v>45.46</v>
      </c>
      <c r="G195" s="3">
        <v>5104.7700000000004</v>
      </c>
    </row>
    <row r="196" spans="1:7" x14ac:dyDescent="0.45">
      <c r="A196" s="2">
        <v>45358</v>
      </c>
      <c r="B196" s="3">
        <v>502.65</v>
      </c>
      <c r="C196" s="3">
        <v>16.600000000000001</v>
      </c>
      <c r="D196" s="3">
        <v>16.96</v>
      </c>
      <c r="E196" s="3">
        <v>23.8</v>
      </c>
      <c r="F196" s="3">
        <v>45.48</v>
      </c>
      <c r="G196" s="3">
        <v>5157.3500000000004</v>
      </c>
    </row>
    <row r="197" spans="1:7" x14ac:dyDescent="0.45">
      <c r="A197" s="2">
        <v>45359</v>
      </c>
      <c r="B197" s="3">
        <v>499.6</v>
      </c>
      <c r="C197" s="3">
        <v>16.64</v>
      </c>
      <c r="D197" s="3">
        <v>17.059999999999999</v>
      </c>
      <c r="E197" s="3">
        <v>23.95</v>
      </c>
      <c r="F197" s="3">
        <v>45.5</v>
      </c>
      <c r="G197" s="3">
        <v>5123.68</v>
      </c>
    </row>
    <row r="198" spans="1:7" x14ac:dyDescent="0.45">
      <c r="A198" s="2">
        <v>45362</v>
      </c>
      <c r="B198" s="3">
        <v>499.35</v>
      </c>
      <c r="C198" s="3">
        <v>16.670000000000002</v>
      </c>
      <c r="D198" s="3">
        <v>17.260000000000002</v>
      </c>
      <c r="E198" s="3">
        <v>24.02</v>
      </c>
      <c r="F198" s="3">
        <v>45.49</v>
      </c>
      <c r="G198" s="3">
        <v>5117.93</v>
      </c>
    </row>
    <row r="199" spans="1:7" x14ac:dyDescent="0.45">
      <c r="A199" s="2">
        <v>45363</v>
      </c>
      <c r="B199" s="3">
        <v>504.56</v>
      </c>
      <c r="C199" s="3">
        <v>16.82</v>
      </c>
      <c r="D199" s="3">
        <v>17.36</v>
      </c>
      <c r="E199" s="3">
        <v>24.24</v>
      </c>
      <c r="F199" s="3">
        <v>45.49</v>
      </c>
      <c r="G199" s="3">
        <v>5175.28</v>
      </c>
    </row>
    <row r="200" spans="1:7" x14ac:dyDescent="0.45">
      <c r="A200" s="2">
        <v>45364</v>
      </c>
      <c r="B200" s="3">
        <v>503.75</v>
      </c>
      <c r="C200" s="3">
        <v>16.86</v>
      </c>
      <c r="D200" s="3">
        <v>17.260000000000002</v>
      </c>
      <c r="E200" s="3">
        <v>24.35</v>
      </c>
      <c r="F200" s="3">
        <v>45.48</v>
      </c>
      <c r="G200" s="3">
        <v>5165.3</v>
      </c>
    </row>
    <row r="201" spans="1:7" x14ac:dyDescent="0.45">
      <c r="A201" s="2">
        <v>45365</v>
      </c>
      <c r="B201" s="3">
        <v>502.66</v>
      </c>
      <c r="C201" s="3">
        <v>16.61</v>
      </c>
      <c r="D201" s="3">
        <v>17</v>
      </c>
      <c r="E201" s="3">
        <v>23.76</v>
      </c>
      <c r="F201" s="3">
        <v>45.51</v>
      </c>
      <c r="G201" s="3">
        <v>5150.47</v>
      </c>
    </row>
    <row r="202" spans="1:7" x14ac:dyDescent="0.45">
      <c r="A202" s="2">
        <v>45366</v>
      </c>
      <c r="B202" s="3">
        <v>498.57</v>
      </c>
      <c r="C202" s="3">
        <v>16.77</v>
      </c>
      <c r="D202" s="3">
        <v>17.170000000000002</v>
      </c>
      <c r="E202" s="3">
        <v>23.95</v>
      </c>
      <c r="F202" s="3">
        <v>45.51</v>
      </c>
      <c r="G202" s="3">
        <v>5117.1000000000004</v>
      </c>
    </row>
    <row r="203" spans="1:7" x14ac:dyDescent="0.45">
      <c r="A203" s="2">
        <v>45369</v>
      </c>
      <c r="B203" s="3">
        <v>502.08</v>
      </c>
      <c r="C203" s="3">
        <v>16.66</v>
      </c>
      <c r="D203" s="3">
        <v>17.12</v>
      </c>
      <c r="E203" s="3">
        <v>24.05</v>
      </c>
      <c r="F203" s="3">
        <v>45.52</v>
      </c>
      <c r="G203" s="3">
        <v>5149.43</v>
      </c>
    </row>
    <row r="204" spans="1:7" x14ac:dyDescent="0.45">
      <c r="A204" s="2">
        <v>45370</v>
      </c>
      <c r="B204" s="3">
        <v>504.99</v>
      </c>
      <c r="C204" s="3">
        <v>16.57</v>
      </c>
      <c r="D204" s="3">
        <v>17.190000000000001</v>
      </c>
      <c r="E204" s="3">
        <v>24.05</v>
      </c>
      <c r="F204" s="3">
        <v>45.55</v>
      </c>
      <c r="G204" s="3">
        <v>5178.5200000000004</v>
      </c>
    </row>
    <row r="205" spans="1:7" x14ac:dyDescent="0.45">
      <c r="A205" s="2">
        <v>45371</v>
      </c>
      <c r="B205" s="3">
        <v>509.68</v>
      </c>
      <c r="C205" s="3">
        <v>16.57</v>
      </c>
      <c r="D205" s="3">
        <v>17.22</v>
      </c>
      <c r="E205" s="3">
        <v>24.15</v>
      </c>
      <c r="F205" s="3">
        <v>45.56</v>
      </c>
      <c r="G205" s="3">
        <v>5224.63</v>
      </c>
    </row>
    <row r="206" spans="1:7" x14ac:dyDescent="0.45">
      <c r="A206" s="2">
        <v>45372</v>
      </c>
      <c r="B206" s="3">
        <v>511.26</v>
      </c>
      <c r="C206" s="3">
        <v>16.66</v>
      </c>
      <c r="D206" s="3">
        <v>17.32</v>
      </c>
      <c r="E206" s="3">
        <v>24.37</v>
      </c>
      <c r="F206" s="3">
        <v>45.58</v>
      </c>
      <c r="G206" s="3">
        <v>5241.54</v>
      </c>
    </row>
    <row r="207" spans="1:7" x14ac:dyDescent="0.45">
      <c r="A207" s="2">
        <v>45373</v>
      </c>
      <c r="B207" s="3">
        <v>510.58</v>
      </c>
      <c r="C207" s="3">
        <v>16.61</v>
      </c>
      <c r="D207" s="3">
        <v>17.239999999999998</v>
      </c>
      <c r="E207" s="3">
        <v>24.37</v>
      </c>
      <c r="F207" s="3">
        <v>45.58</v>
      </c>
      <c r="G207" s="3">
        <v>5234.17</v>
      </c>
    </row>
    <row r="208" spans="1:7" x14ac:dyDescent="0.45">
      <c r="A208" s="2">
        <v>45376</v>
      </c>
      <c r="B208" s="3">
        <v>508.98</v>
      </c>
      <c r="C208" s="3">
        <v>16.71</v>
      </c>
      <c r="D208" s="3">
        <v>17.29</v>
      </c>
      <c r="E208" s="3">
        <v>24.7</v>
      </c>
      <c r="F208" s="3">
        <v>45.59</v>
      </c>
      <c r="G208" s="3">
        <v>5218.18</v>
      </c>
    </row>
    <row r="209" spans="1:7" x14ac:dyDescent="0.45">
      <c r="A209" s="2">
        <v>45377</v>
      </c>
      <c r="B209" s="3">
        <v>507.91</v>
      </c>
      <c r="C209" s="3">
        <v>16.809999999999999</v>
      </c>
      <c r="D209" s="3">
        <v>17.39</v>
      </c>
      <c r="E209" s="3">
        <v>24.76</v>
      </c>
      <c r="F209" s="3">
        <v>45.61</v>
      </c>
      <c r="G209" s="3">
        <v>5203.57</v>
      </c>
    </row>
    <row r="210" spans="1:7" x14ac:dyDescent="0.45">
      <c r="A210" s="2">
        <v>45378</v>
      </c>
      <c r="B210" s="3">
        <v>512.33000000000004</v>
      </c>
      <c r="C210" s="3">
        <v>17.010000000000002</v>
      </c>
      <c r="D210" s="3">
        <v>17.579999999999998</v>
      </c>
      <c r="E210" s="3">
        <v>24.89</v>
      </c>
      <c r="F210" s="3">
        <v>45.63</v>
      </c>
      <c r="G210" s="3">
        <v>5248.48</v>
      </c>
    </row>
    <row r="211" spans="1:7" x14ac:dyDescent="0.45">
      <c r="A211" s="2">
        <v>45379</v>
      </c>
      <c r="B211" s="3">
        <v>512.34</v>
      </c>
      <c r="C211" s="3">
        <v>17.3</v>
      </c>
      <c r="D211" s="3">
        <v>17.739999999999998</v>
      </c>
      <c r="E211" s="3">
        <v>25.16</v>
      </c>
      <c r="F211" s="3">
        <v>45.62</v>
      </c>
      <c r="G211" s="3">
        <v>5254.34</v>
      </c>
    </row>
    <row r="212" spans="1:7" x14ac:dyDescent="0.45">
      <c r="A212" s="2">
        <v>45383</v>
      </c>
      <c r="B212" s="3">
        <v>511.51</v>
      </c>
      <c r="C212" s="3">
        <v>16.940000000000001</v>
      </c>
      <c r="D212" s="3">
        <v>17.52</v>
      </c>
      <c r="E212" s="3">
        <v>24.87</v>
      </c>
      <c r="F212" s="3">
        <v>45.62</v>
      </c>
      <c r="G212" s="3">
        <v>5243.78</v>
      </c>
    </row>
    <row r="213" spans="1:7" x14ac:dyDescent="0.45">
      <c r="A213" s="2">
        <v>45384</v>
      </c>
      <c r="B213" s="3">
        <v>508.17</v>
      </c>
      <c r="C213" s="3">
        <v>17.059999999999999</v>
      </c>
      <c r="D213" s="3">
        <v>17.39</v>
      </c>
      <c r="E213" s="3">
        <v>24.72</v>
      </c>
      <c r="F213" s="3">
        <v>45.64</v>
      </c>
      <c r="G213" s="3">
        <v>5205.8</v>
      </c>
    </row>
    <row r="214" spans="1:7" x14ac:dyDescent="0.45">
      <c r="A214" s="2">
        <v>45385</v>
      </c>
      <c r="B214" s="3">
        <v>508.73</v>
      </c>
      <c r="C214" s="3">
        <v>17.010000000000002</v>
      </c>
      <c r="D214" s="3">
        <v>17.45</v>
      </c>
      <c r="E214" s="3">
        <v>24.85</v>
      </c>
      <c r="F214" s="3">
        <v>45.65</v>
      </c>
      <c r="G214" s="3">
        <v>5211.4799999999996</v>
      </c>
    </row>
    <row r="215" spans="1:7" x14ac:dyDescent="0.45">
      <c r="A215" s="2">
        <v>45386</v>
      </c>
      <c r="B215" s="3">
        <v>502.48</v>
      </c>
      <c r="C215" s="3">
        <v>16.91</v>
      </c>
      <c r="D215" s="3">
        <v>17.29</v>
      </c>
      <c r="E215" s="3">
        <v>24.79</v>
      </c>
      <c r="F215" s="3">
        <v>45.68</v>
      </c>
      <c r="G215" s="3">
        <v>5147.2</v>
      </c>
    </row>
    <row r="216" spans="1:7" x14ac:dyDescent="0.45">
      <c r="A216" s="2">
        <v>45387</v>
      </c>
      <c r="B216" s="3">
        <v>507.72</v>
      </c>
      <c r="C216" s="3">
        <v>17.09</v>
      </c>
      <c r="D216" s="3">
        <v>17.37</v>
      </c>
      <c r="E216" s="3">
        <v>24.96</v>
      </c>
      <c r="F216" s="3">
        <v>45.67</v>
      </c>
      <c r="G216" s="3">
        <v>5204.3500000000004</v>
      </c>
    </row>
    <row r="217" spans="1:7" x14ac:dyDescent="0.45">
      <c r="A217" s="2">
        <v>45390</v>
      </c>
      <c r="B217" s="3">
        <v>507.86</v>
      </c>
      <c r="C217" s="3">
        <v>17.079999999999998</v>
      </c>
      <c r="D217" s="3">
        <v>17.329999999999998</v>
      </c>
      <c r="E217" s="3">
        <v>24.9</v>
      </c>
      <c r="F217" s="3">
        <v>45.67</v>
      </c>
      <c r="G217" s="3">
        <v>5202.38</v>
      </c>
    </row>
    <row r="218" spans="1:7" x14ac:dyDescent="0.45">
      <c r="A218" s="2">
        <v>45391</v>
      </c>
      <c r="B218" s="3">
        <v>508.49</v>
      </c>
      <c r="C218" s="3">
        <v>17.059999999999999</v>
      </c>
      <c r="D218" s="3">
        <v>17.350000000000001</v>
      </c>
      <c r="E218" s="3">
        <v>24.86</v>
      </c>
      <c r="F218" s="3">
        <v>45.69</v>
      </c>
      <c r="G218" s="3">
        <v>5209.92</v>
      </c>
    </row>
    <row r="219" spans="1:7" x14ac:dyDescent="0.45">
      <c r="A219" s="2">
        <v>45392</v>
      </c>
      <c r="B219" s="3">
        <v>503.56</v>
      </c>
      <c r="C219" s="3">
        <v>16.940000000000001</v>
      </c>
      <c r="D219" s="3">
        <v>17.29</v>
      </c>
      <c r="E219" s="3">
        <v>24.89</v>
      </c>
      <c r="F219" s="3">
        <v>45.65</v>
      </c>
      <c r="G219" s="3">
        <v>5160.6499999999996</v>
      </c>
    </row>
    <row r="220" spans="1:7" x14ac:dyDescent="0.45">
      <c r="A220" s="2">
        <v>45393</v>
      </c>
      <c r="B220" s="3">
        <v>507.33</v>
      </c>
      <c r="C220" s="3">
        <v>17.05</v>
      </c>
      <c r="D220" s="3">
        <v>17.38</v>
      </c>
      <c r="E220" s="3">
        <v>24.98</v>
      </c>
      <c r="F220" s="3">
        <v>45.67</v>
      </c>
      <c r="G220" s="3">
        <v>5199.05</v>
      </c>
    </row>
    <row r="221" spans="1:7" x14ac:dyDescent="0.45">
      <c r="A221" s="2">
        <v>45394</v>
      </c>
      <c r="B221" s="3">
        <v>500.24</v>
      </c>
      <c r="C221" s="3">
        <v>16.850000000000001</v>
      </c>
      <c r="D221" s="3">
        <v>17.18</v>
      </c>
      <c r="E221" s="3">
        <v>24.63</v>
      </c>
      <c r="F221" s="3">
        <v>45.68</v>
      </c>
      <c r="G221" s="3">
        <v>5123.3999999999996</v>
      </c>
    </row>
    <row r="222" spans="1:7" x14ac:dyDescent="0.45">
      <c r="A222" s="2">
        <v>45397</v>
      </c>
      <c r="B222" s="3">
        <v>494.04</v>
      </c>
      <c r="C222" s="3">
        <v>16.809999999999999</v>
      </c>
      <c r="D222" s="3">
        <v>17.14</v>
      </c>
      <c r="E222" s="3">
        <v>24.6</v>
      </c>
      <c r="F222" s="3">
        <v>45.69</v>
      </c>
      <c r="G222" s="3">
        <v>5061.8100000000004</v>
      </c>
    </row>
    <row r="223" spans="1:7" x14ac:dyDescent="0.45">
      <c r="A223" s="2">
        <v>45398</v>
      </c>
      <c r="B223" s="3">
        <v>493.09</v>
      </c>
      <c r="C223" s="3">
        <v>16.809999999999999</v>
      </c>
      <c r="D223" s="3">
        <v>17.010000000000002</v>
      </c>
      <c r="E223" s="3">
        <v>24.82</v>
      </c>
      <c r="F223" s="3">
        <v>45.7</v>
      </c>
      <c r="G223" s="3">
        <v>5051.3999999999996</v>
      </c>
    </row>
    <row r="224" spans="1:7" x14ac:dyDescent="0.45">
      <c r="A224" s="2">
        <v>45399</v>
      </c>
      <c r="B224" s="3">
        <v>490.23</v>
      </c>
      <c r="C224" s="3">
        <v>16.89</v>
      </c>
      <c r="D224" s="3">
        <v>17.149999999999999</v>
      </c>
      <c r="E224" s="3">
        <v>24.92</v>
      </c>
      <c r="F224" s="3">
        <v>45.72</v>
      </c>
      <c r="G224" s="3">
        <v>5022.22</v>
      </c>
    </row>
    <row r="225" spans="1:7" x14ac:dyDescent="0.45">
      <c r="A225" s="2">
        <v>45400</v>
      </c>
      <c r="B225" s="3">
        <v>489.1</v>
      </c>
      <c r="C225" s="3">
        <v>16.96</v>
      </c>
      <c r="D225" s="3">
        <v>17.239999999999998</v>
      </c>
      <c r="E225" s="3">
        <v>25.19</v>
      </c>
      <c r="F225" s="3">
        <v>45.72</v>
      </c>
      <c r="G225" s="3">
        <v>5011.1099999999997</v>
      </c>
    </row>
    <row r="226" spans="1:7" x14ac:dyDescent="0.45">
      <c r="A226" s="2">
        <v>45401</v>
      </c>
      <c r="B226" s="3">
        <v>484.86</v>
      </c>
      <c r="C226" s="3">
        <v>17.11</v>
      </c>
      <c r="D226" s="3">
        <v>17.309999999999999</v>
      </c>
      <c r="E226" s="3">
        <v>25.29</v>
      </c>
      <c r="F226" s="3">
        <v>45.72</v>
      </c>
      <c r="G226" s="3">
        <v>4967.24</v>
      </c>
    </row>
    <row r="227" spans="1:7" x14ac:dyDescent="0.45">
      <c r="A227" s="2">
        <v>45404</v>
      </c>
      <c r="B227" s="3">
        <v>489.33</v>
      </c>
      <c r="C227" s="3">
        <v>17.16</v>
      </c>
      <c r="D227" s="3">
        <v>17.66</v>
      </c>
      <c r="E227" s="3">
        <v>25.52</v>
      </c>
      <c r="F227" s="3">
        <v>45.74</v>
      </c>
      <c r="G227" s="3">
        <v>5010.59</v>
      </c>
    </row>
    <row r="228" spans="1:7" x14ac:dyDescent="0.45">
      <c r="A228" s="2">
        <v>45405</v>
      </c>
      <c r="B228" s="3">
        <v>495.23</v>
      </c>
      <c r="C228" s="3">
        <v>17.23</v>
      </c>
      <c r="D228" s="3">
        <v>17.53</v>
      </c>
      <c r="E228" s="3">
        <v>25.76</v>
      </c>
      <c r="F228" s="3">
        <v>45.75</v>
      </c>
      <c r="G228" s="3">
        <v>5070.5600000000004</v>
      </c>
    </row>
    <row r="229" spans="1:7" x14ac:dyDescent="0.45">
      <c r="A229" s="2">
        <v>45406</v>
      </c>
      <c r="B229" s="3">
        <v>495.03</v>
      </c>
      <c r="C229" s="3">
        <v>17.27</v>
      </c>
      <c r="D229" s="3">
        <v>17.5</v>
      </c>
      <c r="E229" s="3">
        <v>25.73</v>
      </c>
      <c r="F229" s="3">
        <v>45.75</v>
      </c>
      <c r="G229" s="3">
        <v>5071.62</v>
      </c>
    </row>
    <row r="230" spans="1:7" x14ac:dyDescent="0.45">
      <c r="A230" s="2">
        <v>45407</v>
      </c>
      <c r="B230" s="3">
        <v>492.94</v>
      </c>
      <c r="C230" s="3">
        <v>17.14</v>
      </c>
      <c r="D230" s="3">
        <v>17.489999999999998</v>
      </c>
      <c r="E230" s="3">
        <v>25.69</v>
      </c>
      <c r="F230" s="3">
        <v>45.77</v>
      </c>
      <c r="G230" s="3">
        <v>5048.41</v>
      </c>
    </row>
    <row r="231" spans="1:7" x14ac:dyDescent="0.45">
      <c r="A231" s="2">
        <v>45408</v>
      </c>
      <c r="B231" s="3">
        <v>497.76</v>
      </c>
      <c r="C231" s="3">
        <v>17.260000000000002</v>
      </c>
      <c r="D231" s="3">
        <v>17.95</v>
      </c>
      <c r="E231" s="3">
        <v>25.92</v>
      </c>
      <c r="F231" s="3">
        <v>45.78</v>
      </c>
      <c r="G231" s="3">
        <v>5099.95</v>
      </c>
    </row>
    <row r="232" spans="1:7" x14ac:dyDescent="0.45">
      <c r="A232" s="2">
        <v>45411</v>
      </c>
      <c r="B232" s="3">
        <v>499.53</v>
      </c>
      <c r="C232" s="3">
        <v>17.29</v>
      </c>
      <c r="D232" s="3">
        <v>17.96</v>
      </c>
      <c r="E232" s="3">
        <v>25.94</v>
      </c>
      <c r="F232" s="3">
        <v>45.8</v>
      </c>
      <c r="G232" s="3">
        <v>5116.16</v>
      </c>
    </row>
    <row r="233" spans="1:7" x14ac:dyDescent="0.45">
      <c r="A233" s="2">
        <v>45412</v>
      </c>
      <c r="B233" s="3">
        <v>491.59</v>
      </c>
      <c r="C233" s="3">
        <v>17.12</v>
      </c>
      <c r="D233" s="3">
        <v>17.96</v>
      </c>
      <c r="E233" s="3">
        <v>25.6</v>
      </c>
      <c r="F233" s="3">
        <v>45.8</v>
      </c>
      <c r="G233" s="3">
        <v>5035.7</v>
      </c>
    </row>
    <row r="234" spans="1:7" x14ac:dyDescent="0.45">
      <c r="A234" s="2">
        <v>45413</v>
      </c>
      <c r="B234" s="3">
        <v>490.05</v>
      </c>
      <c r="C234" s="3">
        <v>17.32</v>
      </c>
      <c r="D234" s="3">
        <v>18.03</v>
      </c>
      <c r="E234" s="3">
        <v>25.97</v>
      </c>
      <c r="F234" s="3">
        <v>45.81</v>
      </c>
      <c r="G234" s="3">
        <v>5018.3999999999996</v>
      </c>
    </row>
    <row r="235" spans="1:7" x14ac:dyDescent="0.45">
      <c r="A235" s="2">
        <v>45414</v>
      </c>
      <c r="B235" s="3">
        <v>494.53</v>
      </c>
      <c r="C235" s="3">
        <v>17.059999999999999</v>
      </c>
      <c r="D235" s="3">
        <v>17.29</v>
      </c>
      <c r="E235" s="3">
        <v>25.84</v>
      </c>
      <c r="F235" s="3">
        <v>45.84</v>
      </c>
      <c r="G235" s="3">
        <v>5064.1899999999996</v>
      </c>
    </row>
    <row r="236" spans="1:7" x14ac:dyDescent="0.45">
      <c r="A236" s="2">
        <v>45415</v>
      </c>
      <c r="B236" s="3">
        <v>500.75</v>
      </c>
      <c r="C236" s="3">
        <v>17.12</v>
      </c>
      <c r="D236" s="3">
        <v>17.39</v>
      </c>
      <c r="E236" s="3">
        <v>26.03</v>
      </c>
      <c r="F236" s="3">
        <v>45.87</v>
      </c>
      <c r="G236" s="3">
        <v>5127.8</v>
      </c>
    </row>
    <row r="237" spans="1:7" x14ac:dyDescent="0.45">
      <c r="A237" s="2">
        <v>45418</v>
      </c>
      <c r="B237" s="3">
        <v>505.97</v>
      </c>
      <c r="C237" s="3">
        <v>17.350000000000001</v>
      </c>
      <c r="D237" s="3">
        <v>17.420000000000002</v>
      </c>
      <c r="E237" s="3">
        <v>26.25</v>
      </c>
      <c r="F237" s="3">
        <v>45.87</v>
      </c>
      <c r="G237" s="3">
        <v>5180.7299999999996</v>
      </c>
    </row>
    <row r="238" spans="1:7" x14ac:dyDescent="0.45">
      <c r="A238" s="2">
        <v>45419</v>
      </c>
      <c r="B238" s="3">
        <v>506.62</v>
      </c>
      <c r="C238" s="3">
        <v>17.28</v>
      </c>
      <c r="D238" s="3">
        <v>17.41</v>
      </c>
      <c r="E238" s="3">
        <v>26.07</v>
      </c>
      <c r="F238" s="3">
        <v>45.88</v>
      </c>
      <c r="G238" s="3">
        <v>5187.71</v>
      </c>
    </row>
    <row r="239" spans="1:7" x14ac:dyDescent="0.45">
      <c r="A239" s="2">
        <v>45420</v>
      </c>
      <c r="B239" s="3">
        <v>506.57</v>
      </c>
      <c r="C239" s="3">
        <v>17.260000000000002</v>
      </c>
      <c r="D239" s="3">
        <v>17.559999999999999</v>
      </c>
      <c r="E239" s="3">
        <v>25.63</v>
      </c>
      <c r="F239" s="3">
        <v>45.88</v>
      </c>
      <c r="G239" s="3">
        <v>5187.66</v>
      </c>
    </row>
    <row r="240" spans="1:7" x14ac:dyDescent="0.45">
      <c r="A240" s="2">
        <v>45421</v>
      </c>
      <c r="B240" s="3">
        <v>509.35</v>
      </c>
      <c r="C240" s="3">
        <v>17.38</v>
      </c>
      <c r="D240" s="3">
        <v>17.68</v>
      </c>
      <c r="E240" s="3">
        <v>25.75</v>
      </c>
      <c r="F240" s="3">
        <v>45.9</v>
      </c>
      <c r="G240" s="3">
        <v>5214.07</v>
      </c>
    </row>
    <row r="241" spans="1:7" x14ac:dyDescent="0.45">
      <c r="A241" s="2">
        <v>45422</v>
      </c>
      <c r="B241" s="3">
        <v>510.06</v>
      </c>
      <c r="C241" s="3">
        <v>17.53</v>
      </c>
      <c r="D241" s="3">
        <v>17.920000000000002</v>
      </c>
      <c r="E241" s="3">
        <v>25.54</v>
      </c>
      <c r="F241" s="3">
        <v>45.89</v>
      </c>
      <c r="G241" s="3">
        <v>5222.6899999999996</v>
      </c>
    </row>
    <row r="242" spans="1:7" x14ac:dyDescent="0.45">
      <c r="A242" s="2">
        <v>45425</v>
      </c>
      <c r="B242" s="3">
        <v>510.23</v>
      </c>
      <c r="C242" s="3">
        <v>17.559999999999999</v>
      </c>
      <c r="D242" s="3">
        <v>17.84</v>
      </c>
      <c r="E242" s="3">
        <v>25.24</v>
      </c>
      <c r="F242" s="3">
        <v>45.91</v>
      </c>
      <c r="G242" s="3">
        <v>5221.41</v>
      </c>
    </row>
    <row r="243" spans="1:7" x14ac:dyDescent="0.45">
      <c r="A243" s="2">
        <v>45426</v>
      </c>
      <c r="B243" s="3">
        <v>512.55999999999995</v>
      </c>
      <c r="C243" s="3">
        <v>17.649999999999999</v>
      </c>
      <c r="D243" s="3">
        <v>17.940000000000001</v>
      </c>
      <c r="E243" s="3">
        <v>25.16</v>
      </c>
      <c r="F243" s="3">
        <v>45.92</v>
      </c>
      <c r="G243" s="3">
        <v>5246.69</v>
      </c>
    </row>
    <row r="244" spans="1:7" x14ac:dyDescent="0.45">
      <c r="A244" s="2">
        <v>45427</v>
      </c>
      <c r="B244" s="3">
        <v>518.91999999999996</v>
      </c>
      <c r="C244" s="3">
        <v>17.59</v>
      </c>
      <c r="D244" s="3">
        <v>17.739999999999998</v>
      </c>
      <c r="E244" s="3">
        <v>24.7</v>
      </c>
      <c r="F244" s="3">
        <v>45.95</v>
      </c>
      <c r="G244" s="3">
        <v>5308.14</v>
      </c>
    </row>
    <row r="245" spans="1:7" x14ac:dyDescent="0.45">
      <c r="A245" s="2">
        <v>45428</v>
      </c>
      <c r="B245" s="3">
        <v>517.70000000000005</v>
      </c>
      <c r="C245" s="3">
        <v>17.57</v>
      </c>
      <c r="D245" s="3">
        <v>17.63</v>
      </c>
      <c r="E245" s="3">
        <v>24.67</v>
      </c>
      <c r="F245" s="3">
        <v>45.96</v>
      </c>
      <c r="G245" s="3">
        <v>5297.09</v>
      </c>
    </row>
    <row r="246" spans="1:7" x14ac:dyDescent="0.45">
      <c r="A246" s="2">
        <v>45429</v>
      </c>
      <c r="B246" s="3">
        <v>518.58000000000004</v>
      </c>
      <c r="C246" s="3">
        <v>17.68</v>
      </c>
      <c r="D246" s="3">
        <v>17.579999999999998</v>
      </c>
      <c r="E246" s="3">
        <v>24.73</v>
      </c>
      <c r="F246" s="3">
        <v>45.96</v>
      </c>
      <c r="G246" s="3">
        <v>5303.26</v>
      </c>
    </row>
    <row r="247" spans="1:7" x14ac:dyDescent="0.45">
      <c r="A247" s="2">
        <v>45432</v>
      </c>
      <c r="B247" s="3">
        <v>519.17999999999995</v>
      </c>
      <c r="C247" s="3">
        <v>17.72</v>
      </c>
      <c r="D247" s="3">
        <v>17.73</v>
      </c>
      <c r="E247" s="3">
        <v>24.8</v>
      </c>
      <c r="F247" s="3">
        <v>45.97</v>
      </c>
      <c r="G247" s="3">
        <v>5308.12</v>
      </c>
    </row>
    <row r="248" spans="1:7" x14ac:dyDescent="0.45">
      <c r="A248" s="2">
        <v>45433</v>
      </c>
      <c r="B248" s="3">
        <v>520.45000000000005</v>
      </c>
      <c r="C248" s="3">
        <v>17.829999999999998</v>
      </c>
      <c r="D248" s="3">
        <v>17.84</v>
      </c>
      <c r="E248" s="3">
        <v>24.98</v>
      </c>
      <c r="F248" s="3">
        <v>45.99</v>
      </c>
      <c r="G248" s="3">
        <v>5321.42</v>
      </c>
    </row>
    <row r="249" spans="1:7" x14ac:dyDescent="0.45">
      <c r="A249" s="2">
        <v>45434</v>
      </c>
      <c r="B249" s="3">
        <v>518.97</v>
      </c>
      <c r="C249" s="3">
        <v>17.75</v>
      </c>
      <c r="D249" s="3">
        <v>17.59</v>
      </c>
      <c r="E249" s="3">
        <v>24.81</v>
      </c>
      <c r="F249" s="3">
        <v>45.98</v>
      </c>
      <c r="G249" s="3">
        <v>5307.02</v>
      </c>
    </row>
    <row r="250" spans="1:7" x14ac:dyDescent="0.45">
      <c r="A250" s="2">
        <v>45435</v>
      </c>
      <c r="B250" s="3">
        <v>515.17999999999995</v>
      </c>
      <c r="C250" s="3">
        <v>17.61</v>
      </c>
      <c r="D250" s="3">
        <v>17.670000000000002</v>
      </c>
      <c r="E250" s="3">
        <v>24.79</v>
      </c>
      <c r="F250" s="3">
        <v>46</v>
      </c>
      <c r="G250" s="3">
        <v>5267.85</v>
      </c>
    </row>
    <row r="251" spans="1:7" x14ac:dyDescent="0.45">
      <c r="A251" s="2">
        <v>45436</v>
      </c>
      <c r="B251" s="3">
        <v>518.6</v>
      </c>
      <c r="C251" s="3">
        <v>17.739999999999998</v>
      </c>
      <c r="D251" s="3">
        <v>17.96</v>
      </c>
      <c r="E251" s="3">
        <v>24.97</v>
      </c>
      <c r="F251" s="3">
        <v>46.01</v>
      </c>
      <c r="G251" s="3">
        <v>5304.71</v>
      </c>
    </row>
    <row r="252" spans="1:7" x14ac:dyDescent="0.45">
      <c r="A252" s="2">
        <v>45440</v>
      </c>
      <c r="B252" s="3">
        <v>519</v>
      </c>
      <c r="C252" s="3">
        <v>17.73</v>
      </c>
      <c r="D252" s="3">
        <v>17.87</v>
      </c>
      <c r="E252" s="3">
        <v>24.85</v>
      </c>
      <c r="F252" s="3">
        <v>46.02</v>
      </c>
      <c r="G252" s="3">
        <v>5306.03</v>
      </c>
    </row>
    <row r="253" spans="1:7" x14ac:dyDescent="0.45">
      <c r="A253" s="2">
        <v>45441</v>
      </c>
      <c r="B253" s="3">
        <v>515.28</v>
      </c>
      <c r="C253" s="3">
        <v>17.649999999999999</v>
      </c>
      <c r="D253" s="3">
        <v>17.899999999999999</v>
      </c>
      <c r="E253" s="3">
        <v>24.81</v>
      </c>
      <c r="F253" s="3">
        <v>46.01</v>
      </c>
      <c r="G253" s="3">
        <v>5266.96</v>
      </c>
    </row>
    <row r="254" spans="1:7" x14ac:dyDescent="0.45">
      <c r="A254" s="2">
        <v>45442</v>
      </c>
      <c r="B254" s="3">
        <v>511.94</v>
      </c>
      <c r="C254" s="3">
        <v>17.79</v>
      </c>
      <c r="D254" s="3">
        <v>18.079999999999998</v>
      </c>
      <c r="E254" s="3">
        <v>25.21</v>
      </c>
      <c r="F254" s="3">
        <v>46.03</v>
      </c>
      <c r="G254" s="3">
        <v>5235.47</v>
      </c>
    </row>
    <row r="255" spans="1:7" x14ac:dyDescent="0.45">
      <c r="A255" s="2">
        <v>45443</v>
      </c>
      <c r="B255" s="3">
        <v>516.46</v>
      </c>
      <c r="C255" s="3">
        <v>17.920000000000002</v>
      </c>
      <c r="D255" s="3">
        <v>18.27</v>
      </c>
      <c r="E255" s="3">
        <v>25.42</v>
      </c>
      <c r="F255" s="3">
        <v>46.05</v>
      </c>
      <c r="G255" s="3">
        <v>5277.5</v>
      </c>
    </row>
    <row r="256" spans="1:7" x14ac:dyDescent="0.45">
      <c r="A256" s="2">
        <v>45446</v>
      </c>
      <c r="B256" s="3">
        <v>516.78</v>
      </c>
      <c r="C256" s="3">
        <v>17.920000000000002</v>
      </c>
      <c r="D256" s="3">
        <v>18.21</v>
      </c>
      <c r="E256" s="3">
        <v>25.44</v>
      </c>
      <c r="F256" s="3">
        <v>46.07</v>
      </c>
      <c r="G256" s="3">
        <v>5283.41</v>
      </c>
    </row>
    <row r="257" spans="1:7" x14ac:dyDescent="0.45">
      <c r="A257" s="2">
        <v>45447</v>
      </c>
      <c r="B257" s="3">
        <v>517.54</v>
      </c>
      <c r="C257" s="3">
        <v>17.920000000000002</v>
      </c>
      <c r="D257" s="3">
        <v>18.03</v>
      </c>
      <c r="E257" s="3">
        <v>25.36</v>
      </c>
      <c r="F257" s="3">
        <v>46.09</v>
      </c>
      <c r="G257" s="3">
        <v>5291.35</v>
      </c>
    </row>
    <row r="258" spans="1:7" x14ac:dyDescent="0.45">
      <c r="A258" s="2">
        <v>45448</v>
      </c>
      <c r="B258" s="3">
        <v>523.74</v>
      </c>
      <c r="C258" s="3">
        <v>17.93</v>
      </c>
      <c r="D258" s="3">
        <v>18.190000000000001</v>
      </c>
      <c r="E258" s="3">
        <v>25.41</v>
      </c>
      <c r="F258" s="3">
        <v>46.1</v>
      </c>
      <c r="G258" s="3">
        <v>5354.04</v>
      </c>
    </row>
    <row r="259" spans="1:7" x14ac:dyDescent="0.45">
      <c r="A259" s="2">
        <v>45449</v>
      </c>
      <c r="B259" s="3">
        <v>523.72</v>
      </c>
      <c r="C259" s="3">
        <v>17.739999999999998</v>
      </c>
      <c r="D259" s="3">
        <v>18.079999999999998</v>
      </c>
      <c r="E259" s="3">
        <v>25.27</v>
      </c>
      <c r="F259" s="3">
        <v>46.11</v>
      </c>
      <c r="G259" s="3">
        <v>5352.95</v>
      </c>
    </row>
    <row r="260" spans="1:7" x14ac:dyDescent="0.45">
      <c r="A260" s="2">
        <v>45450</v>
      </c>
      <c r="B260" s="3">
        <v>523.05999999999995</v>
      </c>
      <c r="C260" s="3">
        <v>17.89</v>
      </c>
      <c r="D260" s="3">
        <v>18.170000000000002</v>
      </c>
      <c r="E260" s="3">
        <v>25.4</v>
      </c>
      <c r="F260" s="3">
        <v>46.1</v>
      </c>
      <c r="G260" s="3">
        <v>5346.98</v>
      </c>
    </row>
    <row r="261" spans="1:7" x14ac:dyDescent="0.45">
      <c r="A261" s="2">
        <v>45453</v>
      </c>
      <c r="B261" s="3">
        <v>524.62</v>
      </c>
      <c r="C261" s="3">
        <v>17.88</v>
      </c>
      <c r="D261" s="3">
        <v>18.07</v>
      </c>
      <c r="E261" s="3">
        <v>25.48</v>
      </c>
      <c r="F261" s="3">
        <v>46.11</v>
      </c>
      <c r="G261" s="3">
        <v>5360.78</v>
      </c>
    </row>
    <row r="262" spans="1:7" x14ac:dyDescent="0.45">
      <c r="A262" s="2">
        <v>45454</v>
      </c>
      <c r="B262" s="3">
        <v>525.91999999999996</v>
      </c>
      <c r="C262" s="3">
        <v>17.79</v>
      </c>
      <c r="D262" s="3">
        <v>18</v>
      </c>
      <c r="E262" s="3">
        <v>25.33</v>
      </c>
      <c r="F262" s="3">
        <v>46.13</v>
      </c>
      <c r="G262" s="3">
        <v>5375.31</v>
      </c>
    </row>
    <row r="263" spans="1:7" x14ac:dyDescent="0.45">
      <c r="A263" s="2">
        <v>45455</v>
      </c>
      <c r="B263" s="3">
        <v>530.29999999999995</v>
      </c>
      <c r="C263" s="3">
        <v>17.8</v>
      </c>
      <c r="D263" s="3">
        <v>18</v>
      </c>
      <c r="E263" s="3">
        <v>25.36</v>
      </c>
      <c r="F263" s="3">
        <v>46.16</v>
      </c>
      <c r="G263" s="3">
        <v>5421.02</v>
      </c>
    </row>
    <row r="264" spans="1:7" x14ac:dyDescent="0.45">
      <c r="A264" s="2">
        <v>45456</v>
      </c>
      <c r="B264" s="3">
        <v>531.41999999999996</v>
      </c>
      <c r="C264" s="3">
        <v>17.670000000000002</v>
      </c>
      <c r="D264" s="3">
        <v>17.809999999999999</v>
      </c>
      <c r="E264" s="3">
        <v>25.36</v>
      </c>
      <c r="F264" s="3">
        <v>46.18</v>
      </c>
      <c r="G264" s="3">
        <v>5433.75</v>
      </c>
    </row>
    <row r="265" spans="1:7" x14ac:dyDescent="0.45">
      <c r="A265" s="2">
        <v>45457</v>
      </c>
      <c r="B265" s="3">
        <v>531.6</v>
      </c>
      <c r="C265" s="3">
        <v>17.579999999999998</v>
      </c>
      <c r="D265" s="3">
        <v>17.829999999999998</v>
      </c>
      <c r="E265" s="3">
        <v>25.31</v>
      </c>
      <c r="F265" s="3">
        <v>46.19</v>
      </c>
      <c r="G265" s="3">
        <v>5431.61</v>
      </c>
    </row>
    <row r="266" spans="1:7" x14ac:dyDescent="0.45">
      <c r="A266" s="2">
        <v>45460</v>
      </c>
      <c r="B266" s="3">
        <v>535.95000000000005</v>
      </c>
      <c r="C266" s="3">
        <v>17.61</v>
      </c>
      <c r="D266" s="3">
        <v>18</v>
      </c>
      <c r="E266" s="3">
        <v>25.37</v>
      </c>
      <c r="F266" s="3">
        <v>46.18</v>
      </c>
      <c r="G266" s="3">
        <v>5473.24</v>
      </c>
    </row>
    <row r="267" spans="1:7" x14ac:dyDescent="0.45">
      <c r="A267" s="2">
        <v>45461</v>
      </c>
      <c r="B267" s="3">
        <v>537.25</v>
      </c>
      <c r="C267" s="3">
        <v>17.5</v>
      </c>
      <c r="D267" s="3">
        <v>17.97</v>
      </c>
      <c r="E267" s="3">
        <v>25.45</v>
      </c>
      <c r="F267" s="3">
        <v>46.2</v>
      </c>
      <c r="G267" s="3">
        <v>5487.02</v>
      </c>
    </row>
    <row r="268" spans="1:7" x14ac:dyDescent="0.45">
      <c r="A268" s="2">
        <v>45463</v>
      </c>
      <c r="B268" s="3">
        <v>535.59</v>
      </c>
      <c r="C268" s="3">
        <v>17.5</v>
      </c>
      <c r="D268" s="3">
        <v>18.02</v>
      </c>
      <c r="E268" s="3">
        <v>25.31</v>
      </c>
      <c r="F268" s="3">
        <v>46.2</v>
      </c>
      <c r="G268" s="3">
        <v>5473.16</v>
      </c>
    </row>
    <row r="269" spans="1:7" x14ac:dyDescent="0.45">
      <c r="A269" s="2">
        <v>45464</v>
      </c>
      <c r="B269" s="3">
        <v>534.67999999999995</v>
      </c>
      <c r="C269" s="3">
        <v>17.5</v>
      </c>
      <c r="D269" s="3">
        <v>17.98</v>
      </c>
      <c r="E269" s="3">
        <v>25.7</v>
      </c>
      <c r="F269" s="3">
        <v>46.2</v>
      </c>
      <c r="G269" s="3">
        <v>5464.61</v>
      </c>
    </row>
    <row r="270" spans="1:7" x14ac:dyDescent="0.45">
      <c r="A270" s="2">
        <v>45467</v>
      </c>
      <c r="B270" s="3">
        <v>533.30999999999995</v>
      </c>
      <c r="C270" s="3">
        <v>17.57</v>
      </c>
      <c r="D270" s="3">
        <v>18.04</v>
      </c>
      <c r="E270" s="3">
        <v>25.54</v>
      </c>
      <c r="F270" s="3">
        <v>46.23</v>
      </c>
      <c r="G270" s="3">
        <v>5447.88</v>
      </c>
    </row>
    <row r="271" spans="1:7" x14ac:dyDescent="0.45">
      <c r="A271" s="2">
        <v>45468</v>
      </c>
      <c r="B271" s="3">
        <v>535.34</v>
      </c>
      <c r="C271" s="3">
        <v>17.440000000000001</v>
      </c>
      <c r="D271" s="3">
        <v>17.940000000000001</v>
      </c>
      <c r="E271" s="3">
        <v>25.63</v>
      </c>
      <c r="F271" s="3">
        <v>46.23</v>
      </c>
      <c r="G271" s="3">
        <v>5469.29</v>
      </c>
    </row>
    <row r="272" spans="1:7" x14ac:dyDescent="0.45">
      <c r="A272" s="2">
        <v>45469</v>
      </c>
      <c r="B272" s="3">
        <v>536.16</v>
      </c>
      <c r="C272" s="3">
        <v>17.489999999999998</v>
      </c>
      <c r="D272" s="3">
        <v>17.96</v>
      </c>
      <c r="E272" s="3">
        <v>25.63</v>
      </c>
      <c r="F272" s="3">
        <v>46.23</v>
      </c>
      <c r="G272" s="3">
        <v>5477.91</v>
      </c>
    </row>
    <row r="273" spans="1:7" x14ac:dyDescent="0.45">
      <c r="A273" s="2">
        <v>45470</v>
      </c>
      <c r="B273" s="3">
        <v>536.94000000000005</v>
      </c>
      <c r="C273" s="3">
        <v>17.68</v>
      </c>
      <c r="D273" s="3">
        <v>18.11</v>
      </c>
      <c r="E273" s="3">
        <v>25.71</v>
      </c>
      <c r="F273" s="3">
        <v>46.24</v>
      </c>
      <c r="G273" s="3">
        <v>5482.88</v>
      </c>
    </row>
    <row r="274" spans="1:7" x14ac:dyDescent="0.45">
      <c r="A274" s="2">
        <v>45471</v>
      </c>
      <c r="B274" s="3">
        <v>534.9</v>
      </c>
      <c r="C274" s="3">
        <v>17.72</v>
      </c>
      <c r="D274" s="3">
        <v>18.11</v>
      </c>
      <c r="E274" s="3">
        <v>25.35</v>
      </c>
      <c r="F274" s="3">
        <v>46.25</v>
      </c>
      <c r="G274" s="3">
        <v>5460.49</v>
      </c>
    </row>
    <row r="275" spans="1:7" x14ac:dyDescent="0.45">
      <c r="A275" s="2">
        <v>45474</v>
      </c>
      <c r="B275" s="3">
        <v>536.04999999999995</v>
      </c>
      <c r="C275" s="3">
        <v>17.61</v>
      </c>
      <c r="D275" s="3">
        <v>18.16</v>
      </c>
      <c r="E275" s="3">
        <v>25.26</v>
      </c>
      <c r="F275" s="3">
        <v>46.25</v>
      </c>
      <c r="G275" s="3">
        <v>5475.1</v>
      </c>
    </row>
    <row r="276" spans="1:7" x14ac:dyDescent="0.45">
      <c r="A276" s="2">
        <v>45475</v>
      </c>
      <c r="B276" s="3">
        <v>539.47</v>
      </c>
      <c r="C276" s="3">
        <v>17.75</v>
      </c>
      <c r="D276" s="3">
        <v>18.46</v>
      </c>
      <c r="E276" s="3">
        <v>25.79</v>
      </c>
      <c r="F276" s="3">
        <v>46.28</v>
      </c>
      <c r="G276" s="3">
        <v>5509.02</v>
      </c>
    </row>
    <row r="277" spans="1:7" x14ac:dyDescent="0.45">
      <c r="A277" s="2">
        <v>45476</v>
      </c>
      <c r="B277" s="3">
        <v>541.84</v>
      </c>
      <c r="C277" s="3">
        <v>17.82</v>
      </c>
      <c r="D277" s="3">
        <v>18.45</v>
      </c>
      <c r="E277" s="3">
        <v>25.77</v>
      </c>
      <c r="F277" s="3">
        <v>46.29</v>
      </c>
      <c r="G277" s="3">
        <v>5537.01</v>
      </c>
    </row>
    <row r="278" spans="1:7" x14ac:dyDescent="0.45">
      <c r="A278" s="2">
        <v>45478</v>
      </c>
      <c r="B278" s="3">
        <v>545.19000000000005</v>
      </c>
      <c r="C278" s="3">
        <v>17.940000000000001</v>
      </c>
      <c r="D278" s="3">
        <v>18.43</v>
      </c>
      <c r="E278" s="3">
        <v>26.05</v>
      </c>
      <c r="F278" s="3">
        <v>46.32</v>
      </c>
      <c r="G278" s="3">
        <v>5567.2</v>
      </c>
    </row>
    <row r="279" spans="1:7" x14ac:dyDescent="0.45">
      <c r="A279" s="2">
        <v>45481</v>
      </c>
      <c r="B279" s="3">
        <v>545.82000000000005</v>
      </c>
      <c r="C279" s="3">
        <v>17.98</v>
      </c>
      <c r="D279" s="3">
        <v>18.46</v>
      </c>
      <c r="E279" s="3">
        <v>26.15</v>
      </c>
      <c r="F279" s="3">
        <v>46.34</v>
      </c>
      <c r="G279" s="3">
        <v>5572.86</v>
      </c>
    </row>
    <row r="280" spans="1:7" x14ac:dyDescent="0.45">
      <c r="A280" s="2">
        <v>45482</v>
      </c>
      <c r="B280" s="3">
        <v>546.33000000000004</v>
      </c>
      <c r="C280" s="3">
        <v>17.899999999999999</v>
      </c>
      <c r="D280" s="3">
        <v>18.39</v>
      </c>
      <c r="E280" s="3">
        <v>25.45</v>
      </c>
      <c r="F280" s="3">
        <v>46.34</v>
      </c>
      <c r="G280" s="3">
        <v>5576.97</v>
      </c>
    </row>
    <row r="281" spans="1:7" x14ac:dyDescent="0.45">
      <c r="A281" s="2">
        <v>45483</v>
      </c>
      <c r="B281" s="3">
        <v>551.53</v>
      </c>
      <c r="C281" s="3">
        <v>17.98</v>
      </c>
      <c r="D281" s="3">
        <v>18.55</v>
      </c>
      <c r="E281" s="3">
        <v>25.5</v>
      </c>
      <c r="F281" s="3">
        <v>46.36</v>
      </c>
      <c r="G281" s="3">
        <v>5633.92</v>
      </c>
    </row>
    <row r="282" spans="1:7" x14ac:dyDescent="0.45">
      <c r="A282" s="2">
        <v>45484</v>
      </c>
      <c r="B282" s="3">
        <v>546.85</v>
      </c>
      <c r="C282" s="3">
        <v>18.04</v>
      </c>
      <c r="D282" s="3">
        <v>18.46</v>
      </c>
      <c r="E282" s="3">
        <v>25.48</v>
      </c>
      <c r="F282" s="3">
        <v>46.39</v>
      </c>
      <c r="G282" s="3">
        <v>5584.55</v>
      </c>
    </row>
    <row r="283" spans="1:7" x14ac:dyDescent="0.45">
      <c r="A283" s="2">
        <v>45485</v>
      </c>
      <c r="B283" s="3">
        <v>550.35</v>
      </c>
      <c r="C283" s="3">
        <v>18.010000000000002</v>
      </c>
      <c r="D283" s="3">
        <v>18.55</v>
      </c>
      <c r="E283" s="3">
        <v>25.26</v>
      </c>
      <c r="F283" s="3">
        <v>46.42</v>
      </c>
      <c r="G283" s="3">
        <v>5615.34</v>
      </c>
    </row>
    <row r="284" spans="1:7" x14ac:dyDescent="0.45">
      <c r="A284" s="2">
        <v>45488</v>
      </c>
      <c r="B284" s="3">
        <v>551.88</v>
      </c>
      <c r="C284" s="3">
        <v>17.88</v>
      </c>
      <c r="D284" s="3">
        <v>18.47</v>
      </c>
      <c r="E284" s="3">
        <v>25.31</v>
      </c>
      <c r="F284" s="3">
        <v>46.42</v>
      </c>
      <c r="G284" s="3">
        <v>5631.21</v>
      </c>
    </row>
    <row r="285" spans="1:7" x14ac:dyDescent="0.45">
      <c r="A285" s="2">
        <v>45489</v>
      </c>
      <c r="B285" s="3">
        <v>555.16</v>
      </c>
      <c r="C285" s="3">
        <v>17.87</v>
      </c>
      <c r="D285" s="3">
        <v>18.329999999999998</v>
      </c>
      <c r="E285" s="3">
        <v>25.27</v>
      </c>
      <c r="F285" s="3">
        <v>46.43</v>
      </c>
      <c r="G285" s="3">
        <v>5667.21</v>
      </c>
    </row>
    <row r="286" spans="1:7" x14ac:dyDescent="0.45">
      <c r="A286" s="2">
        <v>45490</v>
      </c>
      <c r="B286" s="3">
        <v>547.41</v>
      </c>
      <c r="C286" s="3">
        <v>17.91</v>
      </c>
      <c r="D286" s="3">
        <v>18.350000000000001</v>
      </c>
      <c r="E286" s="3">
        <v>25.08</v>
      </c>
      <c r="F286" s="3">
        <v>46.43</v>
      </c>
      <c r="G286" s="3">
        <v>5588.28</v>
      </c>
    </row>
    <row r="287" spans="1:7" x14ac:dyDescent="0.45">
      <c r="A287" s="2">
        <v>45491</v>
      </c>
      <c r="B287" s="3">
        <v>543.08000000000004</v>
      </c>
      <c r="C287" s="3">
        <v>17.72</v>
      </c>
      <c r="D287" s="3">
        <v>18.22</v>
      </c>
      <c r="E287" s="3">
        <v>25.06</v>
      </c>
      <c r="F287" s="3">
        <v>46.44</v>
      </c>
      <c r="G287" s="3">
        <v>5544.58</v>
      </c>
    </row>
    <row r="288" spans="1:7" x14ac:dyDescent="0.45">
      <c r="A288" s="2">
        <v>45492</v>
      </c>
      <c r="B288" s="3">
        <v>539.54</v>
      </c>
      <c r="C288" s="3">
        <v>17.61</v>
      </c>
      <c r="D288" s="3">
        <v>18.04</v>
      </c>
      <c r="E288" s="3">
        <v>25.04</v>
      </c>
      <c r="F288" s="3">
        <v>46.45</v>
      </c>
      <c r="G288" s="3">
        <v>5504.99</v>
      </c>
    </row>
    <row r="289" spans="1:7" x14ac:dyDescent="0.45">
      <c r="A289" s="2">
        <v>45495</v>
      </c>
      <c r="B289" s="3">
        <v>545.14</v>
      </c>
      <c r="C289" s="3">
        <v>17.84</v>
      </c>
      <c r="D289" s="3">
        <v>18.25</v>
      </c>
      <c r="E289" s="3">
        <v>25.28</v>
      </c>
      <c r="F289" s="3">
        <v>46.46</v>
      </c>
      <c r="G289" s="3">
        <v>5564.4</v>
      </c>
    </row>
    <row r="290" spans="1:7" x14ac:dyDescent="0.45">
      <c r="A290" s="2">
        <v>45496</v>
      </c>
      <c r="B290" s="3">
        <v>544.23</v>
      </c>
      <c r="C290" s="3">
        <v>17.739999999999998</v>
      </c>
      <c r="D290" s="3">
        <v>18.03</v>
      </c>
      <c r="E290" s="3">
        <v>25</v>
      </c>
      <c r="F290" s="3">
        <v>46.47</v>
      </c>
      <c r="G290" s="3">
        <v>5555.75</v>
      </c>
    </row>
    <row r="291" spans="1:7" x14ac:dyDescent="0.45">
      <c r="A291" s="2">
        <v>45497</v>
      </c>
      <c r="B291" s="3">
        <v>531.94000000000005</v>
      </c>
      <c r="C291" s="3">
        <v>17.649999999999999</v>
      </c>
      <c r="D291" s="3">
        <v>17.850000000000001</v>
      </c>
      <c r="E291" s="3">
        <v>24.79</v>
      </c>
      <c r="F291" s="3">
        <v>46.49</v>
      </c>
      <c r="G291" s="3">
        <v>5427.12</v>
      </c>
    </row>
    <row r="292" spans="1:7" x14ac:dyDescent="0.45">
      <c r="A292" s="2">
        <v>45498</v>
      </c>
      <c r="B292" s="3">
        <v>529.14</v>
      </c>
      <c r="C292" s="3">
        <v>17.66</v>
      </c>
      <c r="D292" s="3">
        <v>17.739999999999998</v>
      </c>
      <c r="E292" s="3">
        <v>25.09</v>
      </c>
      <c r="F292" s="3">
        <v>46.49</v>
      </c>
      <c r="G292" s="3">
        <v>5399.23</v>
      </c>
    </row>
    <row r="293" spans="1:7" x14ac:dyDescent="0.45">
      <c r="A293" s="2">
        <v>45499</v>
      </c>
      <c r="B293" s="3">
        <v>535.04999999999995</v>
      </c>
      <c r="C293" s="3">
        <v>17.809999999999999</v>
      </c>
      <c r="D293" s="3">
        <v>17.829999999999998</v>
      </c>
      <c r="E293" s="3">
        <v>25.46</v>
      </c>
      <c r="F293" s="3">
        <v>46.53</v>
      </c>
      <c r="G293" s="3">
        <v>5459.09</v>
      </c>
    </row>
    <row r="294" spans="1:7" x14ac:dyDescent="0.45">
      <c r="A294" s="2">
        <v>45502</v>
      </c>
      <c r="B294" s="3">
        <v>535.41999999999996</v>
      </c>
      <c r="C294" s="3">
        <v>17.760000000000002</v>
      </c>
      <c r="D294" s="3">
        <v>17.75</v>
      </c>
      <c r="E294" s="3">
        <v>25.29</v>
      </c>
      <c r="F294" s="3">
        <v>46.54</v>
      </c>
      <c r="G294" s="3">
        <v>5463.55</v>
      </c>
    </row>
    <row r="295" spans="1:7" x14ac:dyDescent="0.45">
      <c r="A295" s="2">
        <v>45503</v>
      </c>
      <c r="B295" s="3">
        <v>532.54</v>
      </c>
      <c r="C295" s="3">
        <v>18.09</v>
      </c>
      <c r="D295" s="3">
        <v>17.829999999999998</v>
      </c>
      <c r="E295" s="3">
        <v>25.42</v>
      </c>
      <c r="F295" s="3">
        <v>46.56</v>
      </c>
      <c r="G295" s="3">
        <v>5436.45</v>
      </c>
    </row>
    <row r="296" spans="1:7" x14ac:dyDescent="0.45">
      <c r="A296" s="2">
        <v>45504</v>
      </c>
      <c r="B296" s="3">
        <v>540.85</v>
      </c>
      <c r="C296" s="3">
        <v>17.8</v>
      </c>
      <c r="D296" s="3">
        <v>17.71</v>
      </c>
      <c r="E296" s="3">
        <v>25.38</v>
      </c>
      <c r="F296" s="3">
        <v>46.57</v>
      </c>
      <c r="G296" s="3">
        <v>5522.29</v>
      </c>
    </row>
    <row r="297" spans="1:7" x14ac:dyDescent="0.45">
      <c r="A297" s="2">
        <v>45505</v>
      </c>
      <c r="B297" s="3">
        <v>533.74</v>
      </c>
      <c r="C297" s="3">
        <v>17.71</v>
      </c>
      <c r="D297" s="3">
        <v>17.68</v>
      </c>
      <c r="E297" s="3">
        <v>25.06</v>
      </c>
      <c r="F297" s="3">
        <v>46.59</v>
      </c>
      <c r="G297" s="3">
        <v>5446.69</v>
      </c>
    </row>
    <row r="298" spans="1:7" x14ac:dyDescent="0.45">
      <c r="A298" s="2">
        <v>45506</v>
      </c>
      <c r="B298" s="3">
        <v>523.69000000000005</v>
      </c>
      <c r="C298" s="3">
        <v>17.25</v>
      </c>
      <c r="D298" s="3">
        <v>17.32</v>
      </c>
      <c r="E298" s="3">
        <v>24.39</v>
      </c>
      <c r="F298" s="3">
        <v>46.66</v>
      </c>
      <c r="G298" s="3">
        <v>5346.55</v>
      </c>
    </row>
    <row r="299" spans="1:7" x14ac:dyDescent="0.45">
      <c r="A299" s="2">
        <v>45509</v>
      </c>
      <c r="B299" s="3">
        <v>508.46</v>
      </c>
      <c r="C299" s="3">
        <v>16.829999999999998</v>
      </c>
      <c r="D299" s="3">
        <v>16.940000000000001</v>
      </c>
      <c r="E299" s="3">
        <v>23.8</v>
      </c>
      <c r="F299" s="3">
        <v>46.65</v>
      </c>
      <c r="G299" s="3">
        <v>5186.34</v>
      </c>
    </row>
    <row r="300" spans="1:7" x14ac:dyDescent="0.45">
      <c r="A300" s="2">
        <v>45510</v>
      </c>
      <c r="B300" s="3">
        <v>513.28</v>
      </c>
      <c r="C300" s="3">
        <v>17.3</v>
      </c>
      <c r="D300" s="3">
        <v>17.25</v>
      </c>
      <c r="E300" s="3">
        <v>24.35</v>
      </c>
      <c r="F300" s="3">
        <v>46.66</v>
      </c>
      <c r="G300" s="3">
        <v>5240.04</v>
      </c>
    </row>
    <row r="301" spans="1:7" x14ac:dyDescent="0.45">
      <c r="A301" s="2">
        <v>45511</v>
      </c>
      <c r="B301" s="3">
        <v>509.74</v>
      </c>
      <c r="C301" s="3">
        <v>17.260000000000002</v>
      </c>
      <c r="D301" s="3">
        <v>17.23</v>
      </c>
      <c r="E301" s="3">
        <v>24.88</v>
      </c>
      <c r="F301" s="3">
        <v>46.66</v>
      </c>
      <c r="G301" s="3">
        <v>5199.51</v>
      </c>
    </row>
    <row r="302" spans="1:7" x14ac:dyDescent="0.45">
      <c r="A302" s="2">
        <v>45512</v>
      </c>
      <c r="B302" s="3">
        <v>521.54</v>
      </c>
      <c r="C302" s="3">
        <v>17.37</v>
      </c>
      <c r="D302" s="3">
        <v>17.489999999999998</v>
      </c>
      <c r="E302" s="3">
        <v>24.79</v>
      </c>
      <c r="F302" s="3">
        <v>46.65</v>
      </c>
      <c r="G302" s="3">
        <v>5319.3</v>
      </c>
    </row>
    <row r="303" spans="1:7" x14ac:dyDescent="0.45">
      <c r="A303" s="2">
        <v>45513</v>
      </c>
      <c r="B303" s="3">
        <v>523.77</v>
      </c>
      <c r="C303" s="3">
        <v>17.43</v>
      </c>
      <c r="D303" s="3">
        <v>17.510000000000002</v>
      </c>
      <c r="E303" s="3">
        <v>24.75</v>
      </c>
      <c r="F303" s="3">
        <v>46.67</v>
      </c>
      <c r="G303" s="3">
        <v>5344.15</v>
      </c>
    </row>
    <row r="304" spans="1:7" x14ac:dyDescent="0.45">
      <c r="A304" s="2">
        <v>45516</v>
      </c>
      <c r="B304" s="3">
        <v>524.03</v>
      </c>
      <c r="C304" s="3">
        <v>17.5</v>
      </c>
      <c r="D304" s="3">
        <v>17.420000000000002</v>
      </c>
      <c r="E304" s="3">
        <v>24.77</v>
      </c>
      <c r="F304" s="3">
        <v>46.69</v>
      </c>
      <c r="G304" s="3">
        <v>5344.38</v>
      </c>
    </row>
    <row r="305" spans="1:7" x14ac:dyDescent="0.45">
      <c r="A305" s="2">
        <v>45517</v>
      </c>
      <c r="B305" s="3">
        <v>532.75</v>
      </c>
      <c r="C305" s="3">
        <v>17.47</v>
      </c>
      <c r="D305" s="3">
        <v>17.489999999999998</v>
      </c>
      <c r="E305" s="3">
        <v>24.83</v>
      </c>
      <c r="F305" s="3">
        <v>46.72</v>
      </c>
      <c r="G305" s="3">
        <v>5434.44</v>
      </c>
    </row>
    <row r="306" spans="1:7" x14ac:dyDescent="0.45">
      <c r="A306" s="2">
        <v>45518</v>
      </c>
      <c r="B306" s="3">
        <v>534.48</v>
      </c>
      <c r="C306" s="3">
        <v>17.489999999999998</v>
      </c>
      <c r="D306" s="3">
        <v>17.38</v>
      </c>
      <c r="E306" s="3">
        <v>24.83</v>
      </c>
      <c r="F306" s="3">
        <v>46.72</v>
      </c>
      <c r="G306" s="3">
        <v>5455.2</v>
      </c>
    </row>
    <row r="307" spans="1:7" x14ac:dyDescent="0.45">
      <c r="A307" s="2">
        <v>45519</v>
      </c>
      <c r="B307" s="3">
        <v>543.63</v>
      </c>
      <c r="C307" s="3">
        <v>17.62</v>
      </c>
      <c r="D307" s="3">
        <v>17.649999999999999</v>
      </c>
      <c r="E307" s="3">
        <v>24.93</v>
      </c>
      <c r="F307" s="3">
        <v>46.7</v>
      </c>
      <c r="G307" s="3">
        <v>5543.21</v>
      </c>
    </row>
    <row r="308" spans="1:7" x14ac:dyDescent="0.45">
      <c r="A308" s="2">
        <v>45520</v>
      </c>
      <c r="B308" s="3">
        <v>544.87</v>
      </c>
      <c r="C308" s="3">
        <v>17.63</v>
      </c>
      <c r="D308" s="3">
        <v>17.64</v>
      </c>
      <c r="E308" s="3">
        <v>24.89</v>
      </c>
      <c r="F308" s="3">
        <v>46.73</v>
      </c>
      <c r="G308" s="3">
        <v>5554.26</v>
      </c>
    </row>
    <row r="309" spans="1:7" x14ac:dyDescent="0.45">
      <c r="A309" s="2">
        <v>45523</v>
      </c>
      <c r="B309" s="3">
        <v>549.92999999999995</v>
      </c>
      <c r="C309" s="3">
        <v>17.72</v>
      </c>
      <c r="D309" s="3">
        <v>17.73</v>
      </c>
      <c r="E309" s="3">
        <v>24.89</v>
      </c>
      <c r="F309" s="3">
        <v>46.76</v>
      </c>
      <c r="G309" s="3">
        <v>5608.24</v>
      </c>
    </row>
    <row r="310" spans="1:7" x14ac:dyDescent="0.45">
      <c r="A310" s="2">
        <v>45524</v>
      </c>
      <c r="B310" s="3">
        <v>549.11</v>
      </c>
      <c r="C310" s="3">
        <v>17.670000000000002</v>
      </c>
      <c r="D310" s="3">
        <v>17.600000000000001</v>
      </c>
      <c r="E310" s="3">
        <v>24.67</v>
      </c>
      <c r="F310" s="3">
        <v>46.76</v>
      </c>
      <c r="G310" s="3">
        <v>5597.11</v>
      </c>
    </row>
    <row r="311" spans="1:7" x14ac:dyDescent="0.45">
      <c r="A311" s="2">
        <v>45525</v>
      </c>
      <c r="B311" s="3">
        <v>551.25</v>
      </c>
      <c r="C311" s="3">
        <v>17.809999999999999</v>
      </c>
      <c r="D311" s="3">
        <v>17.62</v>
      </c>
      <c r="E311" s="3">
        <v>24.64</v>
      </c>
      <c r="F311" s="3">
        <v>46.79</v>
      </c>
      <c r="G311" s="3">
        <v>5620.84</v>
      </c>
    </row>
    <row r="312" spans="1:7" x14ac:dyDescent="0.45">
      <c r="A312" s="2">
        <v>45526</v>
      </c>
      <c r="B312" s="3">
        <v>546.59</v>
      </c>
      <c r="C312" s="3">
        <v>17.78</v>
      </c>
      <c r="D312" s="3">
        <v>17.670000000000002</v>
      </c>
      <c r="E312" s="3">
        <v>24.68</v>
      </c>
      <c r="F312" s="3">
        <v>46.77</v>
      </c>
      <c r="G312" s="3">
        <v>5570.65</v>
      </c>
    </row>
    <row r="313" spans="1:7" x14ac:dyDescent="0.45">
      <c r="A313" s="2">
        <v>45527</v>
      </c>
      <c r="B313" s="3">
        <v>552.49</v>
      </c>
      <c r="C313" s="3">
        <v>17.78</v>
      </c>
      <c r="D313" s="3">
        <v>17.899999999999999</v>
      </c>
      <c r="E313" s="3">
        <v>24.45</v>
      </c>
      <c r="F313" s="3">
        <v>46.79</v>
      </c>
      <c r="G313" s="3">
        <v>5634.6</v>
      </c>
    </row>
    <row r="314" spans="1:7" x14ac:dyDescent="0.45">
      <c r="A314" s="2">
        <v>45530</v>
      </c>
      <c r="B314" s="3">
        <v>550.92999999999995</v>
      </c>
      <c r="C314" s="3">
        <v>17.829999999999998</v>
      </c>
      <c r="D314" s="3">
        <v>17.829999999999998</v>
      </c>
      <c r="E314" s="3">
        <v>24.59</v>
      </c>
      <c r="F314" s="3">
        <v>46.81</v>
      </c>
      <c r="G314" s="3">
        <v>5616.85</v>
      </c>
    </row>
    <row r="315" spans="1:7" x14ac:dyDescent="0.45">
      <c r="A315" s="2">
        <v>45531</v>
      </c>
      <c r="B315" s="3">
        <v>551.92999999999995</v>
      </c>
      <c r="C315" s="3">
        <v>17.920000000000002</v>
      </c>
      <c r="D315" s="3">
        <v>17.940000000000001</v>
      </c>
      <c r="E315" s="3">
        <v>24.59</v>
      </c>
      <c r="F315" s="3">
        <v>46.83</v>
      </c>
      <c r="G315" s="3">
        <v>5625.79</v>
      </c>
    </row>
    <row r="316" spans="1:7" x14ac:dyDescent="0.45">
      <c r="A316" s="2">
        <v>45532</v>
      </c>
      <c r="B316" s="3">
        <v>548.71</v>
      </c>
      <c r="C316" s="3">
        <v>17.829999999999998</v>
      </c>
      <c r="D316" s="3">
        <v>17.850000000000001</v>
      </c>
      <c r="E316" s="3">
        <v>24.54</v>
      </c>
      <c r="F316" s="3">
        <v>46.83</v>
      </c>
      <c r="G316" s="3">
        <v>5592.19</v>
      </c>
    </row>
    <row r="317" spans="1:7" x14ac:dyDescent="0.45">
      <c r="A317" s="2">
        <v>45533</v>
      </c>
      <c r="B317" s="3">
        <v>548.79</v>
      </c>
      <c r="C317" s="3">
        <v>17.86</v>
      </c>
      <c r="D317" s="3">
        <v>17.97</v>
      </c>
      <c r="E317" s="3">
        <v>24.83</v>
      </c>
      <c r="F317" s="3">
        <v>46.84</v>
      </c>
      <c r="G317" s="3">
        <v>5591.95</v>
      </c>
    </row>
    <row r="318" spans="1:7" x14ac:dyDescent="0.45">
      <c r="A318" s="2">
        <v>45534</v>
      </c>
      <c r="B318" s="3">
        <v>553.98</v>
      </c>
      <c r="C318" s="3">
        <v>17.920000000000002</v>
      </c>
      <c r="D318" s="3">
        <v>18.07</v>
      </c>
      <c r="E318" s="3">
        <v>24.96</v>
      </c>
      <c r="F318" s="3">
        <v>46.85</v>
      </c>
      <c r="G318" s="3">
        <v>5648.39</v>
      </c>
    </row>
    <row r="319" spans="1:7" x14ac:dyDescent="0.45">
      <c r="A319" s="2">
        <v>45538</v>
      </c>
      <c r="B319" s="3">
        <v>542.74</v>
      </c>
      <c r="C319" s="3">
        <v>17.850000000000001</v>
      </c>
      <c r="D319" s="3">
        <v>18.05</v>
      </c>
      <c r="E319" s="3">
        <v>24.78</v>
      </c>
      <c r="F319" s="3">
        <v>46.85</v>
      </c>
      <c r="G319" s="3">
        <v>5528.92</v>
      </c>
    </row>
    <row r="320" spans="1:7" x14ac:dyDescent="0.45">
      <c r="A320" s="2">
        <v>45539</v>
      </c>
      <c r="B320" s="3">
        <v>541.61</v>
      </c>
      <c r="C320" s="3">
        <v>17.79</v>
      </c>
      <c r="D320" s="3">
        <v>18.07</v>
      </c>
      <c r="E320" s="3">
        <v>24.84</v>
      </c>
      <c r="F320" s="3">
        <v>46.88</v>
      </c>
      <c r="G320" s="3">
        <v>5520.08</v>
      </c>
    </row>
    <row r="321" spans="1:7" x14ac:dyDescent="0.45">
      <c r="A321" s="2">
        <v>45540</v>
      </c>
      <c r="B321" s="3">
        <v>540.11</v>
      </c>
      <c r="C321" s="3">
        <v>17.73</v>
      </c>
      <c r="D321" s="3">
        <v>18.170000000000002</v>
      </c>
      <c r="E321" s="3">
        <v>24.92</v>
      </c>
      <c r="F321" s="3">
        <v>46.89</v>
      </c>
      <c r="G321" s="3">
        <v>5503.42</v>
      </c>
    </row>
    <row r="322" spans="1:7" x14ac:dyDescent="0.45">
      <c r="A322" s="2">
        <v>45541</v>
      </c>
      <c r="B322" s="3">
        <v>531.12</v>
      </c>
      <c r="C322" s="3">
        <v>17.440000000000001</v>
      </c>
      <c r="D322" s="3">
        <v>18.04</v>
      </c>
      <c r="E322" s="3">
        <v>24.77</v>
      </c>
      <c r="F322" s="3">
        <v>46.93</v>
      </c>
      <c r="G322" s="3">
        <v>5408.43</v>
      </c>
    </row>
    <row r="323" spans="1:7" x14ac:dyDescent="0.45">
      <c r="A323" s="2">
        <v>45544</v>
      </c>
      <c r="B323" s="3">
        <v>537.08000000000004</v>
      </c>
      <c r="C323" s="3">
        <v>17.489999999999998</v>
      </c>
      <c r="D323" s="3">
        <v>17.989999999999998</v>
      </c>
      <c r="E323" s="3">
        <v>24.85</v>
      </c>
      <c r="F323" s="3">
        <v>46.95</v>
      </c>
      <c r="G323" s="3">
        <v>5471.06</v>
      </c>
    </row>
    <row r="324" spans="1:7" x14ac:dyDescent="0.45">
      <c r="A324" s="2">
        <v>45545</v>
      </c>
      <c r="B324" s="3">
        <v>539.07000000000005</v>
      </c>
      <c r="C324" s="3">
        <v>17.46</v>
      </c>
      <c r="D324" s="3">
        <v>17.920000000000002</v>
      </c>
      <c r="E324" s="3">
        <v>24.73</v>
      </c>
      <c r="F324" s="3">
        <v>46.98</v>
      </c>
      <c r="G324" s="3">
        <v>5495.53</v>
      </c>
    </row>
    <row r="325" spans="1:7" x14ac:dyDescent="0.45">
      <c r="A325" s="2">
        <v>45546</v>
      </c>
      <c r="B325" s="3">
        <v>544.89</v>
      </c>
      <c r="C325" s="3">
        <v>17.45</v>
      </c>
      <c r="D325" s="3">
        <v>18</v>
      </c>
      <c r="E325" s="3">
        <v>24.73</v>
      </c>
      <c r="F325" s="3">
        <v>46.98</v>
      </c>
      <c r="G325" s="3">
        <v>5554.14</v>
      </c>
    </row>
    <row r="326" spans="1:7" x14ac:dyDescent="0.45">
      <c r="A326" s="2">
        <v>45547</v>
      </c>
      <c r="B326" s="3">
        <v>549.5</v>
      </c>
      <c r="C326" s="3">
        <v>17.579999999999998</v>
      </c>
      <c r="D326" s="3">
        <v>18.079999999999998</v>
      </c>
      <c r="E326" s="3">
        <v>24.86</v>
      </c>
      <c r="F326" s="3">
        <v>46.96</v>
      </c>
      <c r="G326" s="3">
        <v>5595.75</v>
      </c>
    </row>
    <row r="327" spans="1:7" x14ac:dyDescent="0.45">
      <c r="A327" s="2">
        <v>45548</v>
      </c>
      <c r="B327" s="3">
        <v>552.30999999999995</v>
      </c>
      <c r="C327" s="3">
        <v>17.73</v>
      </c>
      <c r="D327" s="3">
        <v>18.21</v>
      </c>
      <c r="E327" s="3">
        <v>25.05</v>
      </c>
      <c r="F327" s="3">
        <v>47</v>
      </c>
      <c r="G327" s="3">
        <v>5626.01</v>
      </c>
    </row>
    <row r="328" spans="1:7" x14ac:dyDescent="0.45">
      <c r="A328" s="2">
        <v>45551</v>
      </c>
      <c r="B328" s="3">
        <v>553.23</v>
      </c>
      <c r="C328" s="3">
        <v>17.7</v>
      </c>
      <c r="D328" s="3">
        <v>18.149999999999999</v>
      </c>
      <c r="E328" s="3">
        <v>25.22</v>
      </c>
      <c r="F328" s="3">
        <v>47.03</v>
      </c>
      <c r="G328" s="3">
        <v>5633.08</v>
      </c>
    </row>
    <row r="329" spans="1:7" x14ac:dyDescent="0.45">
      <c r="A329" s="2">
        <v>45552</v>
      </c>
      <c r="B329" s="3">
        <v>553.44000000000005</v>
      </c>
      <c r="C329" s="3">
        <v>17.559999999999999</v>
      </c>
      <c r="D329" s="3">
        <v>18</v>
      </c>
      <c r="E329" s="3">
        <v>24.96</v>
      </c>
      <c r="F329" s="3">
        <v>47.04</v>
      </c>
      <c r="G329" s="3">
        <v>5634.57</v>
      </c>
    </row>
    <row r="330" spans="1:7" x14ac:dyDescent="0.45">
      <c r="A330" s="2">
        <v>45553</v>
      </c>
      <c r="B330" s="3">
        <v>551.79</v>
      </c>
      <c r="C330" s="3">
        <v>17.71</v>
      </c>
      <c r="D330" s="3">
        <v>17.79</v>
      </c>
      <c r="E330" s="3">
        <v>24.96</v>
      </c>
      <c r="F330" s="3">
        <v>47.01</v>
      </c>
      <c r="G330" s="3">
        <v>5618.25</v>
      </c>
    </row>
    <row r="331" spans="1:7" x14ac:dyDescent="0.45">
      <c r="A331" s="2">
        <v>45554</v>
      </c>
      <c r="B331" s="3">
        <v>561.25</v>
      </c>
      <c r="C331" s="3">
        <v>18.059999999999999</v>
      </c>
      <c r="D331" s="3">
        <v>17.93</v>
      </c>
      <c r="E331" s="3">
        <v>25.26</v>
      </c>
      <c r="F331" s="3">
        <v>47.04</v>
      </c>
      <c r="G331" s="3">
        <v>5713.65</v>
      </c>
    </row>
    <row r="332" spans="1:7" x14ac:dyDescent="0.45">
      <c r="A332" s="2">
        <v>45555</v>
      </c>
      <c r="B332" s="3">
        <v>560.07000000000005</v>
      </c>
      <c r="C332" s="3">
        <v>17.940000000000001</v>
      </c>
      <c r="D332" s="3">
        <v>17.84</v>
      </c>
      <c r="E332" s="3">
        <v>25.17</v>
      </c>
      <c r="F332" s="3">
        <v>47.07</v>
      </c>
      <c r="G332" s="3">
        <v>5702.54</v>
      </c>
    </row>
    <row r="333" spans="1:7" x14ac:dyDescent="0.45">
      <c r="A333" s="2">
        <v>45558</v>
      </c>
      <c r="B333" s="3">
        <v>561.63</v>
      </c>
      <c r="C333" s="3">
        <v>18.010000000000002</v>
      </c>
      <c r="D333" s="3">
        <v>17.93</v>
      </c>
      <c r="E333" s="3">
        <v>25.2</v>
      </c>
      <c r="F333" s="3">
        <v>47.08</v>
      </c>
      <c r="G333" s="3">
        <v>5718.58</v>
      </c>
    </row>
    <row r="334" spans="1:7" x14ac:dyDescent="0.45">
      <c r="A334" s="2">
        <v>45559</v>
      </c>
      <c r="B334" s="3">
        <v>563.26</v>
      </c>
      <c r="C334" s="3">
        <v>18.03</v>
      </c>
      <c r="D334" s="3">
        <v>17.829999999999998</v>
      </c>
      <c r="E334" s="3">
        <v>25.39</v>
      </c>
      <c r="F334" s="3">
        <v>47.11</v>
      </c>
      <c r="G334" s="3">
        <v>5732.94</v>
      </c>
    </row>
    <row r="335" spans="1:7" x14ac:dyDescent="0.45">
      <c r="A335" s="2">
        <v>45560</v>
      </c>
      <c r="B335" s="3">
        <v>561.92999999999995</v>
      </c>
      <c r="C335" s="3">
        <v>17.84</v>
      </c>
      <c r="D335" s="3">
        <v>17.670000000000002</v>
      </c>
      <c r="E335" s="3">
        <v>24.78</v>
      </c>
      <c r="F335" s="3">
        <v>47.09</v>
      </c>
      <c r="G335" s="3">
        <v>5722.27</v>
      </c>
    </row>
    <row r="336" spans="1:7" x14ac:dyDescent="0.45">
      <c r="A336" s="2">
        <v>45561</v>
      </c>
      <c r="B336" s="3">
        <v>564.33000000000004</v>
      </c>
      <c r="C336" s="3">
        <v>18</v>
      </c>
      <c r="D336" s="3">
        <v>17.8</v>
      </c>
      <c r="E336" s="3">
        <v>24.95</v>
      </c>
      <c r="F336" s="3">
        <v>47.08</v>
      </c>
      <c r="G336" s="3">
        <v>5745.36</v>
      </c>
    </row>
    <row r="337" spans="1:7" x14ac:dyDescent="0.45">
      <c r="A337" s="2">
        <v>45562</v>
      </c>
      <c r="B337" s="3">
        <v>563.30999999999995</v>
      </c>
      <c r="C337" s="3">
        <v>18.2</v>
      </c>
      <c r="D337" s="3">
        <v>17.989999999999998</v>
      </c>
      <c r="E337" s="3">
        <v>25</v>
      </c>
      <c r="F337" s="3">
        <v>47.12</v>
      </c>
      <c r="G337" s="3">
        <v>5738.16</v>
      </c>
    </row>
    <row r="338" spans="1:7" x14ac:dyDescent="0.45">
      <c r="A338" s="2">
        <v>45565</v>
      </c>
      <c r="B338" s="3">
        <v>566.01</v>
      </c>
      <c r="C338" s="3">
        <v>18.23</v>
      </c>
      <c r="D338" s="3">
        <v>17.86</v>
      </c>
      <c r="E338" s="3">
        <v>24.88</v>
      </c>
      <c r="F338" s="3">
        <v>47.12</v>
      </c>
      <c r="G338" s="3">
        <v>5762.49</v>
      </c>
    </row>
    <row r="339" spans="1:7" x14ac:dyDescent="0.45">
      <c r="A339" s="2">
        <v>45566</v>
      </c>
      <c r="B339" s="3">
        <v>560.66</v>
      </c>
      <c r="C339" s="3">
        <v>18.05</v>
      </c>
      <c r="D339" s="3">
        <v>17.64</v>
      </c>
      <c r="E339" s="3">
        <v>24.85</v>
      </c>
      <c r="F339" s="3">
        <v>47.11</v>
      </c>
      <c r="G339" s="3">
        <v>5708.74</v>
      </c>
    </row>
    <row r="340" spans="1:7" x14ac:dyDescent="0.45">
      <c r="A340" s="2">
        <v>45567</v>
      </c>
      <c r="B340" s="3">
        <v>560.89</v>
      </c>
      <c r="C340" s="3">
        <v>18.14</v>
      </c>
      <c r="D340" s="3">
        <v>17.690000000000001</v>
      </c>
      <c r="E340" s="3">
        <v>24.89</v>
      </c>
      <c r="F340" s="3">
        <v>47.12</v>
      </c>
      <c r="G340" s="3">
        <v>5709.55</v>
      </c>
    </row>
    <row r="341" spans="1:7" x14ac:dyDescent="0.45">
      <c r="A341" s="2">
        <v>45568</v>
      </c>
      <c r="B341" s="3">
        <v>559.82000000000005</v>
      </c>
      <c r="C341" s="3">
        <v>18.18</v>
      </c>
      <c r="D341" s="3">
        <v>17.8</v>
      </c>
      <c r="E341" s="3">
        <v>24.99</v>
      </c>
      <c r="F341" s="3">
        <v>47.11</v>
      </c>
      <c r="G341" s="3">
        <v>5699.95</v>
      </c>
    </row>
    <row r="342" spans="1:7" x14ac:dyDescent="0.45">
      <c r="A342" s="2">
        <v>45569</v>
      </c>
      <c r="B342" s="3">
        <v>564.9</v>
      </c>
      <c r="C342" s="3">
        <v>18.32</v>
      </c>
      <c r="D342" s="3">
        <v>17.850000000000001</v>
      </c>
      <c r="E342" s="3">
        <v>25.33</v>
      </c>
      <c r="F342" s="3">
        <v>47.08</v>
      </c>
      <c r="G342" s="3">
        <v>5751.06</v>
      </c>
    </row>
    <row r="343" spans="1:7" x14ac:dyDescent="0.45">
      <c r="A343" s="2">
        <v>45572</v>
      </c>
      <c r="B343" s="3">
        <v>559.84</v>
      </c>
      <c r="C343" s="3">
        <v>18.3</v>
      </c>
      <c r="D343" s="3">
        <v>17.8</v>
      </c>
      <c r="E343" s="3">
        <v>25.22</v>
      </c>
      <c r="F343" s="3">
        <v>47.08</v>
      </c>
      <c r="G343" s="3">
        <v>5695.93</v>
      </c>
    </row>
    <row r="344" spans="1:7" x14ac:dyDescent="0.45">
      <c r="A344" s="2">
        <v>45573</v>
      </c>
      <c r="B344" s="3">
        <v>565.15</v>
      </c>
      <c r="C344" s="3">
        <v>18.29</v>
      </c>
      <c r="D344" s="3">
        <v>17.8</v>
      </c>
      <c r="E344" s="3">
        <v>25.3</v>
      </c>
      <c r="F344" s="3">
        <v>47.11</v>
      </c>
      <c r="G344" s="3">
        <v>5751.14</v>
      </c>
    </row>
    <row r="345" spans="1:7" x14ac:dyDescent="0.45">
      <c r="A345" s="2">
        <v>45574</v>
      </c>
      <c r="B345" s="3">
        <v>568.98</v>
      </c>
      <c r="C345" s="3">
        <v>18.29</v>
      </c>
      <c r="D345" s="3">
        <v>17.66</v>
      </c>
      <c r="E345" s="3">
        <v>24.97</v>
      </c>
      <c r="F345" s="3">
        <v>47.1</v>
      </c>
      <c r="G345" s="3">
        <v>5792.05</v>
      </c>
    </row>
    <row r="346" spans="1:7" x14ac:dyDescent="0.45">
      <c r="A346" s="2">
        <v>45575</v>
      </c>
      <c r="B346" s="3">
        <v>567.98</v>
      </c>
      <c r="C346" s="3">
        <v>18.39</v>
      </c>
      <c r="D346" s="3">
        <v>17.75</v>
      </c>
      <c r="E346" s="3">
        <v>25.17</v>
      </c>
      <c r="F346" s="3">
        <v>47.1</v>
      </c>
      <c r="G346" s="3">
        <v>5780.04</v>
      </c>
    </row>
    <row r="347" spans="1:7" x14ac:dyDescent="0.45">
      <c r="A347" s="2">
        <v>45576</v>
      </c>
      <c r="B347" s="3">
        <v>571.44000000000005</v>
      </c>
      <c r="C347" s="3">
        <v>18.559999999999999</v>
      </c>
      <c r="D347" s="3">
        <v>17.829999999999998</v>
      </c>
      <c r="E347" s="3">
        <v>25.27</v>
      </c>
      <c r="F347" s="3">
        <v>47.12</v>
      </c>
      <c r="G347" s="3">
        <v>5815.04</v>
      </c>
    </row>
    <row r="348" spans="1:7" x14ac:dyDescent="0.45">
      <c r="A348" s="2">
        <v>45579</v>
      </c>
      <c r="B348" s="3">
        <v>576.15</v>
      </c>
      <c r="C348" s="3">
        <v>18.61</v>
      </c>
      <c r="D348" s="3">
        <v>17.95</v>
      </c>
      <c r="E348" s="3">
        <v>25.34</v>
      </c>
      <c r="F348" s="3">
        <v>47.13</v>
      </c>
      <c r="G348" s="3">
        <v>5859.86</v>
      </c>
    </row>
    <row r="349" spans="1:7" x14ac:dyDescent="0.45">
      <c r="A349" s="2">
        <v>45580</v>
      </c>
      <c r="B349" s="3">
        <v>571.57000000000005</v>
      </c>
      <c r="C349" s="3">
        <v>18.64</v>
      </c>
      <c r="D349" s="3">
        <v>17.93</v>
      </c>
      <c r="E349" s="3">
        <v>25.47</v>
      </c>
      <c r="F349" s="3">
        <v>47.14</v>
      </c>
      <c r="G349" s="3">
        <v>5815.25</v>
      </c>
    </row>
    <row r="350" spans="1:7" x14ac:dyDescent="0.45">
      <c r="A350" s="2">
        <v>45581</v>
      </c>
      <c r="B350" s="3">
        <v>574.12</v>
      </c>
      <c r="C350" s="3">
        <v>18.78</v>
      </c>
      <c r="D350" s="3">
        <v>18.170000000000002</v>
      </c>
      <c r="E350" s="3">
        <v>25.83</v>
      </c>
      <c r="F350" s="3">
        <v>47.16</v>
      </c>
      <c r="G350" s="3">
        <v>5842.48</v>
      </c>
    </row>
    <row r="351" spans="1:7" x14ac:dyDescent="0.45">
      <c r="A351" s="2">
        <v>45582</v>
      </c>
      <c r="B351" s="3">
        <v>574.28</v>
      </c>
      <c r="C351" s="3">
        <v>18.78</v>
      </c>
      <c r="D351" s="3">
        <v>18.04</v>
      </c>
      <c r="E351" s="3">
        <v>25.87</v>
      </c>
      <c r="F351" s="3">
        <v>47.15</v>
      </c>
      <c r="G351" s="3">
        <v>5841.48</v>
      </c>
    </row>
    <row r="352" spans="1:7" x14ac:dyDescent="0.45">
      <c r="A352" s="2">
        <v>45583</v>
      </c>
      <c r="B352" s="3">
        <v>576.45000000000005</v>
      </c>
      <c r="C352" s="3">
        <v>18.850000000000001</v>
      </c>
      <c r="D352" s="3">
        <v>18.12</v>
      </c>
      <c r="E352" s="3">
        <v>26.24</v>
      </c>
      <c r="F352" s="3">
        <v>47.17</v>
      </c>
      <c r="G352" s="3">
        <v>5864.68</v>
      </c>
    </row>
    <row r="353" spans="1:7" x14ac:dyDescent="0.45">
      <c r="A353" s="2">
        <v>45586</v>
      </c>
      <c r="B353" s="3">
        <v>575.6</v>
      </c>
      <c r="C353" s="3">
        <v>18.91</v>
      </c>
      <c r="D353" s="3">
        <v>18.03</v>
      </c>
      <c r="E353" s="3">
        <v>26.6</v>
      </c>
      <c r="F353" s="3">
        <v>47.16</v>
      </c>
      <c r="G353" s="3">
        <v>5853.97</v>
      </c>
    </row>
    <row r="354" spans="1:7" x14ac:dyDescent="0.45">
      <c r="A354" s="2">
        <v>45587</v>
      </c>
      <c r="B354" s="3">
        <v>575.15</v>
      </c>
      <c r="C354" s="3">
        <v>18.79</v>
      </c>
      <c r="D354" s="3">
        <v>17.93</v>
      </c>
      <c r="E354" s="3">
        <v>26.4</v>
      </c>
      <c r="F354" s="3">
        <v>47.17</v>
      </c>
      <c r="G354" s="3">
        <v>5851.19</v>
      </c>
    </row>
    <row r="355" spans="1:7" x14ac:dyDescent="0.45">
      <c r="A355" s="2">
        <v>45588</v>
      </c>
      <c r="B355" s="3">
        <v>569.91</v>
      </c>
      <c r="C355" s="3">
        <v>18.72</v>
      </c>
      <c r="D355" s="3">
        <v>17.899999999999999</v>
      </c>
      <c r="E355" s="3">
        <v>26.44</v>
      </c>
      <c r="F355" s="3">
        <v>47.16</v>
      </c>
      <c r="G355" s="3">
        <v>5797.43</v>
      </c>
    </row>
    <row r="356" spans="1:7" x14ac:dyDescent="0.45">
      <c r="A356" s="2">
        <v>45589</v>
      </c>
      <c r="B356" s="3">
        <v>571.12</v>
      </c>
      <c r="C356" s="3">
        <v>18.86</v>
      </c>
      <c r="D356" s="3">
        <v>18.059999999999999</v>
      </c>
      <c r="E356" s="3">
        <v>26.81</v>
      </c>
      <c r="F356" s="3">
        <v>47.16</v>
      </c>
      <c r="G356" s="3">
        <v>5809.87</v>
      </c>
    </row>
    <row r="357" spans="1:7" x14ac:dyDescent="0.45">
      <c r="A357" s="2">
        <v>45590</v>
      </c>
      <c r="B357" s="3">
        <v>571</v>
      </c>
      <c r="C357" s="3">
        <v>18.78</v>
      </c>
      <c r="D357" s="3">
        <v>17.98</v>
      </c>
      <c r="E357" s="3">
        <v>26.6</v>
      </c>
      <c r="F357" s="3">
        <v>47.17</v>
      </c>
      <c r="G357" s="3">
        <v>5808.11</v>
      </c>
    </row>
    <row r="358" spans="1:7" x14ac:dyDescent="0.45">
      <c r="A358" s="2">
        <v>45593</v>
      </c>
      <c r="B358" s="3">
        <v>572.71</v>
      </c>
      <c r="C358" s="3">
        <v>18.86</v>
      </c>
      <c r="D358" s="3">
        <v>17.89</v>
      </c>
      <c r="E358" s="3">
        <v>26.75</v>
      </c>
      <c r="F358" s="3">
        <v>47.18</v>
      </c>
      <c r="G358" s="3">
        <v>5823.51</v>
      </c>
    </row>
    <row r="359" spans="1:7" x14ac:dyDescent="0.45">
      <c r="A359" s="2">
        <v>45594</v>
      </c>
      <c r="B359" s="3">
        <v>573.6</v>
      </c>
      <c r="C359" s="3">
        <v>18.78</v>
      </c>
      <c r="D359" s="3">
        <v>17.78</v>
      </c>
      <c r="E359" s="3">
        <v>26.45</v>
      </c>
      <c r="F359" s="3">
        <v>47.19</v>
      </c>
      <c r="G359" s="3">
        <v>5832.91</v>
      </c>
    </row>
    <row r="360" spans="1:7" x14ac:dyDescent="0.45">
      <c r="A360" s="2">
        <v>45595</v>
      </c>
      <c r="B360" s="3">
        <v>571.75</v>
      </c>
      <c r="C360" s="3">
        <v>18.579999999999998</v>
      </c>
      <c r="D360" s="3">
        <v>17.75</v>
      </c>
      <c r="E360" s="3">
        <v>26.38</v>
      </c>
      <c r="F360" s="3">
        <v>47.16</v>
      </c>
      <c r="G360" s="3">
        <v>5813.66</v>
      </c>
    </row>
    <row r="361" spans="1:7" x14ac:dyDescent="0.45">
      <c r="A361" s="2">
        <v>45596</v>
      </c>
      <c r="B361" s="3">
        <v>560.53</v>
      </c>
      <c r="C361" s="3">
        <v>18.399999999999999</v>
      </c>
      <c r="D361" s="3">
        <v>17.739999999999998</v>
      </c>
      <c r="E361" s="3">
        <v>26.44</v>
      </c>
      <c r="F361" s="3">
        <v>47.18</v>
      </c>
      <c r="G361" s="3">
        <v>5705.44</v>
      </c>
    </row>
    <row r="362" spans="1:7" x14ac:dyDescent="0.45">
      <c r="A362" s="2">
        <v>45597</v>
      </c>
      <c r="B362" s="3">
        <v>562.97</v>
      </c>
      <c r="C362" s="3">
        <v>18.28</v>
      </c>
      <c r="D362" s="3">
        <v>17.62</v>
      </c>
      <c r="E362" s="3">
        <v>25.98</v>
      </c>
      <c r="F362" s="3">
        <v>47.17</v>
      </c>
      <c r="G362" s="3">
        <v>5728.81</v>
      </c>
    </row>
    <row r="363" spans="1:7" x14ac:dyDescent="0.45">
      <c r="A363" s="2">
        <v>45600</v>
      </c>
      <c r="B363" s="3">
        <v>561.84</v>
      </c>
      <c r="C363" s="3">
        <v>18.18</v>
      </c>
      <c r="D363" s="3">
        <v>17.440000000000001</v>
      </c>
      <c r="E363" s="3">
        <v>25.81</v>
      </c>
      <c r="F363" s="3">
        <v>47.18</v>
      </c>
      <c r="G363" s="3">
        <v>5712.68</v>
      </c>
    </row>
    <row r="364" spans="1:7" x14ac:dyDescent="0.45">
      <c r="A364" s="2">
        <v>45601</v>
      </c>
      <c r="B364" s="3">
        <v>568.63</v>
      </c>
      <c r="C364" s="3">
        <v>18.29</v>
      </c>
      <c r="D364" s="3">
        <v>17.559999999999999</v>
      </c>
      <c r="E364" s="3">
        <v>26.03</v>
      </c>
      <c r="F364" s="3">
        <v>47.2</v>
      </c>
      <c r="G364" s="3">
        <v>5782.77</v>
      </c>
    </row>
    <row r="365" spans="1:7" x14ac:dyDescent="0.45">
      <c r="A365" s="2">
        <v>45602</v>
      </c>
      <c r="B365" s="3">
        <v>582.75</v>
      </c>
      <c r="C365" s="3">
        <v>18.63</v>
      </c>
      <c r="D365" s="3">
        <v>17.62</v>
      </c>
      <c r="E365" s="3">
        <v>26.56</v>
      </c>
      <c r="F365" s="3">
        <v>47.18</v>
      </c>
      <c r="G365" s="3">
        <v>5929.03</v>
      </c>
    </row>
    <row r="366" spans="1:7" x14ac:dyDescent="0.45">
      <c r="A366" s="2">
        <v>45603</v>
      </c>
      <c r="B366" s="3">
        <v>587.29</v>
      </c>
      <c r="C366" s="3">
        <v>18.57</v>
      </c>
      <c r="D366" s="3">
        <v>17.21</v>
      </c>
      <c r="E366" s="3">
        <v>26.65</v>
      </c>
      <c r="F366" s="3">
        <v>47.22</v>
      </c>
      <c r="G366" s="3">
        <v>5973.09</v>
      </c>
    </row>
    <row r="367" spans="1:7" x14ac:dyDescent="0.45">
      <c r="A367" s="2">
        <v>45604</v>
      </c>
      <c r="B367" s="3">
        <v>589.86</v>
      </c>
      <c r="C367" s="3">
        <v>18.739999999999998</v>
      </c>
      <c r="D367" s="3">
        <v>17.670000000000002</v>
      </c>
      <c r="E367" s="3">
        <v>26.69</v>
      </c>
      <c r="F367" s="3">
        <v>47.24</v>
      </c>
      <c r="G367" s="3">
        <v>5995.53</v>
      </c>
    </row>
    <row r="368" spans="1:7" x14ac:dyDescent="0.45">
      <c r="A368" s="2">
        <v>45607</v>
      </c>
      <c r="B368" s="3">
        <v>590.32000000000005</v>
      </c>
      <c r="C368" s="3">
        <v>18.79</v>
      </c>
      <c r="D368" s="3">
        <v>17.73</v>
      </c>
      <c r="E368" s="3">
        <v>26.46</v>
      </c>
      <c r="F368" s="3">
        <v>47.24</v>
      </c>
      <c r="G368" s="3">
        <v>6001.34</v>
      </c>
    </row>
    <row r="369" spans="1:7" x14ac:dyDescent="0.45">
      <c r="A369" s="2">
        <v>45608</v>
      </c>
      <c r="B369" s="3">
        <v>588.51</v>
      </c>
      <c r="C369" s="3">
        <v>18.739999999999998</v>
      </c>
      <c r="D369" s="3">
        <v>17.73</v>
      </c>
      <c r="E369" s="3">
        <v>26.22</v>
      </c>
      <c r="F369" s="3">
        <v>47.22</v>
      </c>
      <c r="G369" s="3">
        <v>5984</v>
      </c>
    </row>
    <row r="370" spans="1:7" x14ac:dyDescent="0.45">
      <c r="A370" s="2">
        <v>45609</v>
      </c>
      <c r="B370" s="3">
        <v>588.95000000000005</v>
      </c>
      <c r="C370" s="3">
        <v>18.75</v>
      </c>
      <c r="D370" s="3">
        <v>17.739999999999998</v>
      </c>
      <c r="E370" s="3">
        <v>26.33</v>
      </c>
      <c r="F370" s="3">
        <v>47.25</v>
      </c>
      <c r="G370" s="3">
        <v>5985.39</v>
      </c>
    </row>
    <row r="371" spans="1:7" x14ac:dyDescent="0.45">
      <c r="A371" s="2">
        <v>45610</v>
      </c>
      <c r="B371" s="3">
        <v>585.05999999999995</v>
      </c>
      <c r="C371" s="3">
        <v>18.78</v>
      </c>
      <c r="D371" s="3">
        <v>17.62</v>
      </c>
      <c r="E371" s="3">
        <v>26.26</v>
      </c>
      <c r="F371" s="3">
        <v>47.25</v>
      </c>
      <c r="G371" s="3">
        <v>5949.16</v>
      </c>
    </row>
    <row r="372" spans="1:7" x14ac:dyDescent="0.45">
      <c r="A372" s="2">
        <v>45611</v>
      </c>
      <c r="B372" s="3">
        <v>577.63</v>
      </c>
      <c r="C372" s="3">
        <v>18.72</v>
      </c>
      <c r="D372" s="3">
        <v>17.71</v>
      </c>
      <c r="E372" s="3">
        <v>26.21</v>
      </c>
      <c r="F372" s="3">
        <v>47.27</v>
      </c>
      <c r="G372" s="3">
        <v>5870.63</v>
      </c>
    </row>
    <row r="373" spans="1:7" x14ac:dyDescent="0.45">
      <c r="A373" s="2">
        <v>45614</v>
      </c>
      <c r="B373" s="3">
        <v>580.03</v>
      </c>
      <c r="C373" s="3">
        <v>18.87</v>
      </c>
      <c r="D373" s="3">
        <v>17.829999999999998</v>
      </c>
      <c r="E373" s="3">
        <v>26.39</v>
      </c>
      <c r="F373" s="3">
        <v>47.29</v>
      </c>
      <c r="G373" s="3">
        <v>5893.61</v>
      </c>
    </row>
    <row r="374" spans="1:7" x14ac:dyDescent="0.45">
      <c r="A374" s="2">
        <v>45615</v>
      </c>
      <c r="B374" s="3">
        <v>582.04999999999995</v>
      </c>
      <c r="C374" s="3">
        <v>19</v>
      </c>
      <c r="D374" s="3">
        <v>17.87</v>
      </c>
      <c r="E374" s="3">
        <v>26.73</v>
      </c>
      <c r="F374" s="3">
        <v>47.3</v>
      </c>
      <c r="G374" s="3">
        <v>5916.97</v>
      </c>
    </row>
    <row r="375" spans="1:7" x14ac:dyDescent="0.45">
      <c r="A375" s="2">
        <v>45616</v>
      </c>
      <c r="B375" s="3">
        <v>582.32000000000005</v>
      </c>
      <c r="C375" s="3">
        <v>18.97</v>
      </c>
      <c r="D375" s="3">
        <v>17.809999999999999</v>
      </c>
      <c r="E375" s="3">
        <v>26.66</v>
      </c>
      <c r="F375" s="3">
        <v>47.3</v>
      </c>
      <c r="G375" s="3">
        <v>5917.12</v>
      </c>
    </row>
    <row r="376" spans="1:7" x14ac:dyDescent="0.45">
      <c r="A376" s="2">
        <v>45617</v>
      </c>
      <c r="B376" s="3">
        <v>585.29999999999995</v>
      </c>
      <c r="C376" s="3">
        <v>18.96</v>
      </c>
      <c r="D376" s="3">
        <v>17.88</v>
      </c>
      <c r="E376" s="3">
        <v>26.6</v>
      </c>
      <c r="F376" s="3">
        <v>47.29</v>
      </c>
      <c r="G376" s="3">
        <v>5948.7</v>
      </c>
    </row>
    <row r="377" spans="1:7" x14ac:dyDescent="0.45">
      <c r="A377" s="2">
        <v>45618</v>
      </c>
      <c r="B377" s="3">
        <v>587.24</v>
      </c>
      <c r="C377" s="3">
        <v>19.170000000000002</v>
      </c>
      <c r="D377" s="3">
        <v>18.07</v>
      </c>
      <c r="E377" s="3">
        <v>26.99</v>
      </c>
      <c r="F377" s="3">
        <v>47.3</v>
      </c>
      <c r="G377" s="3">
        <v>5969.33</v>
      </c>
    </row>
    <row r="378" spans="1:7" x14ac:dyDescent="0.45">
      <c r="A378" s="2">
        <v>45621</v>
      </c>
      <c r="B378" s="3">
        <v>588.97</v>
      </c>
      <c r="C378" s="3">
        <v>19.149999999999999</v>
      </c>
      <c r="D378" s="3">
        <v>18.21</v>
      </c>
      <c r="E378" s="3">
        <v>27.13</v>
      </c>
      <c r="F378" s="3">
        <v>47.31</v>
      </c>
      <c r="G378" s="3">
        <v>5987.38</v>
      </c>
    </row>
    <row r="379" spans="1:7" x14ac:dyDescent="0.45">
      <c r="A379" s="2">
        <v>45622</v>
      </c>
      <c r="B379" s="3">
        <v>592.45000000000005</v>
      </c>
      <c r="C379" s="3">
        <v>19.149999999999999</v>
      </c>
      <c r="D379" s="3">
        <v>18.21</v>
      </c>
      <c r="E379" s="3">
        <v>27.01</v>
      </c>
      <c r="F379" s="3">
        <v>47.31</v>
      </c>
      <c r="G379" s="3">
        <v>6021.64</v>
      </c>
    </row>
    <row r="380" spans="1:7" x14ac:dyDescent="0.45">
      <c r="A380" s="2">
        <v>45623</v>
      </c>
      <c r="B380" s="3">
        <v>590.54</v>
      </c>
      <c r="C380" s="3">
        <v>19.16</v>
      </c>
      <c r="D380" s="3">
        <v>18.43</v>
      </c>
      <c r="E380" s="3">
        <v>27.28</v>
      </c>
      <c r="F380" s="3">
        <v>47.34</v>
      </c>
      <c r="G380" s="3">
        <v>5998.73</v>
      </c>
    </row>
    <row r="381" spans="1:7" x14ac:dyDescent="0.45">
      <c r="A381" s="2">
        <v>45625</v>
      </c>
      <c r="B381" s="3">
        <v>593.73</v>
      </c>
      <c r="C381" s="3">
        <v>19.28</v>
      </c>
      <c r="D381" s="3">
        <v>18.73</v>
      </c>
      <c r="E381" s="3">
        <v>27.67</v>
      </c>
      <c r="F381" s="3">
        <v>47.37</v>
      </c>
      <c r="G381" s="3">
        <v>6032.39</v>
      </c>
    </row>
    <row r="382" spans="1:7" x14ac:dyDescent="0.45">
      <c r="A382" s="2">
        <v>45628</v>
      </c>
      <c r="B382" s="3">
        <v>595.34</v>
      </c>
      <c r="C382" s="3">
        <v>19.239999999999998</v>
      </c>
      <c r="D382" s="3">
        <v>18.7</v>
      </c>
      <c r="E382" s="3">
        <v>27.1</v>
      </c>
      <c r="F382" s="3">
        <v>47.39</v>
      </c>
      <c r="G382" s="3">
        <v>6047.14</v>
      </c>
    </row>
    <row r="383" spans="1:7" x14ac:dyDescent="0.45">
      <c r="A383" s="2">
        <v>45629</v>
      </c>
      <c r="B383" s="3">
        <v>595.59</v>
      </c>
      <c r="C383" s="3">
        <v>19.309999999999999</v>
      </c>
      <c r="D383" s="3">
        <v>18.66</v>
      </c>
      <c r="E383" s="3">
        <v>27.22</v>
      </c>
      <c r="F383" s="3">
        <v>47.4</v>
      </c>
      <c r="G383" s="3">
        <v>6049.87</v>
      </c>
    </row>
    <row r="384" spans="1:7" x14ac:dyDescent="0.45">
      <c r="A384" s="2">
        <v>45630</v>
      </c>
      <c r="B384" s="3">
        <v>599.26</v>
      </c>
      <c r="C384" s="3">
        <v>19.239999999999998</v>
      </c>
      <c r="D384" s="3">
        <v>18.760000000000002</v>
      </c>
      <c r="E384" s="3">
        <v>27.01</v>
      </c>
      <c r="F384" s="3">
        <v>47.41</v>
      </c>
      <c r="G384" s="3">
        <v>6086.48</v>
      </c>
    </row>
    <row r="385" spans="1:7" x14ac:dyDescent="0.45">
      <c r="A385" s="2">
        <v>45631</v>
      </c>
      <c r="B385" s="3">
        <v>598.29999999999995</v>
      </c>
      <c r="C385" s="3">
        <v>19.3</v>
      </c>
      <c r="D385" s="3">
        <v>18.739999999999998</v>
      </c>
      <c r="E385" s="3">
        <v>27.05</v>
      </c>
      <c r="F385" s="3">
        <v>47.42</v>
      </c>
      <c r="G385" s="3">
        <v>6075.1</v>
      </c>
    </row>
    <row r="386" spans="1:7" x14ac:dyDescent="0.45">
      <c r="A386" s="2">
        <v>45632</v>
      </c>
      <c r="B386" s="3">
        <v>599.38</v>
      </c>
      <c r="C386" s="3">
        <v>19.329999999999998</v>
      </c>
      <c r="D386" s="3">
        <v>18.829999999999998</v>
      </c>
      <c r="E386" s="3">
        <v>27.24</v>
      </c>
      <c r="F386" s="3">
        <v>47.46</v>
      </c>
      <c r="G386" s="3">
        <v>6090.28</v>
      </c>
    </row>
    <row r="387" spans="1:7" x14ac:dyDescent="0.45">
      <c r="A387" s="2">
        <v>45635</v>
      </c>
      <c r="B387" s="3">
        <v>596.29</v>
      </c>
      <c r="C387" s="3">
        <v>19.39</v>
      </c>
      <c r="D387" s="3">
        <v>18.72</v>
      </c>
      <c r="E387" s="3">
        <v>26.99</v>
      </c>
      <c r="F387" s="3">
        <v>47.47</v>
      </c>
      <c r="G387" s="3">
        <v>6052.84</v>
      </c>
    </row>
    <row r="388" spans="1:7" x14ac:dyDescent="0.45">
      <c r="A388" s="2">
        <v>45636</v>
      </c>
      <c r="B388" s="3">
        <v>594.57000000000005</v>
      </c>
      <c r="C388" s="3">
        <v>19.22</v>
      </c>
      <c r="D388" s="3">
        <v>18.71</v>
      </c>
      <c r="E388" s="3">
        <v>27.34</v>
      </c>
      <c r="F388" s="3">
        <v>47.47</v>
      </c>
      <c r="G388" s="3">
        <v>6034.9</v>
      </c>
    </row>
    <row r="389" spans="1:7" x14ac:dyDescent="0.45">
      <c r="A389" s="2">
        <v>45637</v>
      </c>
      <c r="B389" s="3">
        <v>599.15</v>
      </c>
      <c r="C389" s="3">
        <v>19.25</v>
      </c>
      <c r="D389" s="3">
        <v>18.66</v>
      </c>
      <c r="E389" s="3">
        <v>27.25</v>
      </c>
      <c r="F389" s="3">
        <v>47.47</v>
      </c>
      <c r="G389" s="3">
        <v>6084.18</v>
      </c>
    </row>
    <row r="390" spans="1:7" x14ac:dyDescent="0.45">
      <c r="A390" s="2">
        <v>45638</v>
      </c>
      <c r="B390" s="3">
        <v>595.97</v>
      </c>
      <c r="C390" s="3">
        <v>19.22</v>
      </c>
      <c r="D390" s="3">
        <v>18.62</v>
      </c>
      <c r="E390" s="3">
        <v>27.31</v>
      </c>
      <c r="F390" s="3">
        <v>47.47</v>
      </c>
      <c r="G390" s="3">
        <v>6051.25</v>
      </c>
    </row>
    <row r="391" spans="1:7" x14ac:dyDescent="0.45">
      <c r="A391" s="2">
        <v>45639</v>
      </c>
      <c r="B391" s="3">
        <v>595.86</v>
      </c>
      <c r="C391" s="3">
        <v>19.3</v>
      </c>
      <c r="D391" s="3">
        <v>18.63</v>
      </c>
      <c r="E391" s="3">
        <v>27.11</v>
      </c>
      <c r="F391" s="3">
        <v>47.47</v>
      </c>
      <c r="G391" s="3">
        <v>6051.08</v>
      </c>
    </row>
    <row r="392" spans="1:7" x14ac:dyDescent="0.45">
      <c r="A392" s="2">
        <v>45642</v>
      </c>
      <c r="B392" s="3">
        <v>598.4</v>
      </c>
      <c r="C392" s="3">
        <v>19.059999999999999</v>
      </c>
      <c r="D392" s="3">
        <v>18.399999999999999</v>
      </c>
      <c r="E392" s="3">
        <v>27.29</v>
      </c>
      <c r="F392" s="3">
        <v>47.48</v>
      </c>
      <c r="G392" s="3">
        <v>6074.07</v>
      </c>
    </row>
    <row r="393" spans="1:7" x14ac:dyDescent="0.45">
      <c r="A393" s="2">
        <v>45643</v>
      </c>
      <c r="B393" s="3">
        <v>595.79999999999995</v>
      </c>
      <c r="C393" s="3">
        <v>18.96</v>
      </c>
      <c r="D393" s="3">
        <v>18.43</v>
      </c>
      <c r="E393" s="3">
        <v>27.01</v>
      </c>
      <c r="F393" s="3">
        <v>47.47</v>
      </c>
      <c r="G393" s="3">
        <v>6050.6</v>
      </c>
    </row>
    <row r="394" spans="1:7" x14ac:dyDescent="0.45">
      <c r="A394" s="2">
        <v>45644</v>
      </c>
      <c r="B394" s="3">
        <v>578.28</v>
      </c>
      <c r="C394" s="3">
        <v>18.62</v>
      </c>
      <c r="D394" s="3">
        <v>18.18</v>
      </c>
      <c r="E394" s="3">
        <v>26.73</v>
      </c>
      <c r="F394" s="3">
        <v>47.44</v>
      </c>
      <c r="G394" s="3">
        <v>5872.17</v>
      </c>
    </row>
    <row r="395" spans="1:7" x14ac:dyDescent="0.45">
      <c r="A395" s="2">
        <v>45645</v>
      </c>
      <c r="B395" s="3">
        <v>577.86</v>
      </c>
      <c r="C395" s="3">
        <v>18.8</v>
      </c>
      <c r="D395" s="3">
        <v>18.53</v>
      </c>
      <c r="E395" s="3">
        <v>27.05</v>
      </c>
      <c r="F395" s="3">
        <v>47.45</v>
      </c>
      <c r="G395" s="3">
        <v>5867.07</v>
      </c>
    </row>
    <row r="396" spans="1:7" x14ac:dyDescent="0.45">
      <c r="A396" s="2">
        <v>45646</v>
      </c>
      <c r="B396" s="3">
        <v>584.26</v>
      </c>
      <c r="C396" s="3">
        <v>19.03</v>
      </c>
      <c r="D396" s="3">
        <v>18.71</v>
      </c>
      <c r="E396" s="3">
        <v>27.38</v>
      </c>
      <c r="F396" s="3">
        <v>47.47</v>
      </c>
      <c r="G396" s="3">
        <v>5930.84</v>
      </c>
    </row>
    <row r="397" spans="1:7" x14ac:dyDescent="0.45">
      <c r="A397" s="2">
        <v>45649</v>
      </c>
      <c r="B397" s="3">
        <v>588.5</v>
      </c>
      <c r="C397" s="3">
        <v>19.16</v>
      </c>
      <c r="D397" s="3">
        <v>18.649999999999999</v>
      </c>
      <c r="E397" s="3">
        <v>27.6</v>
      </c>
      <c r="F397" s="3">
        <v>47.47</v>
      </c>
      <c r="G397" s="3">
        <v>5974.08</v>
      </c>
    </row>
    <row r="398" spans="1:7" x14ac:dyDescent="0.45">
      <c r="A398" s="2">
        <v>45650</v>
      </c>
      <c r="B398" s="3">
        <v>595.12</v>
      </c>
      <c r="C398" s="3">
        <v>19.36</v>
      </c>
      <c r="D398" s="3">
        <v>18.829999999999998</v>
      </c>
      <c r="E398" s="3">
        <v>28.04</v>
      </c>
      <c r="F398" s="3">
        <v>47.48</v>
      </c>
      <c r="G398" s="3">
        <v>6040.05</v>
      </c>
    </row>
    <row r="399" spans="1:7" x14ac:dyDescent="0.45">
      <c r="A399" s="2">
        <v>45652</v>
      </c>
      <c r="B399" s="3">
        <v>594.83000000000004</v>
      </c>
      <c r="C399" s="3">
        <v>19.53</v>
      </c>
      <c r="D399" s="3">
        <v>18.8</v>
      </c>
      <c r="E399" s="3">
        <v>28.2</v>
      </c>
      <c r="F399" s="3">
        <v>47.5</v>
      </c>
      <c r="G399" s="3">
        <v>6037.58</v>
      </c>
    </row>
    <row r="400" spans="1:7" x14ac:dyDescent="0.45">
      <c r="A400" s="2">
        <v>45653</v>
      </c>
      <c r="B400" s="3">
        <v>588.39</v>
      </c>
      <c r="C400" s="3">
        <v>19.600000000000001</v>
      </c>
      <c r="D400" s="3">
        <v>18.829999999999998</v>
      </c>
      <c r="E400" s="3">
        <v>28.26</v>
      </c>
      <c r="F400" s="3">
        <v>47.53</v>
      </c>
      <c r="G400" s="3">
        <v>5970.85</v>
      </c>
    </row>
    <row r="401" spans="1:7" x14ac:dyDescent="0.45">
      <c r="A401" s="2">
        <v>45656</v>
      </c>
      <c r="B401" s="3">
        <v>581.94000000000005</v>
      </c>
      <c r="C401" s="3">
        <v>19.53</v>
      </c>
      <c r="D401" s="3">
        <v>18.98</v>
      </c>
      <c r="E401" s="3">
        <v>28.09</v>
      </c>
      <c r="F401" s="3">
        <v>47.55</v>
      </c>
      <c r="G401" s="3">
        <v>5906.95</v>
      </c>
    </row>
    <row r="402" spans="1:7" x14ac:dyDescent="0.45">
      <c r="A402" s="2">
        <v>45657</v>
      </c>
      <c r="B402" s="3">
        <v>579.67999999999995</v>
      </c>
      <c r="C402" s="3">
        <v>19.48</v>
      </c>
      <c r="D402" s="3">
        <v>18.98</v>
      </c>
      <c r="E402" s="3">
        <v>28.1</v>
      </c>
      <c r="F402" s="3">
        <v>47.54</v>
      </c>
      <c r="G402" s="3">
        <v>5881.62</v>
      </c>
    </row>
    <row r="403" spans="1:7" x14ac:dyDescent="0.45">
      <c r="A403" s="2">
        <v>45659</v>
      </c>
      <c r="B403" s="3">
        <v>578.47</v>
      </c>
      <c r="C403" s="3">
        <v>19.77</v>
      </c>
      <c r="D403" s="3">
        <v>18.93</v>
      </c>
      <c r="E403" s="3">
        <v>28.27</v>
      </c>
      <c r="F403" s="3">
        <v>47.56</v>
      </c>
      <c r="G403" s="3">
        <v>5868.56</v>
      </c>
    </row>
    <row r="404" spans="1:7" x14ac:dyDescent="0.45">
      <c r="A404" s="2">
        <v>45660</v>
      </c>
      <c r="B404" s="3">
        <v>585.52</v>
      </c>
      <c r="C404" s="3">
        <v>19.739999999999998</v>
      </c>
      <c r="D404" s="3">
        <v>18.95</v>
      </c>
      <c r="E404" s="3">
        <v>28</v>
      </c>
      <c r="F404" s="3">
        <v>47.57</v>
      </c>
      <c r="G404" s="3">
        <v>5942.46</v>
      </c>
    </row>
    <row r="405" spans="1:7" x14ac:dyDescent="0.45">
      <c r="A405" s="2">
        <v>45663</v>
      </c>
      <c r="B405" s="3">
        <v>589.15</v>
      </c>
      <c r="C405" s="3">
        <v>19.690000000000001</v>
      </c>
      <c r="D405" s="3">
        <v>18.86</v>
      </c>
      <c r="E405" s="3">
        <v>27.53</v>
      </c>
      <c r="F405" s="3">
        <v>47.59</v>
      </c>
      <c r="G405" s="3">
        <v>5975.37</v>
      </c>
    </row>
    <row r="406" spans="1:7" x14ac:dyDescent="0.45">
      <c r="A406" s="2">
        <v>45664</v>
      </c>
      <c r="B406" s="3">
        <v>582.52</v>
      </c>
      <c r="C406" s="3">
        <v>19.64</v>
      </c>
      <c r="D406" s="3">
        <v>18.78</v>
      </c>
      <c r="E406" s="3">
        <v>27.73</v>
      </c>
      <c r="F406" s="3">
        <v>47.58</v>
      </c>
      <c r="G406" s="3">
        <v>5909.02</v>
      </c>
    </row>
    <row r="407" spans="1:7" x14ac:dyDescent="0.45">
      <c r="A407" s="2">
        <v>45665</v>
      </c>
      <c r="B407" s="3">
        <v>583.14</v>
      </c>
      <c r="C407" s="3">
        <v>19.66</v>
      </c>
      <c r="D407" s="3">
        <v>18.78</v>
      </c>
      <c r="E407" s="3">
        <v>27.74</v>
      </c>
      <c r="F407" s="3">
        <v>47.59</v>
      </c>
      <c r="G407" s="3">
        <v>5918.26</v>
      </c>
    </row>
    <row r="408" spans="1:7" x14ac:dyDescent="0.45">
      <c r="A408" s="2">
        <v>45667</v>
      </c>
      <c r="B408" s="3">
        <v>574.41</v>
      </c>
      <c r="C408" s="3">
        <v>19.559999999999999</v>
      </c>
      <c r="D408" s="3">
        <v>18.670000000000002</v>
      </c>
      <c r="E408" s="3">
        <v>27.44</v>
      </c>
      <c r="F408" s="3">
        <v>47.59</v>
      </c>
      <c r="G408" s="3">
        <v>5827.03</v>
      </c>
    </row>
    <row r="409" spans="1:7" x14ac:dyDescent="0.45">
      <c r="A409" s="2">
        <v>45670</v>
      </c>
      <c r="B409" s="3">
        <v>575.25</v>
      </c>
      <c r="C409" s="3">
        <v>19.670000000000002</v>
      </c>
      <c r="D409" s="3">
        <v>18.79</v>
      </c>
      <c r="E409" s="3">
        <v>27.8</v>
      </c>
      <c r="F409" s="3">
        <v>47.6</v>
      </c>
      <c r="G409" s="3">
        <v>5836.21</v>
      </c>
    </row>
    <row r="410" spans="1:7" x14ac:dyDescent="0.45">
      <c r="A410" s="2">
        <v>45671</v>
      </c>
      <c r="B410" s="3">
        <v>576.04999999999995</v>
      </c>
      <c r="C410" s="3">
        <v>19.96</v>
      </c>
      <c r="D410" s="3">
        <v>19.04</v>
      </c>
      <c r="E410" s="3">
        <v>28.09</v>
      </c>
      <c r="F410" s="3">
        <v>47.6</v>
      </c>
      <c r="G410" s="3">
        <v>5842.9</v>
      </c>
    </row>
    <row r="411" spans="1:7" x14ac:dyDescent="0.45">
      <c r="A411" s="2">
        <v>45672</v>
      </c>
      <c r="B411" s="3">
        <v>586.52</v>
      </c>
      <c r="C411" s="3">
        <v>20.170000000000002</v>
      </c>
      <c r="D411" s="3">
        <v>19.059999999999999</v>
      </c>
      <c r="E411" s="3">
        <v>28</v>
      </c>
      <c r="F411" s="3">
        <v>47.64</v>
      </c>
      <c r="G411" s="3">
        <v>5949.92</v>
      </c>
    </row>
    <row r="412" spans="1:7" x14ac:dyDescent="0.45">
      <c r="A412" s="2">
        <v>45673</v>
      </c>
      <c r="B412" s="3">
        <v>585.53</v>
      </c>
      <c r="C412" s="3">
        <v>20.47</v>
      </c>
      <c r="D412" s="3">
        <v>19.29</v>
      </c>
      <c r="E412" s="3">
        <v>28.41</v>
      </c>
      <c r="F412" s="3">
        <v>47.65</v>
      </c>
      <c r="G412" s="3">
        <v>5937.35</v>
      </c>
    </row>
    <row r="413" spans="1:7" x14ac:dyDescent="0.45">
      <c r="A413" s="2">
        <v>45674</v>
      </c>
      <c r="B413" s="3">
        <v>591.08000000000004</v>
      </c>
      <c r="C413" s="3">
        <v>20.63</v>
      </c>
      <c r="D413" s="3">
        <v>19.29</v>
      </c>
      <c r="E413" s="3">
        <v>28.34</v>
      </c>
      <c r="F413" s="3">
        <v>47.66</v>
      </c>
      <c r="G413" s="3">
        <v>5996.65</v>
      </c>
    </row>
    <row r="414" spans="1:7" x14ac:dyDescent="0.45">
      <c r="A414" s="2">
        <v>45678</v>
      </c>
      <c r="B414" s="3">
        <v>596.44000000000005</v>
      </c>
      <c r="C414" s="3">
        <v>20.8</v>
      </c>
      <c r="D414" s="3">
        <v>19.61</v>
      </c>
      <c r="E414" s="3">
        <v>28.27</v>
      </c>
      <c r="F414" s="3">
        <v>47.67</v>
      </c>
      <c r="G414" s="3">
        <v>6049.23</v>
      </c>
    </row>
    <row r="415" spans="1:7" x14ac:dyDescent="0.45">
      <c r="A415" s="2">
        <v>45679</v>
      </c>
      <c r="B415" s="3">
        <v>599.98</v>
      </c>
      <c r="C415" s="3">
        <v>20.81</v>
      </c>
      <c r="D415" s="3">
        <v>19.5</v>
      </c>
      <c r="E415" s="3">
        <v>28.25</v>
      </c>
      <c r="F415" s="3">
        <v>47.67</v>
      </c>
      <c r="G415" s="3">
        <v>6086.36</v>
      </c>
    </row>
    <row r="416" spans="1:7" x14ac:dyDescent="0.45">
      <c r="A416" s="2">
        <v>45680</v>
      </c>
      <c r="B416" s="3">
        <v>603.33000000000004</v>
      </c>
      <c r="C416" s="3">
        <v>20.81</v>
      </c>
      <c r="D416" s="3">
        <v>19.62</v>
      </c>
      <c r="E416" s="3">
        <v>28.45</v>
      </c>
      <c r="F416" s="3">
        <v>47.67</v>
      </c>
      <c r="G416" s="3">
        <v>6118.72</v>
      </c>
    </row>
    <row r="417" spans="1:7" x14ac:dyDescent="0.45">
      <c r="A417" s="2">
        <v>45681</v>
      </c>
      <c r="B417" s="3">
        <v>601.54999999999995</v>
      </c>
      <c r="C417" s="3">
        <v>20.85</v>
      </c>
      <c r="D417" s="3">
        <v>19.64</v>
      </c>
      <c r="E417" s="3">
        <v>28.44</v>
      </c>
      <c r="F417" s="3">
        <v>47.69</v>
      </c>
      <c r="G417" s="3">
        <v>6101.25</v>
      </c>
    </row>
    <row r="418" spans="1:7" x14ac:dyDescent="0.45">
      <c r="A418" s="2">
        <v>45684</v>
      </c>
      <c r="B418" s="3">
        <v>593.16</v>
      </c>
      <c r="C418" s="3">
        <v>20.74</v>
      </c>
      <c r="D418" s="3">
        <v>19.64</v>
      </c>
      <c r="E418" s="3">
        <v>28.7</v>
      </c>
      <c r="F418" s="3">
        <v>47.71</v>
      </c>
      <c r="G418" s="3">
        <v>6012.29</v>
      </c>
    </row>
    <row r="419" spans="1:7" x14ac:dyDescent="0.45">
      <c r="A419" s="2">
        <v>45685</v>
      </c>
      <c r="B419" s="3">
        <v>598.20000000000005</v>
      </c>
      <c r="C419" s="3">
        <v>20.95</v>
      </c>
      <c r="D419" s="3">
        <v>19.7</v>
      </c>
      <c r="E419" s="3">
        <v>28.69</v>
      </c>
      <c r="F419" s="3">
        <v>47.73</v>
      </c>
      <c r="G419" s="3">
        <v>6067.71</v>
      </c>
    </row>
    <row r="420" spans="1:7" x14ac:dyDescent="0.45">
      <c r="A420" s="2">
        <v>45686</v>
      </c>
      <c r="B420" s="3">
        <v>595.66</v>
      </c>
      <c r="C420" s="3">
        <v>20.63</v>
      </c>
      <c r="D420" s="3">
        <v>19.55</v>
      </c>
      <c r="E420" s="3">
        <v>28.58</v>
      </c>
      <c r="F420" s="3">
        <v>47.73</v>
      </c>
      <c r="G420" s="3">
        <v>6039.32</v>
      </c>
    </row>
    <row r="421" spans="1:7" x14ac:dyDescent="0.45">
      <c r="A421" s="2">
        <v>45687</v>
      </c>
      <c r="B421" s="3">
        <v>598.64</v>
      </c>
      <c r="C421" s="3">
        <v>20.84</v>
      </c>
      <c r="D421" s="3">
        <v>19.850000000000001</v>
      </c>
      <c r="E421" s="3">
        <v>28.77</v>
      </c>
      <c r="F421" s="3">
        <v>47.75</v>
      </c>
      <c r="G421" s="3">
        <v>6071.18</v>
      </c>
    </row>
    <row r="422" spans="1:7" x14ac:dyDescent="0.45">
      <c r="A422" s="2">
        <v>45688</v>
      </c>
      <c r="B422" s="3">
        <v>595.41</v>
      </c>
      <c r="C422" s="3">
        <v>21.06</v>
      </c>
      <c r="D422" s="3">
        <v>19.940000000000001</v>
      </c>
      <c r="E422" s="3">
        <v>29.2</v>
      </c>
      <c r="F422" s="3">
        <v>47.76</v>
      </c>
      <c r="G422" s="3">
        <v>6040.52</v>
      </c>
    </row>
    <row r="423" spans="1:7" x14ac:dyDescent="0.45">
      <c r="A423" s="2">
        <v>45691</v>
      </c>
      <c r="B423" s="3">
        <v>591.5</v>
      </c>
      <c r="C423" s="3">
        <v>21.18</v>
      </c>
      <c r="D423" s="3">
        <v>19.93</v>
      </c>
      <c r="E423" s="3">
        <v>29.33</v>
      </c>
      <c r="F423" s="3">
        <v>47.77</v>
      </c>
      <c r="G423" s="3">
        <v>5994.58</v>
      </c>
    </row>
    <row r="424" spans="1:7" x14ac:dyDescent="0.45">
      <c r="A424" s="2">
        <v>45692</v>
      </c>
      <c r="B424" s="3">
        <v>595.44000000000005</v>
      </c>
      <c r="C424" s="3">
        <v>21.19</v>
      </c>
      <c r="D424" s="3">
        <v>19.97</v>
      </c>
      <c r="E424" s="3">
        <v>29.22</v>
      </c>
      <c r="F424" s="3">
        <v>47.78</v>
      </c>
      <c r="G424" s="3">
        <v>6037.89</v>
      </c>
    </row>
    <row r="425" spans="1:7" x14ac:dyDescent="0.45">
      <c r="A425" s="2">
        <v>45693</v>
      </c>
      <c r="B425" s="3">
        <v>597.89</v>
      </c>
      <c r="C425" s="3">
        <v>20.56</v>
      </c>
      <c r="D425" s="3">
        <v>19.91</v>
      </c>
      <c r="E425" s="3">
        <v>29.14</v>
      </c>
      <c r="F425" s="3">
        <v>47.79</v>
      </c>
      <c r="G425" s="3">
        <v>6061.47</v>
      </c>
    </row>
    <row r="426" spans="1:7" x14ac:dyDescent="0.45">
      <c r="A426" s="2">
        <v>45694</v>
      </c>
      <c r="B426" s="3">
        <v>600.08000000000004</v>
      </c>
      <c r="C426" s="3">
        <v>20.23</v>
      </c>
      <c r="D426" s="3">
        <v>19.72</v>
      </c>
      <c r="E426" s="3">
        <v>29.05</v>
      </c>
      <c r="F426" s="3">
        <v>47.79</v>
      </c>
      <c r="G426" s="3">
        <v>6083.56</v>
      </c>
    </row>
    <row r="427" spans="1:7" x14ac:dyDescent="0.45">
      <c r="A427" s="2">
        <v>45695</v>
      </c>
      <c r="B427" s="3">
        <v>594.57000000000005</v>
      </c>
      <c r="C427" s="3">
        <v>20.239999999999998</v>
      </c>
      <c r="D427" s="3">
        <v>19.73</v>
      </c>
      <c r="E427" s="3">
        <v>28.91</v>
      </c>
      <c r="F427" s="3">
        <v>47.78</v>
      </c>
      <c r="G427" s="3">
        <v>6025.98</v>
      </c>
    </row>
    <row r="428" spans="1:7" x14ac:dyDescent="0.45">
      <c r="A428" s="2">
        <v>45698</v>
      </c>
      <c r="B428" s="3">
        <v>598.46</v>
      </c>
      <c r="C428" s="3">
        <v>20.350000000000001</v>
      </c>
      <c r="D428" s="3">
        <v>19.670000000000002</v>
      </c>
      <c r="E428" s="3">
        <v>28.84</v>
      </c>
      <c r="F428" s="3">
        <v>47.8</v>
      </c>
      <c r="G428" s="3">
        <v>6066.45</v>
      </c>
    </row>
    <row r="429" spans="1:7" x14ac:dyDescent="0.45">
      <c r="A429" s="2">
        <v>45699</v>
      </c>
      <c r="B429" s="3">
        <v>598.92999999999995</v>
      </c>
      <c r="C429" s="3">
        <v>20.21</v>
      </c>
      <c r="D429" s="3">
        <v>19.66</v>
      </c>
      <c r="E429" s="3">
        <v>29.05</v>
      </c>
      <c r="F429" s="3">
        <v>47.8</v>
      </c>
      <c r="G429" s="3">
        <v>6068.49</v>
      </c>
    </row>
    <row r="430" spans="1:7" x14ac:dyDescent="0.45">
      <c r="A430" s="2">
        <v>45700</v>
      </c>
      <c r="B430" s="3">
        <v>596.94000000000005</v>
      </c>
      <c r="C430" s="3">
        <v>20.39</v>
      </c>
      <c r="D430" s="3">
        <v>19.78</v>
      </c>
      <c r="E430" s="3">
        <v>29.35</v>
      </c>
      <c r="F430" s="3">
        <v>47.78</v>
      </c>
      <c r="G430" s="3">
        <v>6051.98</v>
      </c>
    </row>
    <row r="431" spans="1:7" x14ac:dyDescent="0.45">
      <c r="A431" s="2">
        <v>45701</v>
      </c>
      <c r="B431" s="3">
        <v>603.29999999999995</v>
      </c>
      <c r="C431" s="3">
        <v>20.54</v>
      </c>
      <c r="D431" s="3">
        <v>20.02</v>
      </c>
      <c r="E431" s="3">
        <v>29.47</v>
      </c>
      <c r="F431" s="3">
        <v>47.82</v>
      </c>
      <c r="G431" s="3">
        <v>6115.08</v>
      </c>
    </row>
    <row r="432" spans="1:7" x14ac:dyDescent="0.45">
      <c r="A432" s="2">
        <v>45702</v>
      </c>
      <c r="B432" s="3">
        <v>603.30999999999995</v>
      </c>
      <c r="C432" s="3">
        <v>20.71</v>
      </c>
      <c r="D432" s="3">
        <v>20.46</v>
      </c>
      <c r="E432" s="3">
        <v>29.47</v>
      </c>
      <c r="F432" s="3">
        <v>47.85</v>
      </c>
      <c r="G432" s="3">
        <v>6114.62</v>
      </c>
    </row>
    <row r="433" spans="1:7" x14ac:dyDescent="0.45">
      <c r="A433" s="2">
        <v>45706</v>
      </c>
      <c r="B433" s="3">
        <v>605.08000000000004</v>
      </c>
      <c r="C433" s="3">
        <v>20.78</v>
      </c>
      <c r="D433" s="3">
        <v>20.54</v>
      </c>
      <c r="E433" s="3">
        <v>29.91</v>
      </c>
      <c r="F433" s="3">
        <v>47.84</v>
      </c>
      <c r="G433" s="3">
        <v>6129.57</v>
      </c>
    </row>
    <row r="434" spans="1:7" x14ac:dyDescent="0.45">
      <c r="A434" s="2">
        <v>45707</v>
      </c>
      <c r="B434" s="3">
        <v>606.42999999999995</v>
      </c>
      <c r="C434" s="3">
        <v>20.89</v>
      </c>
      <c r="D434" s="3">
        <v>20.6</v>
      </c>
      <c r="E434" s="3">
        <v>30.01</v>
      </c>
      <c r="F434" s="3">
        <v>47.87</v>
      </c>
      <c r="G434" s="3">
        <v>6144.14</v>
      </c>
    </row>
    <row r="435" spans="1:7" x14ac:dyDescent="0.45">
      <c r="A435" s="2">
        <v>45708</v>
      </c>
      <c r="B435" s="3">
        <v>604.08000000000004</v>
      </c>
      <c r="C435" s="3">
        <v>20.82</v>
      </c>
      <c r="D435" s="3">
        <v>20.55</v>
      </c>
      <c r="E435" s="3">
        <v>29.97</v>
      </c>
      <c r="F435" s="3">
        <v>47.87</v>
      </c>
      <c r="G435" s="3">
        <v>6117.51</v>
      </c>
    </row>
    <row r="436" spans="1:7" x14ac:dyDescent="0.45">
      <c r="A436" s="2">
        <v>45709</v>
      </c>
      <c r="B436" s="3">
        <v>593.65</v>
      </c>
      <c r="C436" s="3">
        <v>20.72</v>
      </c>
      <c r="D436" s="3">
        <v>20.91</v>
      </c>
      <c r="E436" s="3">
        <v>29.8</v>
      </c>
      <c r="F436" s="3">
        <v>47.91</v>
      </c>
      <c r="G436" s="3">
        <v>6013.12</v>
      </c>
    </row>
    <row r="437" spans="1:7" x14ac:dyDescent="0.45">
      <c r="A437" s="2">
        <v>45712</v>
      </c>
      <c r="B437" s="3">
        <v>590.83000000000004</v>
      </c>
      <c r="C437" s="3">
        <v>20.66</v>
      </c>
      <c r="D437" s="3">
        <v>20.89</v>
      </c>
      <c r="E437" s="3">
        <v>29.67</v>
      </c>
      <c r="F437" s="3">
        <v>47.92</v>
      </c>
      <c r="G437" s="3">
        <v>5983.26</v>
      </c>
    </row>
    <row r="438" spans="1:7" x14ac:dyDescent="0.45">
      <c r="A438" s="2">
        <v>45713</v>
      </c>
      <c r="B438" s="3">
        <v>587.95000000000005</v>
      </c>
      <c r="C438" s="3">
        <v>20.6</v>
      </c>
      <c r="D438" s="3">
        <v>20.65</v>
      </c>
      <c r="E438" s="3">
        <v>29.54</v>
      </c>
      <c r="F438" s="3">
        <v>47.92</v>
      </c>
      <c r="G438" s="3">
        <v>5955.26</v>
      </c>
    </row>
    <row r="439" spans="1:7" x14ac:dyDescent="0.45">
      <c r="A439" s="2">
        <v>45714</v>
      </c>
      <c r="B439" s="3">
        <v>588.15</v>
      </c>
      <c r="C439" s="3">
        <v>20.5</v>
      </c>
      <c r="D439" s="3">
        <v>20.72</v>
      </c>
      <c r="E439" s="3">
        <v>28.47</v>
      </c>
      <c r="F439" s="3">
        <v>47.94</v>
      </c>
      <c r="G439" s="3">
        <v>5956.07</v>
      </c>
    </row>
    <row r="440" spans="1:7" x14ac:dyDescent="0.45">
      <c r="A440" s="2">
        <v>45715</v>
      </c>
      <c r="B440" s="3">
        <v>578.79</v>
      </c>
      <c r="C440" s="3">
        <v>20.58</v>
      </c>
      <c r="D440" s="3">
        <v>20.66</v>
      </c>
      <c r="E440" s="3">
        <v>28.81</v>
      </c>
      <c r="F440" s="3">
        <v>47.94</v>
      </c>
      <c r="G440" s="3">
        <v>5861.56</v>
      </c>
    </row>
    <row r="441" spans="1:7" x14ac:dyDescent="0.45">
      <c r="A441" s="2">
        <v>45716</v>
      </c>
      <c r="B441" s="3">
        <v>587.91</v>
      </c>
      <c r="C441" s="3">
        <v>20.81</v>
      </c>
      <c r="D441" s="3">
        <v>21</v>
      </c>
      <c r="E441" s="3">
        <v>29.32</v>
      </c>
      <c r="F441" s="3">
        <v>48</v>
      </c>
      <c r="G441" s="3">
        <v>5954.51</v>
      </c>
    </row>
    <row r="442" spans="1:7" x14ac:dyDescent="0.45">
      <c r="A442" s="2">
        <v>45719</v>
      </c>
      <c r="B442" s="3">
        <v>577.82000000000005</v>
      </c>
      <c r="C442" s="3">
        <v>20.67</v>
      </c>
      <c r="D442" s="3">
        <v>20.86</v>
      </c>
      <c r="E442" s="3">
        <v>29.14</v>
      </c>
      <c r="F442" s="3">
        <v>48.01</v>
      </c>
      <c r="G442" s="3">
        <v>5849.71</v>
      </c>
    </row>
    <row r="443" spans="1:7" x14ac:dyDescent="0.45">
      <c r="A443" s="2">
        <v>45720</v>
      </c>
      <c r="B443" s="3">
        <v>570.85</v>
      </c>
      <c r="C443" s="3">
        <v>20.27</v>
      </c>
      <c r="D443" s="3">
        <v>20.350000000000001</v>
      </c>
      <c r="E443" s="3">
        <v>28.6</v>
      </c>
      <c r="F443" s="3">
        <v>48.01</v>
      </c>
      <c r="G443" s="3">
        <v>5778.14</v>
      </c>
    </row>
    <row r="444" spans="1:7" x14ac:dyDescent="0.45">
      <c r="A444" s="2">
        <v>45721</v>
      </c>
      <c r="B444" s="3">
        <v>577.1</v>
      </c>
      <c r="C444" s="3">
        <v>20.14</v>
      </c>
      <c r="D444" s="3">
        <v>20.239999999999998</v>
      </c>
      <c r="E444" s="3">
        <v>28.15</v>
      </c>
      <c r="F444" s="3">
        <v>48.02</v>
      </c>
      <c r="G444" s="3">
        <v>5842.62</v>
      </c>
    </row>
    <row r="445" spans="1:7" x14ac:dyDescent="0.45">
      <c r="A445" s="2">
        <v>45722</v>
      </c>
      <c r="B445" s="3">
        <v>566.74</v>
      </c>
      <c r="C445" s="3">
        <v>19.87</v>
      </c>
      <c r="D445" s="3">
        <v>19.84</v>
      </c>
      <c r="E445" s="3">
        <v>28.1</v>
      </c>
      <c r="F445" s="3">
        <v>48.03</v>
      </c>
      <c r="G445" s="3">
        <v>5738.53</v>
      </c>
    </row>
    <row r="446" spans="1:7" x14ac:dyDescent="0.45">
      <c r="A446" s="2">
        <v>45723</v>
      </c>
      <c r="B446" s="3">
        <v>569.66</v>
      </c>
      <c r="C446" s="3">
        <v>20.48</v>
      </c>
      <c r="D446" s="3">
        <v>20.21</v>
      </c>
      <c r="E446" s="3">
        <v>28.94</v>
      </c>
      <c r="F446" s="3">
        <v>48.04</v>
      </c>
      <c r="G446" s="3">
        <v>5770.19</v>
      </c>
    </row>
    <row r="447" spans="1:7" x14ac:dyDescent="0.45">
      <c r="A447" s="2">
        <v>45726</v>
      </c>
      <c r="B447" s="3">
        <v>554.83000000000004</v>
      </c>
      <c r="C447" s="3">
        <v>19.98</v>
      </c>
      <c r="D447" s="3">
        <v>20.14</v>
      </c>
      <c r="E447" s="3">
        <v>28.72</v>
      </c>
      <c r="F447" s="3">
        <v>48.07</v>
      </c>
      <c r="G447" s="3">
        <v>5614.55</v>
      </c>
    </row>
    <row r="448" spans="1:7" x14ac:dyDescent="0.45">
      <c r="A448" s="2">
        <v>45727</v>
      </c>
      <c r="B448" s="3">
        <v>550.1</v>
      </c>
      <c r="C448" s="3">
        <v>19.45</v>
      </c>
      <c r="D448" s="3">
        <v>19.73</v>
      </c>
      <c r="E448" s="3">
        <v>28.01</v>
      </c>
      <c r="F448" s="3">
        <v>48.05</v>
      </c>
      <c r="G448" s="3">
        <v>5572.08</v>
      </c>
    </row>
    <row r="449" spans="1:7" x14ac:dyDescent="0.45">
      <c r="A449" s="2">
        <v>45728</v>
      </c>
      <c r="B449" s="3">
        <v>552.89</v>
      </c>
      <c r="C449" s="3">
        <v>19.36</v>
      </c>
      <c r="D449" s="3">
        <v>19.8</v>
      </c>
      <c r="E449" s="3">
        <v>27.8</v>
      </c>
      <c r="F449" s="3">
        <v>48.04</v>
      </c>
      <c r="G449" s="3">
        <v>5599.29</v>
      </c>
    </row>
    <row r="450" spans="1:7" x14ac:dyDescent="0.45">
      <c r="A450" s="2">
        <v>45729</v>
      </c>
      <c r="B450" s="3">
        <v>545.59</v>
      </c>
      <c r="C450" s="3">
        <v>19.079999999999998</v>
      </c>
      <c r="D450" s="3">
        <v>19.62</v>
      </c>
      <c r="E450" s="3">
        <v>27.22</v>
      </c>
      <c r="F450" s="3">
        <v>48.06</v>
      </c>
      <c r="G450" s="3">
        <v>5521.53</v>
      </c>
    </row>
    <row r="451" spans="1:7" x14ac:dyDescent="0.45">
      <c r="A451" s="2">
        <v>45730</v>
      </c>
      <c r="B451" s="3">
        <v>556.91</v>
      </c>
      <c r="C451" s="3">
        <v>19.37</v>
      </c>
      <c r="D451" s="3">
        <v>19.88</v>
      </c>
      <c r="E451" s="3">
        <v>27.77</v>
      </c>
      <c r="F451" s="3">
        <v>48.05</v>
      </c>
      <c r="G451" s="3">
        <v>5638.93</v>
      </c>
    </row>
    <row r="452" spans="1:7" x14ac:dyDescent="0.45">
      <c r="A452" s="2">
        <v>45733</v>
      </c>
      <c r="B452" s="3">
        <v>560.9</v>
      </c>
      <c r="C452" s="3">
        <v>19.71</v>
      </c>
      <c r="D452" s="3">
        <v>20</v>
      </c>
      <c r="E452" s="3">
        <v>28.38</v>
      </c>
      <c r="F452" s="3">
        <v>48.06</v>
      </c>
      <c r="G452" s="3">
        <v>5675.11</v>
      </c>
    </row>
    <row r="453" spans="1:7" x14ac:dyDescent="0.45">
      <c r="A453" s="2">
        <v>45734</v>
      </c>
      <c r="B453" s="3">
        <v>555.04999999999995</v>
      </c>
      <c r="C453" s="3">
        <v>19.86</v>
      </c>
      <c r="D453" s="3">
        <v>20.29</v>
      </c>
      <c r="E453" s="3">
        <v>28.62</v>
      </c>
      <c r="F453" s="3">
        <v>48.06</v>
      </c>
      <c r="G453" s="3">
        <v>5614.65</v>
      </c>
    </row>
    <row r="454" spans="1:7" x14ac:dyDescent="0.45">
      <c r="A454" s="2">
        <v>45735</v>
      </c>
      <c r="B454" s="3">
        <v>561.05999999999995</v>
      </c>
      <c r="C454" s="3">
        <v>19.8</v>
      </c>
      <c r="D454" s="3">
        <v>20.260000000000002</v>
      </c>
      <c r="E454" s="3">
        <v>28.55</v>
      </c>
      <c r="F454" s="3">
        <v>48.09</v>
      </c>
      <c r="G454" s="3">
        <v>5675.3</v>
      </c>
    </row>
    <row r="455" spans="1:7" x14ac:dyDescent="0.45">
      <c r="A455" s="2">
        <v>45736</v>
      </c>
      <c r="B455" s="3">
        <v>559.79999999999995</v>
      </c>
      <c r="C455" s="3">
        <v>19.78</v>
      </c>
      <c r="D455" s="3">
        <v>20.399999999999999</v>
      </c>
      <c r="E455" s="3">
        <v>28.65</v>
      </c>
      <c r="F455" s="3">
        <v>48.1</v>
      </c>
      <c r="G455" s="3">
        <v>5662.88</v>
      </c>
    </row>
    <row r="456" spans="1:7" x14ac:dyDescent="0.45">
      <c r="A456" s="2">
        <v>45737</v>
      </c>
      <c r="B456" s="3">
        <v>559.65</v>
      </c>
      <c r="C456" s="3">
        <v>19.809999999999999</v>
      </c>
      <c r="D456" s="3">
        <v>20.51</v>
      </c>
      <c r="E456" s="3">
        <v>28.7</v>
      </c>
      <c r="F456" s="3">
        <v>48.11</v>
      </c>
      <c r="G456" s="3">
        <v>5667.57</v>
      </c>
    </row>
    <row r="457" spans="1:7" x14ac:dyDescent="0.45">
      <c r="A457" s="2">
        <v>45740</v>
      </c>
      <c r="B457" s="3">
        <v>569.66</v>
      </c>
      <c r="C457" s="3">
        <v>20.07</v>
      </c>
      <c r="D457" s="3">
        <v>20.45</v>
      </c>
      <c r="E457" s="3">
        <v>29.01</v>
      </c>
      <c r="F457" s="3">
        <v>48.08</v>
      </c>
      <c r="G457" s="3">
        <v>5767.56</v>
      </c>
    </row>
    <row r="458" spans="1:7" x14ac:dyDescent="0.45">
      <c r="A458" s="2">
        <v>45741</v>
      </c>
      <c r="B458" s="3">
        <v>570.89</v>
      </c>
      <c r="C458" s="3">
        <v>20.309999999999999</v>
      </c>
      <c r="D458" s="3">
        <v>20.64</v>
      </c>
      <c r="E458" s="3">
        <v>29.16</v>
      </c>
      <c r="F458" s="3">
        <v>48.11</v>
      </c>
      <c r="G458" s="3">
        <v>5776.66</v>
      </c>
    </row>
    <row r="459" spans="1:7" x14ac:dyDescent="0.45">
      <c r="A459" s="2">
        <v>45742</v>
      </c>
      <c r="B459" s="3">
        <v>564.42999999999995</v>
      </c>
      <c r="C459" s="3">
        <v>20.23</v>
      </c>
      <c r="D459" s="3">
        <v>20.53</v>
      </c>
      <c r="E459" s="3">
        <v>29.01</v>
      </c>
      <c r="F459" s="3">
        <v>48.1</v>
      </c>
      <c r="G459" s="3">
        <v>5712.21</v>
      </c>
    </row>
    <row r="460" spans="1:7" x14ac:dyDescent="0.45">
      <c r="A460" s="2">
        <v>45743</v>
      </c>
      <c r="B460" s="3">
        <v>562.65</v>
      </c>
      <c r="C460" s="3">
        <v>20.350000000000001</v>
      </c>
      <c r="D460" s="3">
        <v>20.57</v>
      </c>
      <c r="E460" s="3">
        <v>28.94</v>
      </c>
      <c r="F460" s="3">
        <v>48.11</v>
      </c>
      <c r="G460" s="3">
        <v>5693.32</v>
      </c>
    </row>
    <row r="461" spans="1:7" x14ac:dyDescent="0.45">
      <c r="A461" s="2">
        <v>45744</v>
      </c>
      <c r="B461" s="3">
        <v>551.29</v>
      </c>
      <c r="C461" s="3">
        <v>20.13</v>
      </c>
      <c r="D461" s="3">
        <v>20.38</v>
      </c>
      <c r="E461" s="3">
        <v>28.64</v>
      </c>
      <c r="F461" s="3">
        <v>48.14</v>
      </c>
      <c r="G461" s="3">
        <v>5580.95</v>
      </c>
    </row>
    <row r="462" spans="1:7" x14ac:dyDescent="0.45">
      <c r="A462" s="2">
        <v>45747</v>
      </c>
      <c r="B462" s="3">
        <v>555.02</v>
      </c>
      <c r="C462" s="3">
        <v>20.170000000000002</v>
      </c>
      <c r="D462" s="3">
        <v>20.420000000000002</v>
      </c>
      <c r="E462" s="3">
        <v>28.82</v>
      </c>
      <c r="F462" s="3">
        <v>48.15</v>
      </c>
      <c r="G462" s="3">
        <v>5611.84</v>
      </c>
    </row>
    <row r="463" spans="1:7" x14ac:dyDescent="0.45">
      <c r="A463" s="2">
        <v>45748</v>
      </c>
      <c r="B463" s="3">
        <v>556.88</v>
      </c>
      <c r="C463" s="3">
        <v>20.29</v>
      </c>
      <c r="D463" s="3">
        <v>20.46</v>
      </c>
      <c r="E463" s="3">
        <v>29.16</v>
      </c>
      <c r="F463" s="3">
        <v>48.16</v>
      </c>
      <c r="G463" s="3">
        <v>5633.06</v>
      </c>
    </row>
    <row r="464" spans="1:7" x14ac:dyDescent="0.45">
      <c r="A464" s="2">
        <v>45749</v>
      </c>
      <c r="B464" s="3">
        <v>560.26</v>
      </c>
      <c r="C464" s="3">
        <v>20.399999999999999</v>
      </c>
      <c r="D464" s="3">
        <v>20.34</v>
      </c>
      <c r="E464" s="3">
        <v>28.93</v>
      </c>
      <c r="F464" s="3">
        <v>48.16</v>
      </c>
      <c r="G464" s="3">
        <v>5670.98</v>
      </c>
    </row>
    <row r="465" spans="1:7" x14ac:dyDescent="0.45">
      <c r="A465" s="2">
        <v>45750</v>
      </c>
      <c r="B465" s="3">
        <v>533.46</v>
      </c>
      <c r="C465" s="3">
        <v>19.59</v>
      </c>
      <c r="D465" s="3">
        <v>19.940000000000001</v>
      </c>
      <c r="E465" s="3">
        <v>28.22</v>
      </c>
      <c r="F465" s="3">
        <v>48.22</v>
      </c>
      <c r="G465" s="3">
        <v>5396.51</v>
      </c>
    </row>
    <row r="466" spans="1:7" x14ac:dyDescent="0.45">
      <c r="A466" s="2">
        <v>45751</v>
      </c>
      <c r="B466" s="3">
        <v>501.4</v>
      </c>
      <c r="C466" s="3">
        <v>18.18</v>
      </c>
      <c r="D466" s="3">
        <v>18.559999999999999</v>
      </c>
      <c r="E466" s="3">
        <v>26</v>
      </c>
      <c r="F466" s="3">
        <v>48.19</v>
      </c>
      <c r="G466" s="3">
        <v>5074.09</v>
      </c>
    </row>
    <row r="467" spans="1:7" x14ac:dyDescent="0.45">
      <c r="A467" s="2">
        <v>45754</v>
      </c>
      <c r="B467" s="3">
        <v>500.18</v>
      </c>
      <c r="C467" s="3">
        <v>17.579999999999998</v>
      </c>
      <c r="D467" s="3">
        <v>17.86</v>
      </c>
      <c r="E467" s="3">
        <v>25.02</v>
      </c>
      <c r="F467" s="3">
        <v>48.13</v>
      </c>
      <c r="G467" s="3">
        <v>5062.24</v>
      </c>
    </row>
    <row r="468" spans="1:7" x14ac:dyDescent="0.45">
      <c r="A468" s="2">
        <v>45755</v>
      </c>
      <c r="B468" s="3">
        <v>492.69</v>
      </c>
      <c r="C468" s="3">
        <v>17.21</v>
      </c>
      <c r="D468" s="3">
        <v>17.48</v>
      </c>
      <c r="E468" s="3">
        <v>23.94</v>
      </c>
      <c r="F468" s="3">
        <v>48.13</v>
      </c>
      <c r="G468" s="3">
        <v>4982.78</v>
      </c>
    </row>
    <row r="469" spans="1:7" x14ac:dyDescent="0.45">
      <c r="A469" s="2">
        <v>45756</v>
      </c>
      <c r="B469" s="3">
        <v>539.55999999999995</v>
      </c>
      <c r="C469" s="3">
        <v>18.989999999999998</v>
      </c>
      <c r="D469" s="3">
        <v>18.59</v>
      </c>
      <c r="E469" s="3">
        <v>25.82</v>
      </c>
      <c r="F469" s="3">
        <v>48.07</v>
      </c>
      <c r="G469" s="3">
        <v>5456.89</v>
      </c>
    </row>
    <row r="470" spans="1:7" x14ac:dyDescent="0.45">
      <c r="A470" s="2">
        <v>45757</v>
      </c>
      <c r="B470" s="3">
        <v>520.61</v>
      </c>
      <c r="C470" s="3">
        <v>18.059999999999999</v>
      </c>
      <c r="D470" s="3">
        <v>18.059999999999999</v>
      </c>
      <c r="E470" s="3">
        <v>24.35</v>
      </c>
      <c r="F470" s="3">
        <v>48.07</v>
      </c>
      <c r="G470" s="3">
        <v>5268.06</v>
      </c>
    </row>
    <row r="471" spans="1:7" x14ac:dyDescent="0.45">
      <c r="A471" s="2">
        <v>45758</v>
      </c>
      <c r="B471" s="3">
        <v>530.41</v>
      </c>
      <c r="C471" s="3">
        <v>18.12</v>
      </c>
      <c r="D471" s="3">
        <v>18.05</v>
      </c>
      <c r="E471" s="3">
        <v>24.7</v>
      </c>
      <c r="F471" s="3">
        <v>48.1</v>
      </c>
      <c r="G471" s="3">
        <v>5363.35</v>
      </c>
    </row>
    <row r="472" spans="1:7" x14ac:dyDescent="0.45">
      <c r="A472" s="2">
        <v>45761</v>
      </c>
      <c r="B472" s="3">
        <v>534.89</v>
      </c>
      <c r="C472" s="3">
        <v>18.22</v>
      </c>
      <c r="D472" s="3">
        <v>18.190000000000001</v>
      </c>
      <c r="E472" s="3">
        <v>25.04</v>
      </c>
      <c r="F472" s="3">
        <v>48.16</v>
      </c>
      <c r="G472" s="3">
        <v>5405.96</v>
      </c>
    </row>
    <row r="473" spans="1:7" x14ac:dyDescent="0.45">
      <c r="A473" s="2">
        <v>45762</v>
      </c>
      <c r="B473" s="3">
        <v>533.58000000000004</v>
      </c>
      <c r="C473" s="3">
        <v>18.36</v>
      </c>
      <c r="D473" s="3">
        <v>18.440000000000001</v>
      </c>
      <c r="E473" s="3">
        <v>25.35</v>
      </c>
      <c r="F473" s="3">
        <v>48.17</v>
      </c>
      <c r="G473" s="3">
        <v>5396.62</v>
      </c>
    </row>
    <row r="474" spans="1:7" x14ac:dyDescent="0.45">
      <c r="A474" s="2">
        <v>45763</v>
      </c>
      <c r="B474" s="3">
        <v>521.67999999999995</v>
      </c>
      <c r="C474" s="3">
        <v>18.29</v>
      </c>
      <c r="D474" s="3">
        <v>18.36</v>
      </c>
      <c r="E474" s="3">
        <v>25.23</v>
      </c>
      <c r="F474" s="3">
        <v>48.2</v>
      </c>
      <c r="G474" s="3">
        <v>5275.71</v>
      </c>
    </row>
    <row r="475" spans="1:7" x14ac:dyDescent="0.45">
      <c r="A475" s="2">
        <v>45764</v>
      </c>
      <c r="B475" s="3">
        <v>522.20000000000005</v>
      </c>
      <c r="C475" s="3">
        <v>18.57</v>
      </c>
      <c r="D475" s="3">
        <v>18.64</v>
      </c>
      <c r="E475" s="3">
        <v>25.74</v>
      </c>
      <c r="F475" s="3">
        <v>48.2</v>
      </c>
      <c r="G475" s="3">
        <v>5282.69</v>
      </c>
    </row>
    <row r="476" spans="1:7" x14ac:dyDescent="0.45">
      <c r="A476" s="2">
        <v>45768</v>
      </c>
      <c r="B476" s="3">
        <v>510.06</v>
      </c>
      <c r="C476" s="3">
        <v>18.11</v>
      </c>
      <c r="D476" s="3">
        <v>18.260000000000002</v>
      </c>
      <c r="E476" s="3">
        <v>25.25</v>
      </c>
      <c r="F476" s="3">
        <v>48.23</v>
      </c>
      <c r="G476" s="3">
        <v>5158.1899999999996</v>
      </c>
    </row>
    <row r="477" spans="1:7" x14ac:dyDescent="0.45">
      <c r="A477" s="2">
        <v>45769</v>
      </c>
      <c r="B477" s="3">
        <v>522.9</v>
      </c>
      <c r="C477" s="3">
        <v>18.57</v>
      </c>
      <c r="D477" s="3">
        <v>18.559999999999999</v>
      </c>
      <c r="E477" s="3">
        <v>25.6</v>
      </c>
      <c r="F477" s="3">
        <v>48.23</v>
      </c>
      <c r="G477" s="3">
        <v>5287.77</v>
      </c>
    </row>
    <row r="478" spans="1:7" x14ac:dyDescent="0.45">
      <c r="A478" s="2">
        <v>45770</v>
      </c>
      <c r="B478" s="3">
        <v>531.27</v>
      </c>
      <c r="C478" s="3">
        <v>18.89</v>
      </c>
      <c r="D478" s="3">
        <v>18.89</v>
      </c>
      <c r="E478" s="3">
        <v>25.97</v>
      </c>
      <c r="F478" s="3">
        <v>48.22</v>
      </c>
      <c r="G478" s="3">
        <v>5375.85</v>
      </c>
    </row>
    <row r="479" spans="1:7" x14ac:dyDescent="0.45">
      <c r="A479" s="2">
        <v>45771</v>
      </c>
      <c r="B479" s="3">
        <v>542.5</v>
      </c>
      <c r="C479" s="3">
        <v>19.21</v>
      </c>
      <c r="D479" s="3">
        <v>19.010000000000002</v>
      </c>
      <c r="E479" s="3">
        <v>26.17</v>
      </c>
      <c r="F479" s="3">
        <v>48.26</v>
      </c>
      <c r="G479" s="3">
        <v>5484.78</v>
      </c>
    </row>
    <row r="480" spans="1:7" x14ac:dyDescent="0.45">
      <c r="A480" s="2">
        <v>45772</v>
      </c>
      <c r="B480" s="3">
        <v>546.41999999999996</v>
      </c>
      <c r="C480" s="3">
        <v>19.21</v>
      </c>
      <c r="D480" s="3">
        <v>19.09</v>
      </c>
      <c r="E480" s="3">
        <v>26.4</v>
      </c>
      <c r="F480" s="3">
        <v>48.3</v>
      </c>
      <c r="G480" s="3">
        <v>5525.22</v>
      </c>
    </row>
    <row r="481" spans="1:7" x14ac:dyDescent="0.45">
      <c r="A481" s="2">
        <v>45775</v>
      </c>
      <c r="B481" s="3">
        <v>546.66</v>
      </c>
      <c r="C481" s="3">
        <v>19.34</v>
      </c>
      <c r="D481" s="3">
        <v>19.18</v>
      </c>
      <c r="E481" s="3">
        <v>26.57</v>
      </c>
      <c r="F481" s="3">
        <v>48.34</v>
      </c>
      <c r="G481" s="3">
        <v>5528.74</v>
      </c>
    </row>
    <row r="482" spans="1:7" x14ac:dyDescent="0.45">
      <c r="A482" s="2">
        <v>45776</v>
      </c>
      <c r="B482" s="3">
        <v>550.13</v>
      </c>
      <c r="C482" s="3">
        <v>18.809999999999999</v>
      </c>
      <c r="D482" s="3">
        <v>19.05</v>
      </c>
      <c r="E482" s="3">
        <v>26.44</v>
      </c>
      <c r="F482" s="3">
        <v>48.32</v>
      </c>
      <c r="G482" s="3">
        <v>5560.82</v>
      </c>
    </row>
    <row r="483" spans="1:7" x14ac:dyDescent="0.45">
      <c r="A483" s="2">
        <v>45777</v>
      </c>
      <c r="B483" s="3">
        <v>551.13</v>
      </c>
      <c r="C483" s="3">
        <v>18.809999999999999</v>
      </c>
      <c r="D483" s="3">
        <v>18.940000000000001</v>
      </c>
      <c r="E483" s="3">
        <v>26.09</v>
      </c>
      <c r="F483" s="3">
        <v>48.35</v>
      </c>
      <c r="G483" s="3">
        <v>5569.07</v>
      </c>
    </row>
    <row r="484" spans="1:7" x14ac:dyDescent="0.45">
      <c r="A484" s="2">
        <v>45778</v>
      </c>
      <c r="B484" s="3">
        <v>554.24</v>
      </c>
      <c r="C484" s="3">
        <v>18.510000000000002</v>
      </c>
      <c r="D484" s="3">
        <v>18.760000000000002</v>
      </c>
      <c r="E484" s="3">
        <v>25.84</v>
      </c>
      <c r="F484" s="3">
        <v>48.32</v>
      </c>
      <c r="G484" s="3">
        <v>5604.13</v>
      </c>
    </row>
    <row r="485" spans="1:7" x14ac:dyDescent="0.45">
      <c r="A485" s="2">
        <v>45779</v>
      </c>
      <c r="B485" s="3">
        <v>562.37</v>
      </c>
      <c r="C485" s="3">
        <v>18.93</v>
      </c>
      <c r="D485" s="3">
        <v>19.04</v>
      </c>
      <c r="E485" s="3">
        <v>26.41</v>
      </c>
      <c r="F485" s="3">
        <v>48.35</v>
      </c>
      <c r="G485" s="3">
        <v>5686.66</v>
      </c>
    </row>
    <row r="486" spans="1:7" x14ac:dyDescent="0.45">
      <c r="A486" s="2">
        <v>45782</v>
      </c>
      <c r="B486" s="3">
        <v>559.24</v>
      </c>
      <c r="C486" s="3">
        <v>18.690000000000001</v>
      </c>
      <c r="D486" s="3">
        <v>18.88</v>
      </c>
      <c r="E486" s="3">
        <v>26.22</v>
      </c>
      <c r="F486" s="3">
        <v>48.32</v>
      </c>
      <c r="G486" s="3">
        <v>5650.37</v>
      </c>
    </row>
    <row r="487" spans="1:7" x14ac:dyDescent="0.45">
      <c r="A487" s="2">
        <v>45783</v>
      </c>
      <c r="B487" s="3">
        <v>554.66999999999996</v>
      </c>
      <c r="C487" s="3">
        <v>18.82</v>
      </c>
      <c r="D487" s="3">
        <v>19.03</v>
      </c>
      <c r="E487" s="3">
        <v>26.23</v>
      </c>
      <c r="F487" s="3">
        <v>48.35</v>
      </c>
      <c r="G487" s="3">
        <v>5606.9</v>
      </c>
    </row>
    <row r="488" spans="1:7" x14ac:dyDescent="0.45">
      <c r="A488" s="2">
        <v>45784</v>
      </c>
      <c r="B488" s="3">
        <v>556.87</v>
      </c>
      <c r="C488" s="3">
        <v>18.920000000000002</v>
      </c>
      <c r="D488" s="3">
        <v>19.03</v>
      </c>
      <c r="E488" s="3">
        <v>26.46</v>
      </c>
      <c r="F488" s="3">
        <v>48.36</v>
      </c>
      <c r="G488" s="3">
        <v>5631.27</v>
      </c>
    </row>
    <row r="489" spans="1:7" x14ac:dyDescent="0.45">
      <c r="A489" s="2">
        <v>45785</v>
      </c>
      <c r="B489" s="3">
        <v>560.39</v>
      </c>
      <c r="C489" s="3">
        <v>19.11</v>
      </c>
      <c r="D489" s="3">
        <v>19.309999999999999</v>
      </c>
      <c r="E489" s="3">
        <v>26.49</v>
      </c>
      <c r="F489" s="3">
        <v>48.34</v>
      </c>
      <c r="G489" s="3">
        <v>5663.95</v>
      </c>
    </row>
    <row r="490" spans="1:7" x14ac:dyDescent="0.45">
      <c r="A490" s="2">
        <v>45786</v>
      </c>
      <c r="B490" s="3">
        <v>559.95000000000005</v>
      </c>
      <c r="C490" s="3">
        <v>19.170000000000002</v>
      </c>
      <c r="D490" s="3">
        <v>19.41</v>
      </c>
      <c r="E490" s="3">
        <v>26.51</v>
      </c>
      <c r="F490" s="3">
        <v>48.35</v>
      </c>
      <c r="G490" s="3">
        <v>5659.9</v>
      </c>
    </row>
    <row r="491" spans="1:7" x14ac:dyDescent="0.45">
      <c r="A491" s="2">
        <v>45789</v>
      </c>
      <c r="B491" s="3">
        <v>578.54</v>
      </c>
      <c r="C491" s="3">
        <v>19.649999999999999</v>
      </c>
      <c r="D491" s="3">
        <v>19.899999999999999</v>
      </c>
      <c r="E491" s="3">
        <v>27.27</v>
      </c>
      <c r="F491" s="3">
        <v>48.36</v>
      </c>
      <c r="G491" s="3">
        <v>5844.2</v>
      </c>
    </row>
    <row r="492" spans="1:7" x14ac:dyDescent="0.45">
      <c r="A492" s="2">
        <v>45790</v>
      </c>
      <c r="B492" s="3">
        <v>582.72</v>
      </c>
      <c r="C492" s="3">
        <v>19.82</v>
      </c>
      <c r="D492" s="3">
        <v>20.309999999999999</v>
      </c>
      <c r="E492" s="3">
        <v>27.71</v>
      </c>
      <c r="F492" s="3">
        <v>48.34</v>
      </c>
      <c r="G492" s="3">
        <v>5886.54</v>
      </c>
    </row>
    <row r="493" spans="1:7" x14ac:dyDescent="0.45">
      <c r="A493" s="2">
        <v>45791</v>
      </c>
      <c r="B493" s="3">
        <v>583.04999999999995</v>
      </c>
      <c r="C493" s="3">
        <v>19.690000000000001</v>
      </c>
      <c r="D493" s="3">
        <v>20.43</v>
      </c>
      <c r="E493" s="3">
        <v>27.8</v>
      </c>
      <c r="F493" s="3">
        <v>48.35</v>
      </c>
      <c r="G493" s="3">
        <v>5892.57</v>
      </c>
    </row>
    <row r="494" spans="1:7" x14ac:dyDescent="0.45">
      <c r="A494" s="2">
        <v>45792</v>
      </c>
      <c r="B494" s="3">
        <v>585.91999999999996</v>
      </c>
      <c r="C494" s="3">
        <v>19.72</v>
      </c>
      <c r="D494" s="3">
        <v>20.350000000000001</v>
      </c>
      <c r="E494" s="3">
        <v>27.91</v>
      </c>
      <c r="F494" s="3">
        <v>48.37</v>
      </c>
      <c r="G494" s="3">
        <v>5916.92</v>
      </c>
    </row>
    <row r="495" spans="1:7" x14ac:dyDescent="0.45">
      <c r="A495" s="2">
        <v>45793</v>
      </c>
      <c r="B495" s="3">
        <v>589.73</v>
      </c>
      <c r="C495" s="3">
        <v>19.940000000000001</v>
      </c>
      <c r="D495" s="3">
        <v>20.7</v>
      </c>
      <c r="E495" s="3">
        <v>28.18</v>
      </c>
      <c r="F495" s="3">
        <v>48.39</v>
      </c>
      <c r="G495" s="3">
        <v>5958.37</v>
      </c>
    </row>
    <row r="496" spans="1:7" x14ac:dyDescent="0.45">
      <c r="A496" s="2">
        <v>45796</v>
      </c>
      <c r="B496" s="3">
        <v>590.47</v>
      </c>
      <c r="C496" s="3">
        <v>19.940000000000001</v>
      </c>
      <c r="D496" s="3">
        <v>20.79</v>
      </c>
      <c r="E496" s="3">
        <v>28.41</v>
      </c>
      <c r="F496" s="3">
        <v>48.4</v>
      </c>
      <c r="G496" s="3">
        <v>5963.59</v>
      </c>
    </row>
    <row r="497" spans="1:7" x14ac:dyDescent="0.45">
      <c r="A497" s="2">
        <v>45797</v>
      </c>
      <c r="B497" s="3">
        <v>588.28</v>
      </c>
      <c r="C497" s="3">
        <v>20.02</v>
      </c>
      <c r="D497" s="3">
        <v>21.03</v>
      </c>
      <c r="E497" s="3">
        <v>28.47</v>
      </c>
      <c r="F497" s="3">
        <v>48.42</v>
      </c>
      <c r="G497" s="3">
        <v>5940.45</v>
      </c>
    </row>
    <row r="498" spans="1:7" x14ac:dyDescent="0.45">
      <c r="A498" s="2">
        <v>45798</v>
      </c>
      <c r="B498" s="3">
        <v>578.5</v>
      </c>
      <c r="C498" s="3">
        <v>19.600000000000001</v>
      </c>
      <c r="D498" s="3">
        <v>20.58</v>
      </c>
      <c r="E498" s="3">
        <v>27.75</v>
      </c>
      <c r="F498" s="3">
        <v>48.41</v>
      </c>
      <c r="G498" s="3">
        <v>5844.62</v>
      </c>
    </row>
    <row r="499" spans="1:7" x14ac:dyDescent="0.45">
      <c r="A499" s="2">
        <v>45799</v>
      </c>
      <c r="B499" s="3">
        <v>578.59</v>
      </c>
      <c r="C499" s="3">
        <v>19.59</v>
      </c>
      <c r="D499" s="3">
        <v>20.47</v>
      </c>
      <c r="E499" s="3">
        <v>27.73</v>
      </c>
      <c r="F499" s="3">
        <v>48.41</v>
      </c>
      <c r="G499" s="3">
        <v>5842</v>
      </c>
    </row>
    <row r="500" spans="1:7" x14ac:dyDescent="0.45">
      <c r="A500" s="2">
        <v>45800</v>
      </c>
      <c r="B500" s="3">
        <v>574.88</v>
      </c>
      <c r="C500" s="3">
        <v>19.649999999999999</v>
      </c>
      <c r="D500" s="3">
        <v>20.61</v>
      </c>
      <c r="E500" s="3">
        <v>27.87</v>
      </c>
      <c r="F500" s="3">
        <v>48.43</v>
      </c>
      <c r="G500" s="3">
        <v>5802.83</v>
      </c>
    </row>
    <row r="501" spans="1:7" x14ac:dyDescent="0.45">
      <c r="A501" s="2">
        <v>45804</v>
      </c>
      <c r="B501" s="3">
        <v>586.66999999999996</v>
      </c>
      <c r="C501" s="3">
        <v>20</v>
      </c>
      <c r="D501" s="3">
        <v>20.97</v>
      </c>
      <c r="E501" s="3">
        <v>28.43</v>
      </c>
      <c r="F501" s="3">
        <v>48.48</v>
      </c>
      <c r="G501" s="3">
        <v>5921.53</v>
      </c>
    </row>
    <row r="502" spans="1:7" x14ac:dyDescent="0.45">
      <c r="A502" s="2">
        <v>45805</v>
      </c>
      <c r="B502" s="3">
        <v>583.21</v>
      </c>
      <c r="C502" s="3">
        <v>20.02</v>
      </c>
      <c r="D502" s="3">
        <v>21.04</v>
      </c>
      <c r="E502" s="3">
        <v>28.37</v>
      </c>
      <c r="F502" s="3">
        <v>48.47</v>
      </c>
      <c r="G502" s="3">
        <v>5888.56</v>
      </c>
    </row>
    <row r="503" spans="1:7" x14ac:dyDescent="0.45">
      <c r="A503" s="2">
        <v>45806</v>
      </c>
      <c r="B503" s="3">
        <v>585.52</v>
      </c>
      <c r="C503" s="3">
        <v>20.02</v>
      </c>
      <c r="D503" s="3">
        <v>21.14</v>
      </c>
      <c r="E503" s="3">
        <v>28.47</v>
      </c>
      <c r="F503" s="3">
        <v>48.48</v>
      </c>
      <c r="G503" s="3">
        <v>5912.18</v>
      </c>
    </row>
    <row r="504" spans="1:7" x14ac:dyDescent="0.45">
      <c r="A504" s="2">
        <v>45807</v>
      </c>
      <c r="B504" s="3">
        <v>584.9</v>
      </c>
      <c r="C504" s="3">
        <v>20.07</v>
      </c>
      <c r="D504" s="3">
        <v>21.3</v>
      </c>
      <c r="E504" s="3">
        <v>28.39</v>
      </c>
      <c r="F504" s="3">
        <v>48.5</v>
      </c>
      <c r="G504" s="3">
        <v>5911.68</v>
      </c>
    </row>
    <row r="505" spans="1:7" x14ac:dyDescent="0.45">
      <c r="A505" s="2">
        <v>45810</v>
      </c>
      <c r="B505" s="3">
        <v>588.29999999999995</v>
      </c>
      <c r="C505" s="3">
        <v>20</v>
      </c>
      <c r="D505" s="3">
        <v>21.2</v>
      </c>
      <c r="E505" s="3">
        <v>28.21</v>
      </c>
      <c r="F505" s="3">
        <v>48.52</v>
      </c>
      <c r="G505" s="3">
        <v>5935.95</v>
      </c>
    </row>
    <row r="506" spans="1:7" x14ac:dyDescent="0.45">
      <c r="A506" s="2">
        <v>45811</v>
      </c>
      <c r="B506" s="3">
        <v>591.6</v>
      </c>
      <c r="C506" s="3">
        <v>19.989999999999998</v>
      </c>
      <c r="D506" s="3">
        <v>21.36</v>
      </c>
      <c r="E506" s="3">
        <v>28.13</v>
      </c>
      <c r="F506" s="3">
        <v>48.52</v>
      </c>
      <c r="G506" s="3">
        <v>5970.36</v>
      </c>
    </row>
    <row r="507" spans="1:7" x14ac:dyDescent="0.45">
      <c r="A507" s="2">
        <v>45812</v>
      </c>
      <c r="B507" s="3">
        <v>591.44000000000005</v>
      </c>
      <c r="C507" s="3">
        <v>19.96</v>
      </c>
      <c r="D507" s="3">
        <v>21.23</v>
      </c>
      <c r="E507" s="3">
        <v>28.1</v>
      </c>
      <c r="F507" s="3">
        <v>48.55</v>
      </c>
      <c r="G507" s="3">
        <v>5970.82</v>
      </c>
    </row>
    <row r="508" spans="1:7" x14ac:dyDescent="0.45">
      <c r="A508" s="2">
        <v>45813</v>
      </c>
      <c r="B508" s="3">
        <v>588.69000000000005</v>
      </c>
      <c r="C508" s="3">
        <v>19.98</v>
      </c>
      <c r="D508" s="3">
        <v>21.3</v>
      </c>
      <c r="E508" s="3">
        <v>28.29</v>
      </c>
      <c r="F508" s="3">
        <v>48.52</v>
      </c>
      <c r="G508" s="3">
        <v>5939.29</v>
      </c>
    </row>
    <row r="509" spans="1:7" x14ac:dyDescent="0.45">
      <c r="A509" s="2">
        <v>45814</v>
      </c>
      <c r="B509" s="3">
        <v>594.63</v>
      </c>
      <c r="C509" s="3">
        <v>20.2</v>
      </c>
      <c r="D509" s="3">
        <v>21.38</v>
      </c>
      <c r="E509" s="3">
        <v>28.47</v>
      </c>
      <c r="F509" s="3">
        <v>48.52</v>
      </c>
      <c r="G509" s="3">
        <v>6000.37</v>
      </c>
    </row>
    <row r="510" spans="1:7" x14ac:dyDescent="0.45">
      <c r="A510" s="2">
        <v>45817</v>
      </c>
      <c r="B510" s="3">
        <v>595.19000000000005</v>
      </c>
      <c r="C510" s="3">
        <v>20.22</v>
      </c>
      <c r="D510" s="3">
        <v>21.48</v>
      </c>
      <c r="E510" s="3">
        <v>28.44</v>
      </c>
      <c r="F510" s="3">
        <v>48.55</v>
      </c>
      <c r="G510" s="3">
        <v>6005.89</v>
      </c>
    </row>
    <row r="511" spans="1:7" x14ac:dyDescent="0.45">
      <c r="A511" s="2">
        <v>45818</v>
      </c>
      <c r="B511" s="3">
        <v>598.61</v>
      </c>
      <c r="C511" s="3">
        <v>20.329999999999998</v>
      </c>
      <c r="D511" s="3">
        <v>21.48</v>
      </c>
      <c r="E511" s="3">
        <v>28.5</v>
      </c>
      <c r="F511" s="3">
        <v>48.54</v>
      </c>
      <c r="G511" s="3">
        <v>6038.8</v>
      </c>
    </row>
    <row r="512" spans="1:7" x14ac:dyDescent="0.45">
      <c r="A512" s="2">
        <v>45819</v>
      </c>
      <c r="B512" s="3">
        <v>596.91</v>
      </c>
      <c r="C512" s="3">
        <v>20.420000000000002</v>
      </c>
      <c r="D512" s="3">
        <v>21.48</v>
      </c>
      <c r="E512" s="3">
        <v>28.39</v>
      </c>
      <c r="F512" s="3">
        <v>48.56</v>
      </c>
      <c r="G512" s="3">
        <v>6022.25</v>
      </c>
    </row>
    <row r="513" spans="1:7" x14ac:dyDescent="0.45">
      <c r="A513" s="2">
        <v>45820</v>
      </c>
      <c r="B513" s="3">
        <v>599.09</v>
      </c>
      <c r="C513" s="3">
        <v>20.28</v>
      </c>
      <c r="D513" s="3">
        <v>21.49</v>
      </c>
      <c r="E513" s="3">
        <v>28.36</v>
      </c>
      <c r="F513" s="3">
        <v>48.58</v>
      </c>
      <c r="G513" s="3">
        <v>6045.25</v>
      </c>
    </row>
    <row r="514" spans="1:7" x14ac:dyDescent="0.45">
      <c r="A514" s="2">
        <v>45821</v>
      </c>
      <c r="B514" s="3">
        <v>592.45000000000005</v>
      </c>
      <c r="C514" s="3">
        <v>20.03</v>
      </c>
      <c r="D514" s="3">
        <v>21.33</v>
      </c>
      <c r="E514" s="3">
        <v>28.17</v>
      </c>
      <c r="F514" s="3">
        <v>48.59</v>
      </c>
      <c r="G514" s="3">
        <v>5976.96</v>
      </c>
    </row>
    <row r="515" spans="1:7" x14ac:dyDescent="0.45">
      <c r="A515" s="2">
        <v>45824</v>
      </c>
      <c r="B515" s="3">
        <v>598.24</v>
      </c>
      <c r="C515" s="3">
        <v>19.84</v>
      </c>
      <c r="D515" s="3">
        <v>20.97</v>
      </c>
      <c r="E515" s="3">
        <v>27.78</v>
      </c>
      <c r="F515" s="3">
        <v>48.6</v>
      </c>
      <c r="G515" s="3">
        <v>6033.12</v>
      </c>
    </row>
    <row r="516" spans="1:7" x14ac:dyDescent="0.45">
      <c r="A516" s="2">
        <v>45825</v>
      </c>
      <c r="B516" s="3">
        <v>593.28</v>
      </c>
      <c r="C516" s="3">
        <v>19.84</v>
      </c>
      <c r="D516" s="3">
        <v>21.18</v>
      </c>
      <c r="E516" s="3">
        <v>27.9</v>
      </c>
      <c r="F516" s="3">
        <v>48.61</v>
      </c>
      <c r="G516" s="3">
        <v>5982.73</v>
      </c>
    </row>
    <row r="517" spans="1:7" x14ac:dyDescent="0.45">
      <c r="A517" s="2">
        <v>45826</v>
      </c>
      <c r="B517" s="3">
        <v>593.14</v>
      </c>
      <c r="C517" s="3">
        <v>20.010000000000002</v>
      </c>
      <c r="D517" s="3">
        <v>21.51</v>
      </c>
      <c r="E517" s="3">
        <v>28.06</v>
      </c>
      <c r="F517" s="3">
        <v>48.61</v>
      </c>
      <c r="G517" s="3">
        <v>5980.86</v>
      </c>
    </row>
    <row r="518" spans="1:7" x14ac:dyDescent="0.45">
      <c r="A518" s="2">
        <v>45828</v>
      </c>
      <c r="B518" s="3">
        <v>591.20000000000005</v>
      </c>
      <c r="C518" s="3">
        <v>20</v>
      </c>
      <c r="D518" s="3">
        <v>21.61</v>
      </c>
      <c r="E518" s="3">
        <v>27.81</v>
      </c>
      <c r="F518" s="3">
        <v>48.63</v>
      </c>
      <c r="G518" s="3">
        <v>5967.85</v>
      </c>
    </row>
    <row r="519" spans="1:7" x14ac:dyDescent="0.45">
      <c r="A519" s="2">
        <v>45831</v>
      </c>
      <c r="B519" s="3">
        <v>597.41</v>
      </c>
      <c r="C519" s="3">
        <v>19.98</v>
      </c>
      <c r="D519" s="3">
        <v>21.34</v>
      </c>
      <c r="E519" s="3">
        <v>27.55</v>
      </c>
      <c r="F519" s="3">
        <v>48.66</v>
      </c>
      <c r="G519" s="3">
        <v>6025.16</v>
      </c>
    </row>
    <row r="520" spans="1:7" x14ac:dyDescent="0.45">
      <c r="A520" s="2">
        <v>45832</v>
      </c>
      <c r="B520" s="3">
        <v>603.92999999999995</v>
      </c>
      <c r="C520" s="3">
        <v>20.02</v>
      </c>
      <c r="D520" s="3">
        <v>21.6</v>
      </c>
      <c r="E520" s="3">
        <v>27.91</v>
      </c>
      <c r="F520" s="3">
        <v>48.67</v>
      </c>
      <c r="G520" s="3">
        <v>6092.19</v>
      </c>
    </row>
    <row r="521" spans="1:7" x14ac:dyDescent="0.45">
      <c r="A521" s="2">
        <v>45833</v>
      </c>
      <c r="B521" s="3">
        <v>604.38</v>
      </c>
      <c r="C521" s="3">
        <v>20.059999999999999</v>
      </c>
      <c r="D521" s="3">
        <v>21.61</v>
      </c>
      <c r="E521" s="3">
        <v>27.95</v>
      </c>
      <c r="F521" s="3">
        <v>48.67</v>
      </c>
      <c r="G521" s="3">
        <v>6092.15</v>
      </c>
    </row>
    <row r="522" spans="1:7" x14ac:dyDescent="0.45">
      <c r="A522" s="2">
        <v>45834</v>
      </c>
      <c r="B522" s="3">
        <v>609.13</v>
      </c>
      <c r="C522" s="3">
        <v>20.239999999999998</v>
      </c>
      <c r="D522" s="3">
        <v>21.92</v>
      </c>
      <c r="E522" s="3">
        <v>28.06</v>
      </c>
      <c r="F522" s="3">
        <v>48.7</v>
      </c>
      <c r="G522" s="3">
        <v>6141.01</v>
      </c>
    </row>
    <row r="523" spans="1:7" x14ac:dyDescent="0.45">
      <c r="A523" s="2">
        <v>45835</v>
      </c>
      <c r="B523" s="3">
        <v>611.80999999999995</v>
      </c>
      <c r="C523" s="3">
        <v>20.420000000000002</v>
      </c>
      <c r="D523" s="3">
        <v>22.17</v>
      </c>
      <c r="E523" s="3">
        <v>27.91</v>
      </c>
      <c r="F523" s="3">
        <v>48.72</v>
      </c>
      <c r="G523" s="3">
        <v>6173.08</v>
      </c>
    </row>
    <row r="524" spans="1:7" x14ac:dyDescent="0.45">
      <c r="A524" s="2">
        <v>45838</v>
      </c>
      <c r="B524" s="3">
        <v>615.22</v>
      </c>
      <c r="C524" s="3">
        <v>20.43</v>
      </c>
      <c r="D524" s="3">
        <v>22.21</v>
      </c>
      <c r="E524" s="3">
        <v>28.08</v>
      </c>
      <c r="F524" s="3">
        <v>48.74</v>
      </c>
      <c r="G524" s="3">
        <v>6204.94</v>
      </c>
    </row>
    <row r="525" spans="1:7" x14ac:dyDescent="0.45">
      <c r="A525" s="2">
        <v>45839</v>
      </c>
      <c r="B525" s="3">
        <v>614.99</v>
      </c>
      <c r="C525" s="3">
        <v>20.52</v>
      </c>
      <c r="D525" s="3">
        <v>22.19</v>
      </c>
      <c r="E525" s="3">
        <v>28.13</v>
      </c>
      <c r="F525" s="3">
        <v>48.72</v>
      </c>
      <c r="G525" s="3">
        <v>6198.02</v>
      </c>
    </row>
    <row r="526" spans="1:7" x14ac:dyDescent="0.45">
      <c r="A526" s="2">
        <v>45840</v>
      </c>
      <c r="B526" s="3">
        <v>617.72</v>
      </c>
      <c r="C526" s="3">
        <v>20.71</v>
      </c>
      <c r="D526" s="3">
        <v>22.36</v>
      </c>
      <c r="E526" s="3">
        <v>28.14</v>
      </c>
      <c r="F526" s="3">
        <v>48.73</v>
      </c>
      <c r="G526" s="3">
        <v>6227.41</v>
      </c>
    </row>
    <row r="527" spans="1:7" x14ac:dyDescent="0.45">
      <c r="A527" s="2">
        <v>45841</v>
      </c>
      <c r="B527" s="3">
        <v>622.41999999999996</v>
      </c>
      <c r="C527" s="3">
        <v>20.85</v>
      </c>
      <c r="D527" s="3">
        <v>22.73</v>
      </c>
      <c r="E527" s="3">
        <v>28.49</v>
      </c>
      <c r="F527" s="3">
        <v>48.74</v>
      </c>
      <c r="G527" s="3">
        <v>6279.36</v>
      </c>
    </row>
    <row r="528" spans="1:7" x14ac:dyDescent="0.45">
      <c r="A528" s="2">
        <v>45845</v>
      </c>
      <c r="B528" s="3">
        <v>618.12</v>
      </c>
      <c r="C528" s="3">
        <v>20.78</v>
      </c>
      <c r="D528" s="3">
        <v>22.33</v>
      </c>
      <c r="E528" s="3">
        <v>28.25</v>
      </c>
      <c r="F528" s="3">
        <v>48.73</v>
      </c>
      <c r="G528" s="3">
        <v>6229.99</v>
      </c>
    </row>
    <row r="529" spans="1:7" x14ac:dyDescent="0.45">
      <c r="A529" s="2">
        <v>45846</v>
      </c>
      <c r="B529" s="3">
        <v>617.63</v>
      </c>
      <c r="C529" s="3">
        <v>20.86</v>
      </c>
      <c r="D529" s="3">
        <v>22.49</v>
      </c>
      <c r="E529" s="3">
        <v>28.34</v>
      </c>
      <c r="F529" s="3">
        <v>48.73</v>
      </c>
      <c r="G529" s="3">
        <v>6225.51</v>
      </c>
    </row>
    <row r="530" spans="1:7" x14ac:dyDescent="0.45">
      <c r="A530" s="2">
        <v>45847</v>
      </c>
      <c r="B530" s="3">
        <v>621.29</v>
      </c>
      <c r="C530" s="3">
        <v>20.95</v>
      </c>
      <c r="D530" s="3">
        <v>22.55</v>
      </c>
      <c r="E530" s="3">
        <v>28.41</v>
      </c>
      <c r="F530" s="3">
        <v>48.76</v>
      </c>
      <c r="G530" s="3">
        <v>6263.25</v>
      </c>
    </row>
    <row r="531" spans="1:7" x14ac:dyDescent="0.45">
      <c r="A531" s="2">
        <v>45848</v>
      </c>
      <c r="B531" s="3">
        <v>623.1</v>
      </c>
      <c r="C531" s="3">
        <v>21.2</v>
      </c>
      <c r="D531" s="3">
        <v>22.66</v>
      </c>
      <c r="E531" s="3">
        <v>28.82</v>
      </c>
      <c r="F531" s="3">
        <v>48.76</v>
      </c>
      <c r="G531" s="3">
        <v>6280.47</v>
      </c>
    </row>
    <row r="532" spans="1:7" x14ac:dyDescent="0.45">
      <c r="A532" s="2">
        <v>45849</v>
      </c>
      <c r="B532" s="3">
        <v>620.71</v>
      </c>
      <c r="C532" s="3">
        <v>21.25</v>
      </c>
      <c r="D532" s="3">
        <v>22.7</v>
      </c>
      <c r="E532" s="3">
        <v>28.95</v>
      </c>
      <c r="F532" s="3">
        <v>48.78</v>
      </c>
      <c r="G532" s="3">
        <v>6259.74</v>
      </c>
    </row>
    <row r="533" spans="1:7" x14ac:dyDescent="0.45">
      <c r="A533" s="2">
        <v>45852</v>
      </c>
      <c r="B533" s="3">
        <v>622</v>
      </c>
      <c r="C533" s="3">
        <v>21.27</v>
      </c>
      <c r="D533" s="3">
        <v>22.74</v>
      </c>
      <c r="E533" s="3">
        <v>29.12</v>
      </c>
      <c r="F533" s="3">
        <v>48.79</v>
      </c>
      <c r="G533" s="3">
        <v>6268.55</v>
      </c>
    </row>
    <row r="534" spans="1:7" x14ac:dyDescent="0.45">
      <c r="A534" s="2">
        <v>45853</v>
      </c>
      <c r="B534" s="3">
        <v>619.27</v>
      </c>
      <c r="C534" s="3">
        <v>21.17</v>
      </c>
      <c r="D534" s="3">
        <v>22.82</v>
      </c>
      <c r="E534" s="3">
        <v>29.14</v>
      </c>
      <c r="F534" s="3">
        <v>48.79</v>
      </c>
      <c r="G534" s="3">
        <v>6243.77</v>
      </c>
    </row>
    <row r="535" spans="1:7" x14ac:dyDescent="0.45">
      <c r="A535" s="2">
        <v>45854</v>
      </c>
      <c r="B535" s="3">
        <v>621.51</v>
      </c>
      <c r="C535" s="3">
        <v>21.46</v>
      </c>
      <c r="D535" s="3">
        <v>23.06</v>
      </c>
      <c r="E535" s="3">
        <v>29.61</v>
      </c>
      <c r="F535" s="3">
        <v>48.8</v>
      </c>
      <c r="G535" s="3">
        <v>6263.71</v>
      </c>
    </row>
    <row r="536" spans="1:7" x14ac:dyDescent="0.45">
      <c r="A536" s="2">
        <v>45855</v>
      </c>
      <c r="B536" s="3">
        <v>625.16</v>
      </c>
      <c r="C536" s="3">
        <v>21.63</v>
      </c>
      <c r="D536" s="3">
        <v>23.42</v>
      </c>
      <c r="E536" s="3">
        <v>29.63</v>
      </c>
      <c r="F536" s="3">
        <v>48.81</v>
      </c>
      <c r="G536" s="3">
        <v>6297.35</v>
      </c>
    </row>
    <row r="537" spans="1:7" x14ac:dyDescent="0.45">
      <c r="A537" s="2">
        <v>45856</v>
      </c>
      <c r="B537" s="3">
        <v>624.9</v>
      </c>
      <c r="C537" s="3">
        <v>21.6</v>
      </c>
      <c r="D537" s="3">
        <v>23.14</v>
      </c>
      <c r="E537" s="3">
        <v>29.57</v>
      </c>
      <c r="F537" s="3">
        <v>48.84</v>
      </c>
      <c r="G537" s="3">
        <v>6296.78</v>
      </c>
    </row>
    <row r="538" spans="1:7" x14ac:dyDescent="0.45">
      <c r="A538" s="2">
        <v>45859</v>
      </c>
      <c r="B538" s="3">
        <v>625.95000000000005</v>
      </c>
      <c r="C538" s="3">
        <v>21.23</v>
      </c>
      <c r="D538" s="3">
        <v>22.63</v>
      </c>
      <c r="E538" s="3">
        <v>29.18</v>
      </c>
      <c r="F538" s="3">
        <v>48.84</v>
      </c>
      <c r="G538" s="3">
        <v>6305.59</v>
      </c>
    </row>
    <row r="539" spans="1:7" x14ac:dyDescent="0.45">
      <c r="A539" s="2">
        <v>45860</v>
      </c>
      <c r="B539" s="3">
        <v>625.96</v>
      </c>
      <c r="C539" s="3">
        <v>21.36</v>
      </c>
      <c r="D539" s="3">
        <v>22.77</v>
      </c>
      <c r="E539" s="3">
        <v>29.42</v>
      </c>
      <c r="F539" s="3">
        <v>48.86</v>
      </c>
      <c r="G539" s="3">
        <v>6309.63</v>
      </c>
    </row>
    <row r="540" spans="1:7" x14ac:dyDescent="0.45">
      <c r="A540" s="2">
        <v>45861</v>
      </c>
      <c r="B540" s="3">
        <v>631.5</v>
      </c>
      <c r="C540" s="3">
        <v>21.47</v>
      </c>
      <c r="D540" s="3">
        <v>22.86</v>
      </c>
      <c r="E540" s="3">
        <v>29.72</v>
      </c>
      <c r="F540" s="3">
        <v>48.85</v>
      </c>
      <c r="G540" s="3">
        <v>6358.9</v>
      </c>
    </row>
    <row r="541" spans="1:7" x14ac:dyDescent="0.45">
      <c r="A541" s="2">
        <v>45862</v>
      </c>
      <c r="B541" s="3">
        <v>631.75</v>
      </c>
      <c r="C541" s="3">
        <v>21.43</v>
      </c>
      <c r="D541" s="3">
        <v>22.76</v>
      </c>
      <c r="E541" s="3">
        <v>29.62</v>
      </c>
      <c r="F541" s="3">
        <v>48.85</v>
      </c>
      <c r="G541" s="3">
        <v>6363.36</v>
      </c>
    </row>
    <row r="542" spans="1:7" x14ac:dyDescent="0.45">
      <c r="A542" s="2">
        <v>45863</v>
      </c>
      <c r="B542" s="3">
        <v>634.20000000000005</v>
      </c>
      <c r="C542" s="3">
        <v>21.5</v>
      </c>
      <c r="D542" s="3">
        <v>22.81</v>
      </c>
      <c r="E542" s="3">
        <v>29.63</v>
      </c>
      <c r="F542" s="3">
        <v>48.87</v>
      </c>
      <c r="G542" s="3">
        <v>6388.65</v>
      </c>
    </row>
    <row r="543" spans="1:7" x14ac:dyDescent="0.45">
      <c r="A543" s="2">
        <v>45866</v>
      </c>
      <c r="B543" s="3">
        <v>634.05999999999995</v>
      </c>
      <c r="C543" s="3">
        <v>21.12</v>
      </c>
      <c r="D543" s="3">
        <v>22.38</v>
      </c>
      <c r="E543" s="3">
        <v>29.19</v>
      </c>
      <c r="F543" s="3">
        <v>48.87</v>
      </c>
      <c r="G543" s="3">
        <v>6389.76</v>
      </c>
    </row>
    <row r="544" spans="1:7" x14ac:dyDescent="0.45">
      <c r="A544" s="2">
        <v>45867</v>
      </c>
      <c r="B544" s="3">
        <v>632.55999999999995</v>
      </c>
      <c r="C544" s="3">
        <v>20.97</v>
      </c>
      <c r="D544" s="3">
        <v>22.27</v>
      </c>
      <c r="E544" s="3">
        <v>29.17</v>
      </c>
      <c r="F544" s="3">
        <v>48.89</v>
      </c>
      <c r="G544" s="3">
        <v>6370.87</v>
      </c>
    </row>
    <row r="545" spans="1:7" x14ac:dyDescent="0.45">
      <c r="A545" s="2">
        <v>45868</v>
      </c>
      <c r="B545" s="3">
        <v>631.67999999999995</v>
      </c>
      <c r="C545" s="3">
        <v>21.06</v>
      </c>
      <c r="D545" s="3">
        <v>22.07</v>
      </c>
      <c r="E545" s="3">
        <v>29.03</v>
      </c>
      <c r="F545" s="3">
        <v>48.89</v>
      </c>
      <c r="G545" s="3">
        <v>6362.89</v>
      </c>
    </row>
    <row r="546" spans="1:7" x14ac:dyDescent="0.45">
      <c r="A546" s="2">
        <v>45869</v>
      </c>
      <c r="B546" s="3">
        <v>629.09</v>
      </c>
      <c r="C546" s="3">
        <v>21.06</v>
      </c>
      <c r="D546" s="3">
        <v>22.65</v>
      </c>
      <c r="E546" s="3">
        <v>28.81</v>
      </c>
      <c r="F546" s="3">
        <v>48.88</v>
      </c>
      <c r="G546" s="3">
        <v>6339.38</v>
      </c>
    </row>
    <row r="547" spans="1:7" x14ac:dyDescent="0.45">
      <c r="A547" s="2">
        <v>45870</v>
      </c>
      <c r="B547" s="3">
        <v>618.92999999999995</v>
      </c>
      <c r="C547" s="3">
        <v>20.83</v>
      </c>
      <c r="D547" s="3">
        <v>22.31</v>
      </c>
      <c r="E547" s="3">
        <v>28.48</v>
      </c>
      <c r="F547" s="3">
        <v>48.98</v>
      </c>
      <c r="G547" s="3">
        <v>6238</v>
      </c>
    </row>
    <row r="548" spans="1:7" x14ac:dyDescent="0.45">
      <c r="A548" s="2">
        <v>45873</v>
      </c>
      <c r="B548" s="3">
        <v>628.37</v>
      </c>
      <c r="C548" s="3">
        <v>20.84</v>
      </c>
      <c r="D548" s="3">
        <v>22.19</v>
      </c>
      <c r="E548" s="3">
        <v>28.36</v>
      </c>
      <c r="F548" s="3">
        <v>48.99</v>
      </c>
      <c r="G548" s="3">
        <v>6329.93</v>
      </c>
    </row>
    <row r="549" spans="1:7" x14ac:dyDescent="0.45">
      <c r="A549" s="2">
        <v>45874</v>
      </c>
      <c r="B549" s="3">
        <v>625.35</v>
      </c>
      <c r="C549" s="3">
        <v>20.92</v>
      </c>
      <c r="D549" s="3">
        <v>22.16</v>
      </c>
      <c r="E549" s="3">
        <v>28.45</v>
      </c>
      <c r="F549" s="3">
        <v>48.99</v>
      </c>
      <c r="G549" s="3">
        <v>6299.2</v>
      </c>
    </row>
    <row r="550" spans="1:7" x14ac:dyDescent="0.45">
      <c r="A550" s="2">
        <v>45875</v>
      </c>
      <c r="B550" s="3">
        <v>629.97</v>
      </c>
      <c r="C550" s="3">
        <v>20.89</v>
      </c>
      <c r="D550" s="3">
        <v>22.39</v>
      </c>
      <c r="E550" s="3">
        <v>27.57</v>
      </c>
      <c r="F550" s="3">
        <v>48.99</v>
      </c>
      <c r="G550" s="3">
        <v>6345.05</v>
      </c>
    </row>
    <row r="551" spans="1:7" x14ac:dyDescent="0.45">
      <c r="A551" s="2">
        <v>45876</v>
      </c>
      <c r="B551" s="3">
        <v>629.63</v>
      </c>
      <c r="C551" s="3">
        <v>20.83</v>
      </c>
      <c r="D551" s="3">
        <v>22.16</v>
      </c>
      <c r="E551" s="3">
        <v>27.5</v>
      </c>
      <c r="F551" s="3">
        <v>49</v>
      </c>
      <c r="G551" s="3">
        <v>6339.99</v>
      </c>
    </row>
    <row r="552" spans="1:7" x14ac:dyDescent="0.45">
      <c r="A552" s="2">
        <v>45877</v>
      </c>
      <c r="B552" s="3">
        <v>634.39</v>
      </c>
      <c r="C552" s="3">
        <v>20.99</v>
      </c>
      <c r="D552" s="3">
        <v>22.43</v>
      </c>
      <c r="E552" s="3">
        <v>27.89</v>
      </c>
      <c r="F552" s="3">
        <v>49.01</v>
      </c>
      <c r="G552" s="3">
        <v>6389.44</v>
      </c>
    </row>
    <row r="553" spans="1:7" x14ac:dyDescent="0.45">
      <c r="A553" s="2">
        <v>45880</v>
      </c>
      <c r="B553" s="3">
        <v>633.13</v>
      </c>
      <c r="C553" s="3">
        <v>20.89</v>
      </c>
      <c r="D553" s="3">
        <v>22.28</v>
      </c>
      <c r="E553" s="3">
        <v>27.7</v>
      </c>
      <c r="F553" s="3">
        <v>49</v>
      </c>
      <c r="G553" s="3">
        <v>6373.46</v>
      </c>
    </row>
    <row r="554" spans="1:7" x14ac:dyDescent="0.45">
      <c r="A554" s="2">
        <v>45881</v>
      </c>
      <c r="B554" s="3">
        <v>639.83000000000004</v>
      </c>
      <c r="C554" s="3">
        <v>20.91</v>
      </c>
      <c r="D554" s="3">
        <v>22.58</v>
      </c>
      <c r="E554" s="3">
        <v>27.51</v>
      </c>
      <c r="F554" s="3">
        <v>49.03</v>
      </c>
      <c r="G554" s="3">
        <v>6445.75</v>
      </c>
    </row>
    <row r="555" spans="1:7" x14ac:dyDescent="0.45">
      <c r="A555" s="2">
        <v>45882</v>
      </c>
      <c r="B555" s="3">
        <v>642.17999999999995</v>
      </c>
      <c r="C555" s="3">
        <v>21.11</v>
      </c>
      <c r="D555" s="3">
        <v>22.68</v>
      </c>
      <c r="E555" s="3">
        <v>27.54</v>
      </c>
      <c r="F555" s="3">
        <v>49.04</v>
      </c>
      <c r="G555" s="3">
        <v>6466.59</v>
      </c>
    </row>
    <row r="556" spans="1:7" x14ac:dyDescent="0.45">
      <c r="A556" s="2">
        <v>45883</v>
      </c>
      <c r="B556" s="3">
        <v>642.20000000000005</v>
      </c>
      <c r="C556" s="3">
        <v>21.08</v>
      </c>
      <c r="D556" s="3">
        <v>22.59</v>
      </c>
      <c r="E556" s="3">
        <v>27.35</v>
      </c>
      <c r="F556" s="3">
        <v>49.03</v>
      </c>
      <c r="G556" s="3">
        <v>6468.53</v>
      </c>
    </row>
    <row r="557" spans="1:7" x14ac:dyDescent="0.45">
      <c r="A557" s="2">
        <v>45884</v>
      </c>
      <c r="B557" s="3">
        <v>640.75</v>
      </c>
      <c r="C557" s="3">
        <v>20.85</v>
      </c>
      <c r="D557" s="3">
        <v>22.35</v>
      </c>
      <c r="E557" s="3">
        <v>27.21</v>
      </c>
      <c r="F557" s="3">
        <v>49.05</v>
      </c>
      <c r="G557" s="3">
        <v>6449.79</v>
      </c>
    </row>
    <row r="558" spans="1:7" x14ac:dyDescent="0.45">
      <c r="A558" s="2">
        <v>45887</v>
      </c>
      <c r="B558" s="3">
        <v>640.46</v>
      </c>
      <c r="C558" s="3">
        <v>20.85</v>
      </c>
      <c r="D558" s="3">
        <v>22.42</v>
      </c>
      <c r="E558" s="3">
        <v>27.3</v>
      </c>
      <c r="F558" s="3">
        <v>49.05</v>
      </c>
      <c r="G558" s="3">
        <v>6449.16</v>
      </c>
    </row>
    <row r="559" spans="1:7" x14ac:dyDescent="0.45">
      <c r="A559" s="2">
        <v>45888</v>
      </c>
      <c r="B559" s="3">
        <v>637.07000000000005</v>
      </c>
      <c r="C559" s="3">
        <v>20.83</v>
      </c>
      <c r="D559" s="3">
        <v>22.59</v>
      </c>
      <c r="E559" s="3">
        <v>27.47</v>
      </c>
      <c r="F559" s="3">
        <v>49.08</v>
      </c>
      <c r="G559" s="3">
        <v>6411.36</v>
      </c>
    </row>
    <row r="560" spans="1:7" x14ac:dyDescent="0.45">
      <c r="A560" s="2">
        <v>45889</v>
      </c>
      <c r="B560" s="3">
        <v>635.36</v>
      </c>
      <c r="C560" s="3">
        <v>20.74</v>
      </c>
      <c r="D560" s="3">
        <v>22.63</v>
      </c>
      <c r="E560" s="3">
        <v>27.35</v>
      </c>
      <c r="F560" s="3">
        <v>49.09</v>
      </c>
      <c r="G560" s="3">
        <v>6395.79</v>
      </c>
    </row>
    <row r="561" spans="1:7" x14ac:dyDescent="0.45">
      <c r="A561" s="2">
        <v>45890</v>
      </c>
      <c r="B561" s="3">
        <v>632.86</v>
      </c>
      <c r="C561" s="3">
        <v>20.71</v>
      </c>
      <c r="D561" s="3">
        <v>22.72</v>
      </c>
      <c r="E561" s="3">
        <v>27.27</v>
      </c>
      <c r="F561" s="3">
        <v>49.06</v>
      </c>
      <c r="G561" s="3">
        <v>6370.18</v>
      </c>
    </row>
    <row r="562" spans="1:7" x14ac:dyDescent="0.45">
      <c r="A562" s="2">
        <v>45891</v>
      </c>
      <c r="B562" s="3">
        <v>642.57000000000005</v>
      </c>
      <c r="C562" s="3">
        <v>20.77</v>
      </c>
      <c r="D562" s="3">
        <v>22.47</v>
      </c>
      <c r="E562" s="3">
        <v>27.38</v>
      </c>
      <c r="F562" s="3">
        <v>49.12</v>
      </c>
      <c r="G562" s="3">
        <v>6466.92</v>
      </c>
    </row>
    <row r="563" spans="1:7" x14ac:dyDescent="0.45">
      <c r="A563" s="2">
        <v>45894</v>
      </c>
      <c r="B563" s="3">
        <v>639.73</v>
      </c>
      <c r="C563" s="3">
        <v>20.55</v>
      </c>
      <c r="D563" s="3">
        <v>22.45</v>
      </c>
      <c r="E563" s="3">
        <v>27.02</v>
      </c>
      <c r="F563" s="3">
        <v>49.11</v>
      </c>
      <c r="G563" s="3">
        <v>6439.31</v>
      </c>
    </row>
    <row r="564" spans="1:7" x14ac:dyDescent="0.45">
      <c r="A564" s="2">
        <v>45895</v>
      </c>
      <c r="B564" s="3">
        <v>642.33000000000004</v>
      </c>
      <c r="C564" s="3">
        <v>20.7</v>
      </c>
      <c r="D564" s="3">
        <v>22.53</v>
      </c>
      <c r="E564" s="3">
        <v>27.42</v>
      </c>
      <c r="F564" s="3">
        <v>49.13</v>
      </c>
      <c r="G564" s="3">
        <v>6465.95</v>
      </c>
    </row>
    <row r="565" spans="1:7" x14ac:dyDescent="0.45">
      <c r="A565" s="2">
        <v>45896</v>
      </c>
      <c r="B565" s="3">
        <v>643.85</v>
      </c>
      <c r="C565" s="3">
        <v>20.76</v>
      </c>
      <c r="D565" s="3">
        <v>22.62</v>
      </c>
      <c r="E565" s="3">
        <v>27.25</v>
      </c>
      <c r="F565" s="3">
        <v>49.14</v>
      </c>
      <c r="G565" s="3">
        <v>6481.41</v>
      </c>
    </row>
    <row r="566" spans="1:7" x14ac:dyDescent="0.45">
      <c r="A566" s="2">
        <v>45897</v>
      </c>
      <c r="B566" s="3">
        <v>646.16999999999996</v>
      </c>
      <c r="C566" s="3">
        <v>20.7</v>
      </c>
      <c r="D566" s="3">
        <v>22.66</v>
      </c>
      <c r="E566" s="3">
        <v>27.21</v>
      </c>
      <c r="F566" s="3">
        <v>49.14</v>
      </c>
      <c r="G566" s="3">
        <v>6501.85</v>
      </c>
    </row>
    <row r="567" spans="1:7" x14ac:dyDescent="0.45">
      <c r="A567" s="2">
        <v>45898</v>
      </c>
      <c r="B567" s="3">
        <v>642.39</v>
      </c>
      <c r="C567" s="3">
        <v>20.84</v>
      </c>
      <c r="D567" s="3">
        <v>22.85</v>
      </c>
      <c r="E567" s="3">
        <v>27.37</v>
      </c>
      <c r="F567" s="3">
        <v>49.16</v>
      </c>
      <c r="G567" s="3">
        <v>6460.25</v>
      </c>
    </row>
    <row r="568" spans="1:7" x14ac:dyDescent="0.45">
      <c r="A568" s="2">
        <v>45902</v>
      </c>
      <c r="B568" s="3">
        <v>637.53</v>
      </c>
      <c r="C568" s="3">
        <v>20.77</v>
      </c>
      <c r="D568" s="3">
        <v>22.91</v>
      </c>
      <c r="E568" s="3">
        <v>27.02</v>
      </c>
      <c r="F568" s="3">
        <v>49.16</v>
      </c>
      <c r="G568" s="3">
        <v>6415.53</v>
      </c>
    </row>
    <row r="569" spans="1:7" x14ac:dyDescent="0.45">
      <c r="A569" s="2">
        <v>45903</v>
      </c>
      <c r="B569" s="3">
        <v>640.96</v>
      </c>
      <c r="C569" s="3">
        <v>20.77</v>
      </c>
      <c r="D569" s="3">
        <v>22.97</v>
      </c>
      <c r="E569" s="3">
        <v>26.85</v>
      </c>
      <c r="F569" s="3">
        <v>49.18</v>
      </c>
      <c r="G569" s="3">
        <v>6448.27</v>
      </c>
    </row>
    <row r="570" spans="1:7" x14ac:dyDescent="0.45">
      <c r="A570" s="2">
        <v>45904</v>
      </c>
      <c r="B570" s="3">
        <v>646.24</v>
      </c>
      <c r="C570" s="3">
        <v>20.82</v>
      </c>
      <c r="D570" s="3">
        <v>23.15</v>
      </c>
      <c r="E570" s="3">
        <v>26.94</v>
      </c>
      <c r="F570" s="3">
        <v>49.2</v>
      </c>
      <c r="G570" s="3">
        <v>6502.09</v>
      </c>
    </row>
    <row r="571" spans="1:7" x14ac:dyDescent="0.45">
      <c r="A571" s="2">
        <v>45905</v>
      </c>
      <c r="B571" s="3">
        <v>644.52</v>
      </c>
      <c r="C571" s="3">
        <v>20.88</v>
      </c>
      <c r="D571" s="3">
        <v>22.98</v>
      </c>
      <c r="E571" s="3">
        <v>26.73</v>
      </c>
      <c r="F571" s="3">
        <v>49.24</v>
      </c>
      <c r="G571" s="3">
        <v>6481.51</v>
      </c>
    </row>
    <row r="572" spans="1:7" x14ac:dyDescent="0.45">
      <c r="A572" s="2">
        <v>45908</v>
      </c>
      <c r="B572" s="3">
        <v>646.15</v>
      </c>
      <c r="C572" s="3">
        <v>20.93</v>
      </c>
      <c r="D572" s="3">
        <v>23.07</v>
      </c>
      <c r="E572" s="3">
        <v>26.63</v>
      </c>
      <c r="F572" s="3">
        <v>49.25</v>
      </c>
      <c r="G572" s="3">
        <v>6495.16</v>
      </c>
    </row>
    <row r="573" spans="1:7" x14ac:dyDescent="0.45">
      <c r="A573" s="2">
        <v>45909</v>
      </c>
      <c r="B573" s="3">
        <v>647.64</v>
      </c>
      <c r="C573" s="3">
        <v>20.69</v>
      </c>
      <c r="D573" s="3">
        <v>22.89</v>
      </c>
      <c r="E573" s="3">
        <v>26.47</v>
      </c>
      <c r="F573" s="3">
        <v>49.23</v>
      </c>
      <c r="G573" s="3">
        <v>6512.62</v>
      </c>
    </row>
    <row r="574" spans="1:7" x14ac:dyDescent="0.45">
      <c r="A574" s="2">
        <v>45910</v>
      </c>
      <c r="B574" s="3">
        <v>649.49</v>
      </c>
      <c r="C574" s="3">
        <v>20.8</v>
      </c>
      <c r="D574" s="3">
        <v>22.8</v>
      </c>
      <c r="E574" s="3">
        <v>26.27</v>
      </c>
      <c r="F574" s="3">
        <v>49.26</v>
      </c>
      <c r="G574" s="3">
        <v>6532.03</v>
      </c>
    </row>
    <row r="575" spans="1:7" x14ac:dyDescent="0.45">
      <c r="A575" s="2">
        <v>45911</v>
      </c>
      <c r="B575" s="3">
        <v>654.9</v>
      </c>
      <c r="C575" s="3">
        <v>20.84</v>
      </c>
      <c r="D575" s="3">
        <v>23.05</v>
      </c>
      <c r="E575" s="3">
        <v>26.29</v>
      </c>
      <c r="F575" s="3">
        <v>49.26</v>
      </c>
      <c r="G575" s="3">
        <v>6587.48</v>
      </c>
    </row>
    <row r="576" spans="1:7" x14ac:dyDescent="0.45">
      <c r="A576" s="2">
        <v>45912</v>
      </c>
      <c r="B576" s="3">
        <v>654.66999999999996</v>
      </c>
      <c r="C576" s="3">
        <v>20.75</v>
      </c>
      <c r="D576" s="3">
        <v>23.06</v>
      </c>
      <c r="E576" s="3">
        <v>26.11</v>
      </c>
      <c r="F576" s="3">
        <v>49.28</v>
      </c>
      <c r="G576" s="3">
        <v>6584.28</v>
      </c>
    </row>
    <row r="577" spans="1:7" x14ac:dyDescent="0.45">
      <c r="A577" s="2">
        <v>45915</v>
      </c>
      <c r="B577" s="3">
        <v>658.09</v>
      </c>
      <c r="C577" s="3">
        <v>20.27</v>
      </c>
      <c r="D577" s="3">
        <v>22.29</v>
      </c>
      <c r="E577" s="3">
        <v>25.35</v>
      </c>
      <c r="F577" s="3">
        <v>49.29</v>
      </c>
      <c r="G577" s="3">
        <v>6615.29</v>
      </c>
    </row>
    <row r="578" spans="1:7" x14ac:dyDescent="0.45">
      <c r="A578" s="2">
        <v>45916</v>
      </c>
      <c r="B578" s="3">
        <v>657.22</v>
      </c>
      <c r="C578" s="3">
        <v>20.12</v>
      </c>
      <c r="D578" s="3">
        <v>22.14</v>
      </c>
      <c r="E578" s="3">
        <v>25.15</v>
      </c>
      <c r="F578" s="3">
        <v>49.31</v>
      </c>
      <c r="G578" s="3">
        <v>6606.77</v>
      </c>
    </row>
    <row r="579" spans="1:7" x14ac:dyDescent="0.45">
      <c r="A579" s="2">
        <v>45917</v>
      </c>
      <c r="B579" s="3">
        <v>656.49</v>
      </c>
      <c r="C579" s="3">
        <v>20.059999999999999</v>
      </c>
      <c r="D579" s="3">
        <v>22.29</v>
      </c>
      <c r="E579" s="3">
        <v>25.15</v>
      </c>
      <c r="F579" s="3">
        <v>49.3</v>
      </c>
      <c r="G579" s="3">
        <v>6600.36</v>
      </c>
    </row>
    <row r="580" spans="1:7" x14ac:dyDescent="0.45">
      <c r="A580" s="2">
        <v>45918</v>
      </c>
      <c r="B580" s="3">
        <v>659.6</v>
      </c>
      <c r="C580" s="3">
        <v>20.37</v>
      </c>
      <c r="D580" s="3">
        <v>22.37</v>
      </c>
      <c r="E580" s="3">
        <v>25.64</v>
      </c>
      <c r="F580" s="3">
        <v>49.3</v>
      </c>
      <c r="G580" s="3">
        <v>6631.95</v>
      </c>
    </row>
    <row r="581" spans="1:7" x14ac:dyDescent="0.45">
      <c r="A581" s="2">
        <v>45919</v>
      </c>
      <c r="B581" s="3">
        <v>662.76</v>
      </c>
      <c r="C581" s="3">
        <v>20.51</v>
      </c>
      <c r="D581" s="3">
        <v>22.48</v>
      </c>
      <c r="E581" s="3">
        <v>25.3</v>
      </c>
      <c r="F581" s="3">
        <v>49.33</v>
      </c>
      <c r="G581" s="3">
        <v>6664.37</v>
      </c>
    </row>
    <row r="582" spans="1:7" x14ac:dyDescent="0.45">
      <c r="A582" s="2">
        <v>45922</v>
      </c>
      <c r="B582" s="3">
        <v>665.95</v>
      </c>
      <c r="C582" s="3">
        <v>19.920000000000002</v>
      </c>
      <c r="D582" s="3">
        <v>22.04</v>
      </c>
      <c r="E582" s="3">
        <v>24.91</v>
      </c>
      <c r="F582" s="3">
        <v>49.32</v>
      </c>
      <c r="G582" s="3">
        <v>6693.74</v>
      </c>
    </row>
    <row r="583" spans="1:7" x14ac:dyDescent="0.45">
      <c r="A583" s="2">
        <v>45923</v>
      </c>
      <c r="B583" s="3">
        <v>662.39</v>
      </c>
      <c r="C583" s="3">
        <v>19.739999999999998</v>
      </c>
      <c r="D583" s="3">
        <v>22.1</v>
      </c>
      <c r="E583" s="3">
        <v>24.91</v>
      </c>
      <c r="F583" s="3">
        <v>49.33</v>
      </c>
      <c r="G583" s="3">
        <v>6656.93</v>
      </c>
    </row>
    <row r="584" spans="1:7" x14ac:dyDescent="0.45">
      <c r="A584" s="2">
        <v>45924</v>
      </c>
      <c r="B584" s="3">
        <v>660.16</v>
      </c>
      <c r="C584" s="3">
        <v>19.43</v>
      </c>
      <c r="D584" s="3">
        <v>21.57</v>
      </c>
      <c r="E584" s="3">
        <v>24.72</v>
      </c>
      <c r="F584" s="3">
        <v>49.33</v>
      </c>
      <c r="G584" s="3">
        <v>6637.98</v>
      </c>
    </row>
    <row r="585" spans="1:7" x14ac:dyDescent="0.45">
      <c r="A585" s="2">
        <v>45925</v>
      </c>
      <c r="B585" s="3">
        <v>657.14</v>
      </c>
      <c r="C585" s="3">
        <v>19.55</v>
      </c>
      <c r="D585" s="3">
        <v>21.79</v>
      </c>
      <c r="E585" s="3">
        <v>24.94</v>
      </c>
      <c r="F585" s="3">
        <v>49.3</v>
      </c>
      <c r="G585" s="3">
        <v>6604.73</v>
      </c>
    </row>
    <row r="586" spans="1:7" x14ac:dyDescent="0.45">
      <c r="A586" s="2">
        <v>45926</v>
      </c>
      <c r="B586" s="3">
        <v>660.79</v>
      </c>
      <c r="C586" s="3">
        <v>19.46</v>
      </c>
      <c r="D586" s="3">
        <v>21.72</v>
      </c>
      <c r="E586" s="3">
        <v>24.65</v>
      </c>
      <c r="F586" s="3">
        <v>49.34</v>
      </c>
      <c r="G586" s="3">
        <v>6643.71</v>
      </c>
    </row>
    <row r="587" spans="1:7" x14ac:dyDescent="0.45">
      <c r="A587" s="2">
        <v>45929</v>
      </c>
      <c r="B587" s="3">
        <v>662.65</v>
      </c>
      <c r="C587" s="3">
        <v>19.440000000000001</v>
      </c>
      <c r="D587" s="3">
        <v>21.74</v>
      </c>
      <c r="E587" s="3">
        <v>24.49</v>
      </c>
      <c r="F587" s="3">
        <v>49.34</v>
      </c>
      <c r="G587" s="3">
        <v>6661.2</v>
      </c>
    </row>
    <row r="588" spans="1:7" x14ac:dyDescent="0.45">
      <c r="A588" s="2">
        <v>45930</v>
      </c>
      <c r="B588" s="3">
        <v>665.17</v>
      </c>
      <c r="C588" s="3">
        <v>19.41</v>
      </c>
      <c r="D588" s="3">
        <v>21.77</v>
      </c>
      <c r="E588" s="3">
        <v>24.51</v>
      </c>
      <c r="F588" s="3">
        <v>49.33</v>
      </c>
      <c r="G588" s="3">
        <v>6688.47</v>
      </c>
    </row>
    <row r="589" spans="1:7" x14ac:dyDescent="0.45">
      <c r="A589" s="2">
        <v>45931</v>
      </c>
      <c r="B589" s="3">
        <v>667.69</v>
      </c>
      <c r="C589" s="3">
        <v>19.149999999999999</v>
      </c>
      <c r="D589" s="3">
        <v>21.1</v>
      </c>
      <c r="E589" s="3">
        <v>24.44</v>
      </c>
      <c r="F589" s="3">
        <v>49.35</v>
      </c>
      <c r="G589" s="3">
        <v>6711.19</v>
      </c>
    </row>
    <row r="590" spans="1:7" x14ac:dyDescent="0.45">
      <c r="A590" s="2">
        <v>45932</v>
      </c>
      <c r="B590" s="3">
        <v>668.35</v>
      </c>
      <c r="C590" s="3">
        <v>19.39</v>
      </c>
      <c r="D590" s="3">
        <v>21.44</v>
      </c>
      <c r="E590" s="3">
        <v>24.99</v>
      </c>
      <c r="F590" s="3">
        <v>49.36</v>
      </c>
      <c r="G590" s="3">
        <v>6715.36</v>
      </c>
    </row>
    <row r="591" spans="1:7" x14ac:dyDescent="0.45">
      <c r="A591" s="2">
        <v>45933</v>
      </c>
      <c r="B591" s="3">
        <v>668.27</v>
      </c>
      <c r="C591" s="3">
        <v>19.16</v>
      </c>
      <c r="D591" s="3">
        <v>21.25</v>
      </c>
      <c r="E591" s="3">
        <v>24.82</v>
      </c>
      <c r="F591" s="3">
        <v>49.39</v>
      </c>
      <c r="G591" s="3">
        <v>6715.78</v>
      </c>
    </row>
    <row r="592" spans="1:7" x14ac:dyDescent="0.45">
      <c r="A592" s="2">
        <v>45936</v>
      </c>
      <c r="B592" s="3">
        <v>670.73</v>
      </c>
      <c r="C592" s="3">
        <v>19.14</v>
      </c>
      <c r="D592" s="3">
        <v>21.19</v>
      </c>
      <c r="E592" s="3">
        <v>24.48</v>
      </c>
      <c r="F592" s="3">
        <v>49.39</v>
      </c>
      <c r="G592" s="3">
        <v>6740.29</v>
      </c>
    </row>
    <row r="593" spans="1:7" x14ac:dyDescent="0.45">
      <c r="A593" s="2">
        <v>45937</v>
      </c>
      <c r="B593" s="3">
        <v>668.27</v>
      </c>
      <c r="C593" s="3">
        <v>18.89</v>
      </c>
      <c r="D593" s="3">
        <v>20.8</v>
      </c>
      <c r="E593" s="3">
        <v>24.21</v>
      </c>
      <c r="F593" s="3">
        <v>49.4</v>
      </c>
      <c r="G593" s="3">
        <v>6714.58</v>
      </c>
    </row>
    <row r="594" spans="1:7" x14ac:dyDescent="0.45">
      <c r="A594" s="2">
        <v>45938</v>
      </c>
      <c r="B594" s="3">
        <v>672.25</v>
      </c>
      <c r="C594" s="3">
        <v>18.71</v>
      </c>
      <c r="D594" s="3">
        <v>20.55</v>
      </c>
      <c r="E594" s="3">
        <v>24.38</v>
      </c>
      <c r="F594" s="3">
        <v>49.41</v>
      </c>
      <c r="G594" s="3">
        <v>6753.71</v>
      </c>
    </row>
    <row r="595" spans="1:7" x14ac:dyDescent="0.45">
      <c r="A595" s="2">
        <v>45939</v>
      </c>
      <c r="B595" s="3">
        <v>670.36</v>
      </c>
      <c r="C595" s="3">
        <v>18.170000000000002</v>
      </c>
      <c r="D595" s="3">
        <v>20.05</v>
      </c>
      <c r="E595" s="3">
        <v>23.77</v>
      </c>
      <c r="F595" s="3">
        <v>49.39</v>
      </c>
      <c r="G595" s="3">
        <v>6735.12</v>
      </c>
    </row>
    <row r="596" spans="1:7" x14ac:dyDescent="0.45">
      <c r="A596" s="2">
        <v>45940</v>
      </c>
      <c r="B596" s="3">
        <v>652.15</v>
      </c>
      <c r="C596" s="3">
        <v>17.98</v>
      </c>
      <c r="D596" s="3">
        <v>19.87</v>
      </c>
      <c r="E596" s="3">
        <v>23.52</v>
      </c>
      <c r="F596" s="3">
        <v>49.42</v>
      </c>
      <c r="G596" s="3">
        <v>6552.52</v>
      </c>
    </row>
    <row r="597" spans="1:7" x14ac:dyDescent="0.45">
      <c r="A597" s="2">
        <v>45943</v>
      </c>
      <c r="B597" s="3">
        <v>662.12</v>
      </c>
      <c r="C597" s="3">
        <v>18.54</v>
      </c>
      <c r="D597" s="3">
        <v>20.66</v>
      </c>
      <c r="E597" s="3">
        <v>24.43</v>
      </c>
      <c r="F597" s="3">
        <v>49.43</v>
      </c>
      <c r="G597" s="3">
        <v>6654.71</v>
      </c>
    </row>
    <row r="598" spans="1:7" x14ac:dyDescent="0.45">
      <c r="A598" s="2">
        <v>45944</v>
      </c>
      <c r="B598" s="3">
        <v>661.37</v>
      </c>
      <c r="C598" s="3">
        <v>18.96</v>
      </c>
      <c r="D598" s="3">
        <v>20.85</v>
      </c>
      <c r="E598" s="3">
        <v>24.83</v>
      </c>
      <c r="F598" s="3">
        <v>49.45</v>
      </c>
      <c r="G598" s="3">
        <v>6644.3</v>
      </c>
    </row>
    <row r="599" spans="1:7" x14ac:dyDescent="0.45">
      <c r="A599" s="2">
        <v>45945</v>
      </c>
      <c r="B599" s="3">
        <v>664.16</v>
      </c>
      <c r="C599" s="3">
        <v>19.07</v>
      </c>
      <c r="D599" s="3">
        <v>20.84</v>
      </c>
      <c r="E599" s="3">
        <v>24.87</v>
      </c>
      <c r="F599" s="3">
        <v>49.47</v>
      </c>
      <c r="G599" s="3">
        <v>6671.07</v>
      </c>
    </row>
    <row r="600" spans="1:7" x14ac:dyDescent="0.45">
      <c r="A600" s="2">
        <v>45946</v>
      </c>
      <c r="B600" s="3">
        <v>659.88</v>
      </c>
      <c r="C600" s="3">
        <v>18.57</v>
      </c>
      <c r="D600" s="3">
        <v>20.27</v>
      </c>
      <c r="E600" s="3">
        <v>24.41</v>
      </c>
      <c r="F600" s="3">
        <v>49.49</v>
      </c>
      <c r="G600" s="3">
        <v>6629.08</v>
      </c>
    </row>
    <row r="601" spans="1:7" x14ac:dyDescent="0.45">
      <c r="A601" s="2">
        <v>45947</v>
      </c>
      <c r="B601" s="3">
        <v>663.57</v>
      </c>
      <c r="C601" s="3">
        <v>18.559999999999999</v>
      </c>
      <c r="D601" s="3">
        <v>20.48</v>
      </c>
      <c r="E601" s="3">
        <v>24.4</v>
      </c>
      <c r="F601" s="3">
        <v>49.5</v>
      </c>
      <c r="G601" s="3">
        <v>6664</v>
      </c>
    </row>
    <row r="602" spans="1:7" x14ac:dyDescent="0.45">
      <c r="A602" s="2">
        <v>45950</v>
      </c>
      <c r="B602" s="3">
        <v>670.43</v>
      </c>
      <c r="C602" s="3">
        <v>18.64</v>
      </c>
      <c r="D602" s="3">
        <v>20.65</v>
      </c>
      <c r="E602" s="3">
        <v>24.39</v>
      </c>
      <c r="F602" s="3">
        <v>49.51</v>
      </c>
      <c r="G602" s="3">
        <v>6735.14</v>
      </c>
    </row>
    <row r="603" spans="1:7" x14ac:dyDescent="0.45">
      <c r="A603" s="2">
        <v>45951</v>
      </c>
      <c r="B603" s="3">
        <v>670.27</v>
      </c>
      <c r="C603" s="3">
        <v>18.940000000000001</v>
      </c>
      <c r="D603" s="3">
        <v>20.88</v>
      </c>
      <c r="E603" s="3">
        <v>24.86</v>
      </c>
      <c r="F603" s="3">
        <v>49.51</v>
      </c>
      <c r="G603" s="3">
        <v>6735.34</v>
      </c>
    </row>
    <row r="604" spans="1:7" x14ac:dyDescent="0.45">
      <c r="A604" s="2">
        <v>45952</v>
      </c>
      <c r="B604" s="3">
        <v>667.02</v>
      </c>
      <c r="C604" s="3">
        <v>18.98</v>
      </c>
      <c r="D604" s="3">
        <v>20.83</v>
      </c>
      <c r="E604" s="3">
        <v>24.82</v>
      </c>
      <c r="F604" s="3">
        <v>49.52</v>
      </c>
      <c r="G604" s="3">
        <v>6699.41</v>
      </c>
    </row>
    <row r="605" spans="1:7" x14ac:dyDescent="0.45">
      <c r="A605" s="2">
        <v>45953</v>
      </c>
      <c r="B605" s="3">
        <v>670.81</v>
      </c>
      <c r="C605" s="3">
        <v>18.96</v>
      </c>
      <c r="D605" s="3">
        <v>21.07</v>
      </c>
      <c r="E605" s="3">
        <v>24.99</v>
      </c>
      <c r="F605" s="3">
        <v>49.51</v>
      </c>
      <c r="G605" s="3">
        <v>6738.43</v>
      </c>
    </row>
    <row r="606" spans="1:7" x14ac:dyDescent="0.45">
      <c r="A606" s="2">
        <v>45954</v>
      </c>
      <c r="B606" s="3">
        <v>676.32</v>
      </c>
      <c r="C606" s="3">
        <v>19.100000000000001</v>
      </c>
      <c r="D606" s="3">
        <v>21.41</v>
      </c>
      <c r="E606" s="3">
        <v>25.19</v>
      </c>
      <c r="F606" s="3">
        <v>49.52</v>
      </c>
      <c r="G606" s="3">
        <v>6791.68</v>
      </c>
    </row>
    <row r="607" spans="1:7" x14ac:dyDescent="0.45">
      <c r="A607" s="2">
        <v>45957</v>
      </c>
      <c r="B607" s="3">
        <v>684.35</v>
      </c>
      <c r="C607" s="3">
        <v>19.329999999999998</v>
      </c>
      <c r="D607" s="3">
        <v>21.8</v>
      </c>
      <c r="E607" s="3">
        <v>25.39</v>
      </c>
      <c r="F607" s="3">
        <v>49.53</v>
      </c>
      <c r="G607" s="3">
        <v>6875.15</v>
      </c>
    </row>
    <row r="608" spans="1:7" x14ac:dyDescent="0.45">
      <c r="A608" s="2">
        <v>45958</v>
      </c>
      <c r="B608" s="3">
        <v>686.08</v>
      </c>
      <c r="C608" s="3">
        <v>19.559999999999999</v>
      </c>
      <c r="D608" s="3">
        <v>21.77</v>
      </c>
      <c r="E608" s="3">
        <v>25.53</v>
      </c>
      <c r="F608" s="3">
        <v>49.55</v>
      </c>
      <c r="G608" s="3">
        <v>6890.88</v>
      </c>
    </row>
    <row r="609" spans="1:7" x14ac:dyDescent="0.45">
      <c r="A609" s="2">
        <v>45959</v>
      </c>
      <c r="B609" s="3">
        <v>686.45</v>
      </c>
      <c r="C609" s="3">
        <v>19.600000000000001</v>
      </c>
      <c r="D609" s="3">
        <v>21.7</v>
      </c>
      <c r="E609" s="3">
        <v>25.41</v>
      </c>
      <c r="F609" s="3">
        <v>49.51</v>
      </c>
      <c r="G609" s="3">
        <v>6890.6</v>
      </c>
    </row>
    <row r="610" spans="1:7" x14ac:dyDescent="0.45">
      <c r="A610" s="2">
        <v>45960</v>
      </c>
      <c r="B610" s="3">
        <v>679.01</v>
      </c>
      <c r="C610" s="3">
        <v>19.16</v>
      </c>
      <c r="D610" s="3">
        <v>21.5</v>
      </c>
      <c r="E610" s="3">
        <v>24.81</v>
      </c>
      <c r="F610" s="3">
        <v>49.52</v>
      </c>
      <c r="G610" s="3">
        <v>6822.35</v>
      </c>
    </row>
    <row r="611" spans="1:7" x14ac:dyDescent="0.45">
      <c r="A611" s="2">
        <v>45961</v>
      </c>
      <c r="B611" s="3">
        <v>681</v>
      </c>
      <c r="C611" s="3">
        <v>19.350000000000001</v>
      </c>
      <c r="D611" s="3">
        <v>21.55</v>
      </c>
      <c r="E611" s="3">
        <v>24.86</v>
      </c>
      <c r="F611" s="3">
        <v>49.55</v>
      </c>
      <c r="G611" s="3">
        <v>6840.19</v>
      </c>
    </row>
    <row r="612" spans="1:7" x14ac:dyDescent="0.45">
      <c r="A612" s="2">
        <v>45964</v>
      </c>
      <c r="B612" s="3">
        <v>682.45</v>
      </c>
      <c r="C612" s="3">
        <v>19.41</v>
      </c>
      <c r="D612" s="3">
        <v>21.56</v>
      </c>
      <c r="E612" s="3">
        <v>24.84</v>
      </c>
      <c r="F612" s="3">
        <v>49.53</v>
      </c>
      <c r="G612" s="3">
        <v>6851.98</v>
      </c>
    </row>
    <row r="613" spans="1:7" x14ac:dyDescent="0.45">
      <c r="A613" s="2">
        <v>45965</v>
      </c>
      <c r="B613" s="3">
        <v>674.62</v>
      </c>
      <c r="C613" s="3">
        <v>19.28</v>
      </c>
      <c r="D613" s="3">
        <v>21.26</v>
      </c>
      <c r="E613" s="3">
        <v>24.65</v>
      </c>
      <c r="F613" s="3">
        <v>49.55</v>
      </c>
      <c r="G613" s="3">
        <v>6771.54</v>
      </c>
    </row>
    <row r="614" spans="1:7" x14ac:dyDescent="0.45">
      <c r="A614" s="2">
        <v>45966</v>
      </c>
      <c r="B614" s="3">
        <v>676.71</v>
      </c>
      <c r="C614" s="3">
        <v>19.38</v>
      </c>
      <c r="D614" s="3">
        <v>20.81</v>
      </c>
      <c r="E614" s="3">
        <v>24.57</v>
      </c>
      <c r="F614" s="3">
        <v>49.55</v>
      </c>
      <c r="G614" s="3">
        <v>6796.3</v>
      </c>
    </row>
    <row r="615" spans="1:7" x14ac:dyDescent="0.45">
      <c r="A615" s="2">
        <v>45967</v>
      </c>
      <c r="B615" s="3">
        <v>669.36</v>
      </c>
      <c r="C615" s="3">
        <v>19.02</v>
      </c>
      <c r="D615" s="3">
        <v>20.16</v>
      </c>
      <c r="E615" s="3">
        <v>24.4</v>
      </c>
      <c r="F615" s="3">
        <v>49.58</v>
      </c>
      <c r="G615" s="3">
        <v>6720.31</v>
      </c>
    </row>
    <row r="616" spans="1:7" x14ac:dyDescent="0.45">
      <c r="A616" s="2">
        <v>45968</v>
      </c>
      <c r="B616" s="3">
        <v>670.18</v>
      </c>
      <c r="C616" s="3">
        <v>19.21</v>
      </c>
      <c r="D616" s="3">
        <v>20.18</v>
      </c>
      <c r="E616" s="3">
        <v>24.9</v>
      </c>
      <c r="F616" s="3">
        <v>49.58</v>
      </c>
      <c r="G616" s="3">
        <v>6728.81</v>
      </c>
    </row>
    <row r="617" spans="1:7" x14ac:dyDescent="0.45">
      <c r="A617" s="2">
        <v>45971</v>
      </c>
      <c r="B617" s="3">
        <v>680.59</v>
      </c>
      <c r="C617" s="3">
        <v>19.3</v>
      </c>
      <c r="D617" s="3">
        <v>19.989999999999998</v>
      </c>
      <c r="E617" s="3">
        <v>25.01</v>
      </c>
      <c r="F617" s="3">
        <v>49.58</v>
      </c>
      <c r="G617" s="3">
        <v>6832.42</v>
      </c>
    </row>
    <row r="618" spans="1:7" x14ac:dyDescent="0.45">
      <c r="A618" s="2">
        <v>45972</v>
      </c>
      <c r="B618" s="3">
        <v>681.93</v>
      </c>
      <c r="C618" s="3">
        <v>19.32</v>
      </c>
      <c r="D618" s="3">
        <v>20.309999999999999</v>
      </c>
      <c r="E618" s="3">
        <v>25.05</v>
      </c>
      <c r="F618" s="3">
        <v>49.59</v>
      </c>
      <c r="G618" s="3">
        <v>6846.62</v>
      </c>
    </row>
    <row r="619" spans="1:7" x14ac:dyDescent="0.45">
      <c r="A619" s="2">
        <v>45973</v>
      </c>
      <c r="B619" s="3">
        <v>682.4</v>
      </c>
      <c r="C619" s="3">
        <v>19.38</v>
      </c>
      <c r="D619" s="3">
        <v>20.49</v>
      </c>
      <c r="E619" s="3">
        <v>25.17</v>
      </c>
      <c r="F619" s="3">
        <v>49.59</v>
      </c>
      <c r="G619" s="3">
        <v>6850.93</v>
      </c>
    </row>
    <row r="620" spans="1:7" x14ac:dyDescent="0.45">
      <c r="A620" s="2">
        <v>45974</v>
      </c>
      <c r="B620" s="3">
        <v>671.28</v>
      </c>
      <c r="C620" s="3">
        <v>19.3</v>
      </c>
      <c r="D620" s="3">
        <v>20.329999999999998</v>
      </c>
      <c r="E620" s="3">
        <v>25.02</v>
      </c>
      <c r="F620" s="3">
        <v>49.58</v>
      </c>
      <c r="G620" s="3">
        <v>6737.48</v>
      </c>
    </row>
    <row r="621" spans="1:7" x14ac:dyDescent="0.45">
      <c r="A621" s="2">
        <v>45975</v>
      </c>
      <c r="B621" s="3">
        <v>671.14</v>
      </c>
      <c r="C621" s="3">
        <v>19.22</v>
      </c>
      <c r="D621" s="3">
        <v>20.22</v>
      </c>
      <c r="E621" s="3">
        <v>25.06</v>
      </c>
      <c r="F621" s="3">
        <v>49.59</v>
      </c>
      <c r="G621" s="3">
        <v>6734.1</v>
      </c>
    </row>
    <row r="622" spans="1:7" x14ac:dyDescent="0.45">
      <c r="A622" s="2">
        <v>45978</v>
      </c>
      <c r="B622" s="3">
        <v>664.86</v>
      </c>
      <c r="C622" s="3">
        <v>18.72</v>
      </c>
      <c r="D622" s="3">
        <v>19.760000000000002</v>
      </c>
      <c r="E622" s="3">
        <v>24.64</v>
      </c>
      <c r="F622" s="3">
        <v>49.62</v>
      </c>
      <c r="G622" s="3">
        <v>6672.42</v>
      </c>
    </row>
    <row r="623" spans="1:7" x14ac:dyDescent="0.45">
      <c r="A623" s="2">
        <v>45979</v>
      </c>
      <c r="B623" s="3">
        <v>659.36</v>
      </c>
      <c r="C623" s="3">
        <v>18.57</v>
      </c>
      <c r="D623" s="3">
        <v>19.89</v>
      </c>
      <c r="E623" s="3">
        <v>24.71</v>
      </c>
      <c r="F623" s="3">
        <v>49.63</v>
      </c>
      <c r="G623" s="3">
        <v>6617.33</v>
      </c>
    </row>
    <row r="624" spans="1:7" x14ac:dyDescent="0.45">
      <c r="A624" s="2">
        <v>45980</v>
      </c>
      <c r="B624" s="3">
        <v>661.84</v>
      </c>
      <c r="C624" s="3">
        <v>18.57</v>
      </c>
      <c r="D624" s="3">
        <v>19.79</v>
      </c>
      <c r="E624" s="3">
        <v>24.73</v>
      </c>
      <c r="F624" s="3">
        <v>49.64</v>
      </c>
      <c r="G624" s="3">
        <v>6642.15</v>
      </c>
    </row>
    <row r="625" spans="1:7" x14ac:dyDescent="0.45">
      <c r="A625" s="2">
        <v>45981</v>
      </c>
      <c r="B625" s="3">
        <v>651.72</v>
      </c>
      <c r="C625" s="3">
        <v>18.57</v>
      </c>
      <c r="D625" s="3">
        <v>19.73</v>
      </c>
      <c r="E625" s="3">
        <v>24.58</v>
      </c>
      <c r="F625" s="3">
        <v>49.64</v>
      </c>
      <c r="G625" s="3">
        <v>6538.77</v>
      </c>
    </row>
    <row r="626" spans="1:7" x14ac:dyDescent="0.45">
      <c r="A626" s="2">
        <v>45982</v>
      </c>
      <c r="B626" s="3">
        <v>658.19</v>
      </c>
      <c r="C626" s="3">
        <v>18.87</v>
      </c>
      <c r="D626" s="3">
        <v>20.22</v>
      </c>
      <c r="E626" s="3">
        <v>24.96</v>
      </c>
      <c r="F626" s="3">
        <v>49.68</v>
      </c>
      <c r="G626" s="3">
        <v>6602.98</v>
      </c>
    </row>
    <row r="627" spans="1:7" x14ac:dyDescent="0.45">
      <c r="A627" s="2">
        <v>45985</v>
      </c>
      <c r="B627" s="3">
        <v>667.91</v>
      </c>
      <c r="C627" s="3">
        <v>19.16</v>
      </c>
      <c r="D627" s="3">
        <v>20.21</v>
      </c>
      <c r="E627" s="3">
        <v>25.26</v>
      </c>
      <c r="F627" s="3">
        <v>49.68</v>
      </c>
      <c r="G627" s="3">
        <v>6705.11</v>
      </c>
    </row>
    <row r="628" spans="1:7" x14ac:dyDescent="0.45">
      <c r="A628" s="2">
        <v>45986</v>
      </c>
      <c r="B628" s="3">
        <v>674.19</v>
      </c>
      <c r="C628" s="3">
        <v>19.34</v>
      </c>
      <c r="D628" s="3">
        <v>20.54</v>
      </c>
      <c r="E628" s="3">
        <v>25.61</v>
      </c>
      <c r="F628" s="3">
        <v>49.7</v>
      </c>
      <c r="G628" s="3">
        <v>6765.89</v>
      </c>
    </row>
    <row r="629" spans="1:7" x14ac:dyDescent="0.45">
      <c r="A629" s="2">
        <v>45987</v>
      </c>
      <c r="B629" s="3">
        <v>678.85</v>
      </c>
      <c r="C629" s="3">
        <v>19.510000000000002</v>
      </c>
      <c r="D629" s="3">
        <v>20.65</v>
      </c>
      <c r="E629" s="3">
        <v>25.84</v>
      </c>
      <c r="F629" s="3">
        <v>49.7</v>
      </c>
      <c r="G629" s="3">
        <v>6812.6</v>
      </c>
    </row>
    <row r="630" spans="1:7" x14ac:dyDescent="0.45">
      <c r="A630" s="2">
        <v>45989</v>
      </c>
      <c r="B630" s="3">
        <v>682.64</v>
      </c>
      <c r="C630" s="3">
        <v>19.61</v>
      </c>
      <c r="D630" s="3">
        <v>20.82</v>
      </c>
      <c r="E630" s="3">
        <v>25.94</v>
      </c>
      <c r="F630" s="3">
        <v>49.71</v>
      </c>
      <c r="G630" s="3">
        <v>6849.08</v>
      </c>
    </row>
    <row r="631" spans="1:7" x14ac:dyDescent="0.45">
      <c r="A631" s="2">
        <v>45992</v>
      </c>
      <c r="B631" s="3">
        <v>679.44</v>
      </c>
      <c r="C631" s="3">
        <v>19.57</v>
      </c>
      <c r="D631" s="3">
        <v>20.72</v>
      </c>
      <c r="E631" s="3">
        <v>25.96</v>
      </c>
      <c r="F631" s="3">
        <v>49.72</v>
      </c>
      <c r="G631" s="3">
        <v>6812.62</v>
      </c>
    </row>
    <row r="632" spans="1:7" x14ac:dyDescent="0.45">
      <c r="A632" s="2">
        <v>45993</v>
      </c>
      <c r="B632" s="3">
        <v>680.6</v>
      </c>
      <c r="C632" s="3">
        <v>19.63</v>
      </c>
      <c r="D632" s="3">
        <v>20.83</v>
      </c>
      <c r="E632" s="3">
        <v>25.8</v>
      </c>
      <c r="F632" s="3">
        <v>49.73</v>
      </c>
      <c r="G632" s="3">
        <v>6829.38</v>
      </c>
    </row>
    <row r="633" spans="1:7" x14ac:dyDescent="0.45">
      <c r="A633" s="2">
        <v>45994</v>
      </c>
      <c r="B633" s="3">
        <v>683.02</v>
      </c>
      <c r="C633" s="3">
        <v>19.8</v>
      </c>
      <c r="D633" s="3">
        <v>21.19</v>
      </c>
      <c r="E633" s="3">
        <v>26.41</v>
      </c>
      <c r="F633" s="3">
        <v>49.74</v>
      </c>
      <c r="G633" s="3">
        <v>6849.71</v>
      </c>
    </row>
    <row r="634" spans="1:7" x14ac:dyDescent="0.45">
      <c r="A634" s="2">
        <v>45995</v>
      </c>
      <c r="B634" s="3">
        <v>683.61</v>
      </c>
      <c r="C634" s="3">
        <v>19.899999999999999</v>
      </c>
      <c r="D634" s="3">
        <v>21.25</v>
      </c>
      <c r="E634" s="3">
        <v>26.57</v>
      </c>
      <c r="F634" s="3">
        <v>49.75</v>
      </c>
      <c r="G634" s="3">
        <v>6857.13</v>
      </c>
    </row>
    <row r="635" spans="1:7" x14ac:dyDescent="0.45">
      <c r="A635" s="2">
        <v>45996</v>
      </c>
      <c r="B635" s="3">
        <v>684.86</v>
      </c>
      <c r="C635" s="3">
        <v>19.989999999999998</v>
      </c>
      <c r="D635" s="3">
        <v>21.26</v>
      </c>
      <c r="E635" s="3">
        <v>26.61</v>
      </c>
      <c r="F635" s="3">
        <v>49.75</v>
      </c>
      <c r="G635" s="3">
        <v>6870.39</v>
      </c>
    </row>
    <row r="636" spans="1:7" x14ac:dyDescent="0.45">
      <c r="A636" s="2">
        <v>45999</v>
      </c>
      <c r="B636" s="3">
        <v>682.82</v>
      </c>
      <c r="C636" s="3">
        <v>19.989999999999998</v>
      </c>
      <c r="D636" s="3">
        <v>21.3</v>
      </c>
      <c r="E636" s="3">
        <v>26.58</v>
      </c>
      <c r="F636" s="3">
        <v>49.74</v>
      </c>
      <c r="G636" s="3">
        <v>6846.5</v>
      </c>
    </row>
    <row r="637" spans="1:7" x14ac:dyDescent="0.45">
      <c r="A637" s="2">
        <v>46000</v>
      </c>
      <c r="B637" s="3">
        <v>682.27</v>
      </c>
      <c r="C637" s="3">
        <v>19.97</v>
      </c>
      <c r="D637" s="3">
        <v>21.51</v>
      </c>
      <c r="E637" s="3">
        <v>26.69</v>
      </c>
      <c r="F637" s="3">
        <v>49.74</v>
      </c>
      <c r="G637" s="3">
        <v>6840.5</v>
      </c>
    </row>
    <row r="638" spans="1:7" x14ac:dyDescent="0.45">
      <c r="A638" s="2">
        <v>46001</v>
      </c>
      <c r="B638" s="3">
        <v>686.66</v>
      </c>
      <c r="C638" s="3">
        <v>20</v>
      </c>
      <c r="D638" s="3">
        <v>21.72</v>
      </c>
      <c r="E638" s="3">
        <v>26.64</v>
      </c>
      <c r="F638" s="3">
        <v>49.76</v>
      </c>
      <c r="G638" s="3">
        <v>6886.69</v>
      </c>
    </row>
    <row r="639" spans="1:7" x14ac:dyDescent="0.45">
      <c r="A639" s="2">
        <v>46002</v>
      </c>
      <c r="B639" s="3">
        <v>688.32</v>
      </c>
      <c r="C639" s="3">
        <v>19.850000000000001</v>
      </c>
      <c r="D639" s="3">
        <v>21.55</v>
      </c>
      <c r="E639" s="3">
        <v>26.4</v>
      </c>
      <c r="F639" s="3">
        <v>49.78</v>
      </c>
      <c r="G639" s="3">
        <v>6901.01</v>
      </c>
    </row>
    <row r="640" spans="1:7" x14ac:dyDescent="0.45">
      <c r="A640" s="2">
        <v>46003</v>
      </c>
      <c r="B640" s="3">
        <v>680.94</v>
      </c>
      <c r="C640" s="3">
        <v>19.829999999999998</v>
      </c>
      <c r="D640" s="3">
        <v>21.56</v>
      </c>
      <c r="E640" s="3">
        <v>26.48</v>
      </c>
      <c r="F640" s="3">
        <v>49.78</v>
      </c>
      <c r="G640" s="3">
        <v>6827.42</v>
      </c>
    </row>
    <row r="641" spans="1:7" x14ac:dyDescent="0.45">
      <c r="A641" s="2">
        <v>46006</v>
      </c>
      <c r="B641" s="3">
        <v>679.93</v>
      </c>
      <c r="C641" s="3">
        <v>19.77</v>
      </c>
      <c r="D641" s="3">
        <v>21.29</v>
      </c>
      <c r="E641" s="3">
        <v>26.43</v>
      </c>
      <c r="F641" s="3">
        <v>49.81</v>
      </c>
      <c r="G641" s="3">
        <v>6816.52</v>
      </c>
    </row>
    <row r="642" spans="1:7" x14ac:dyDescent="0.45">
      <c r="A642" s="2">
        <v>46007</v>
      </c>
      <c r="B642" s="3">
        <v>678.04</v>
      </c>
      <c r="C642" s="3">
        <v>19.61</v>
      </c>
      <c r="D642" s="3">
        <v>21.29</v>
      </c>
      <c r="E642" s="3">
        <v>26.17</v>
      </c>
      <c r="F642" s="3">
        <v>49.81</v>
      </c>
      <c r="G642" s="3">
        <v>6800.25</v>
      </c>
    </row>
    <row r="643" spans="1:7" x14ac:dyDescent="0.45">
      <c r="A643" s="2">
        <v>46008</v>
      </c>
      <c r="B643" s="3">
        <v>670.63</v>
      </c>
      <c r="C643" s="3">
        <v>19.649999999999999</v>
      </c>
      <c r="D643" s="3">
        <v>21.19</v>
      </c>
      <c r="E643" s="3">
        <v>26.08</v>
      </c>
      <c r="F643" s="3">
        <v>49.81</v>
      </c>
      <c r="G643" s="3">
        <v>6721.42</v>
      </c>
    </row>
    <row r="644" spans="1:7" x14ac:dyDescent="0.45">
      <c r="A644" s="2">
        <v>46009</v>
      </c>
      <c r="B644" s="3">
        <v>675.7</v>
      </c>
      <c r="C644" s="3">
        <v>19.61</v>
      </c>
      <c r="D644" s="3">
        <v>21.19</v>
      </c>
      <c r="E644" s="3">
        <v>25.86</v>
      </c>
      <c r="F644" s="3">
        <v>49.83</v>
      </c>
      <c r="G644" s="3">
        <v>6774.75</v>
      </c>
    </row>
    <row r="645" spans="1:7" x14ac:dyDescent="0.45">
      <c r="A645" s="2">
        <v>46010</v>
      </c>
      <c r="B645" s="3">
        <v>681.68</v>
      </c>
      <c r="C645" s="3">
        <v>19.41</v>
      </c>
      <c r="D645" s="3">
        <v>21.02</v>
      </c>
      <c r="E645" s="3">
        <v>25.73</v>
      </c>
      <c r="F645" s="3">
        <v>49.84</v>
      </c>
      <c r="G645" s="3">
        <v>6834.49</v>
      </c>
    </row>
    <row r="646" spans="1:7" x14ac:dyDescent="0.45">
      <c r="A646" s="2">
        <v>46013</v>
      </c>
      <c r="B646" s="3">
        <v>686.01</v>
      </c>
      <c r="C646" s="3">
        <v>19.38</v>
      </c>
      <c r="D646" s="3">
        <v>20.88</v>
      </c>
      <c r="E646" s="3">
        <v>25.49</v>
      </c>
      <c r="F646" s="3">
        <v>49.84</v>
      </c>
      <c r="G646" s="3">
        <v>6878.48</v>
      </c>
    </row>
    <row r="647" spans="1:7" x14ac:dyDescent="0.45">
      <c r="A647" s="2">
        <v>46014</v>
      </c>
      <c r="B647" s="3">
        <v>689.14</v>
      </c>
      <c r="C647" s="3">
        <v>19.39</v>
      </c>
      <c r="D647" s="3">
        <v>20.71</v>
      </c>
      <c r="E647" s="3">
        <v>25.31</v>
      </c>
      <c r="F647" s="3">
        <v>49.84</v>
      </c>
      <c r="G647" s="3">
        <v>6909.78</v>
      </c>
    </row>
    <row r="648" spans="1:7" x14ac:dyDescent="0.45">
      <c r="A648" s="2">
        <v>46015</v>
      </c>
      <c r="B648" s="3">
        <v>691.55</v>
      </c>
      <c r="C648" s="3">
        <v>19.47</v>
      </c>
      <c r="D648" s="3">
        <v>20.91</v>
      </c>
      <c r="E648" s="3">
        <v>25.46</v>
      </c>
      <c r="F648" s="3">
        <v>49.87</v>
      </c>
      <c r="G648" s="3">
        <v>6932.04</v>
      </c>
    </row>
    <row r="649" spans="1:7" x14ac:dyDescent="0.45">
      <c r="A649" s="2">
        <v>46017</v>
      </c>
      <c r="B649" s="3">
        <v>691.43</v>
      </c>
      <c r="C649" s="3">
        <v>19.66</v>
      </c>
      <c r="D649" s="3">
        <v>21.14</v>
      </c>
      <c r="E649" s="3">
        <v>25.61</v>
      </c>
      <c r="F649" s="3">
        <v>49.89</v>
      </c>
      <c r="G649" s="3">
        <v>6929.95</v>
      </c>
    </row>
    <row r="650" spans="1:7" x14ac:dyDescent="0.45">
      <c r="A650" s="2">
        <v>46020</v>
      </c>
      <c r="B650" s="3">
        <v>689.08</v>
      </c>
      <c r="C650" s="3">
        <v>19.63</v>
      </c>
      <c r="D650" s="3">
        <v>21.09</v>
      </c>
      <c r="E650" s="3">
        <v>25.49</v>
      </c>
      <c r="F650" s="3">
        <v>49.9</v>
      </c>
      <c r="G650" s="3">
        <v>6905.73</v>
      </c>
    </row>
    <row r="651" spans="1:7" x14ac:dyDescent="0.45">
      <c r="A651" s="2">
        <v>46021</v>
      </c>
      <c r="B651" s="3">
        <v>688.09</v>
      </c>
      <c r="C651" s="3">
        <v>19.75</v>
      </c>
      <c r="D651" s="3">
        <v>21.26</v>
      </c>
      <c r="E651" s="3">
        <v>25.57</v>
      </c>
      <c r="F651" s="3">
        <v>49.92</v>
      </c>
      <c r="G651" s="3">
        <v>6896.25</v>
      </c>
    </row>
    <row r="652" spans="1:7" x14ac:dyDescent="0.45">
      <c r="A652" s="2">
        <v>46022</v>
      </c>
      <c r="B652" s="3">
        <v>683.12</v>
      </c>
      <c r="C652" s="3">
        <v>19.690000000000001</v>
      </c>
      <c r="D652" s="3">
        <v>21.15</v>
      </c>
      <c r="E652" s="3">
        <v>25.48</v>
      </c>
      <c r="F652" s="3">
        <v>49.91</v>
      </c>
      <c r="G652" s="3">
        <v>6845.49</v>
      </c>
    </row>
    <row r="653" spans="1:7" x14ac:dyDescent="0.45">
      <c r="A653" s="2">
        <v>46024</v>
      </c>
      <c r="B653" s="3">
        <v>684.37</v>
      </c>
      <c r="C653" s="3">
        <v>19.899999999999999</v>
      </c>
      <c r="D653" s="3">
        <v>21.09</v>
      </c>
      <c r="E653" s="3">
        <v>25.72</v>
      </c>
      <c r="F653" s="3">
        <v>49.94</v>
      </c>
      <c r="G653" s="3">
        <v>6858.48</v>
      </c>
    </row>
    <row r="654" spans="1:7" x14ac:dyDescent="0.45">
      <c r="A654" s="2">
        <v>46027</v>
      </c>
      <c r="B654" s="3">
        <v>688.96</v>
      </c>
      <c r="C654" s="3">
        <v>20.18</v>
      </c>
      <c r="D654" s="3">
        <v>21.5</v>
      </c>
      <c r="E654" s="3">
        <v>26.11</v>
      </c>
      <c r="F654" s="3">
        <v>49.93</v>
      </c>
      <c r="G654" s="3">
        <v>6902.04</v>
      </c>
    </row>
    <row r="655" spans="1:7" x14ac:dyDescent="0.45">
      <c r="A655" s="2">
        <v>46028</v>
      </c>
      <c r="B655" s="3">
        <v>693.05</v>
      </c>
      <c r="C655" s="3">
        <v>20.04</v>
      </c>
      <c r="D655" s="3">
        <v>21.33</v>
      </c>
      <c r="E655" s="3">
        <v>25.71</v>
      </c>
      <c r="F655" s="3">
        <v>49.94</v>
      </c>
      <c r="G655" s="3">
        <v>6944.83</v>
      </c>
    </row>
    <row r="656" spans="1:7" x14ac:dyDescent="0.45">
      <c r="A656" s="2">
        <v>46029</v>
      </c>
      <c r="B656" s="3">
        <v>690.79</v>
      </c>
      <c r="C656" s="3">
        <v>19.64</v>
      </c>
      <c r="D656" s="3">
        <v>20.64</v>
      </c>
      <c r="E656" s="3">
        <v>24.73</v>
      </c>
      <c r="F656" s="3">
        <v>49.96</v>
      </c>
      <c r="G656" s="3">
        <v>6920.92</v>
      </c>
    </row>
    <row r="657" spans="1:7" x14ac:dyDescent="0.45">
      <c r="A657" s="2">
        <v>46030</v>
      </c>
      <c r="B657" s="3">
        <v>690.71</v>
      </c>
      <c r="C657" s="3">
        <v>20.23</v>
      </c>
      <c r="D657" s="3">
        <v>21.32</v>
      </c>
      <c r="E657" s="3">
        <v>25.5</v>
      </c>
      <c r="F657" s="3">
        <v>49.96</v>
      </c>
      <c r="G657" s="3">
        <v>6921.45</v>
      </c>
    </row>
    <row r="658" spans="1:7" x14ac:dyDescent="0.45">
      <c r="A658" s="2">
        <v>46031</v>
      </c>
      <c r="B658" s="3">
        <v>695.23</v>
      </c>
      <c r="C658" s="3">
        <v>20.09</v>
      </c>
      <c r="D658" s="3">
        <v>21.28</v>
      </c>
      <c r="E658" s="3">
        <v>25.43</v>
      </c>
      <c r="F658" s="3">
        <v>49.95</v>
      </c>
      <c r="G658" s="3">
        <v>6966.29</v>
      </c>
    </row>
    <row r="659" spans="1:7" x14ac:dyDescent="0.45">
      <c r="A659" s="2">
        <v>46034</v>
      </c>
      <c r="B659" s="3">
        <v>696.38</v>
      </c>
      <c r="C659" s="3">
        <v>19.97</v>
      </c>
      <c r="D659" s="3">
        <v>21.17</v>
      </c>
      <c r="E659" s="3">
        <v>25.23</v>
      </c>
      <c r="F659" s="3">
        <v>49.97</v>
      </c>
      <c r="G659" s="3">
        <v>6977.26</v>
      </c>
    </row>
    <row r="660" spans="1:7" x14ac:dyDescent="0.45">
      <c r="A660" s="2">
        <v>46035</v>
      </c>
      <c r="B660" s="3">
        <v>695.02</v>
      </c>
      <c r="C660" s="3">
        <v>19.940000000000001</v>
      </c>
      <c r="D660" s="3">
        <v>20.98</v>
      </c>
      <c r="E660" s="3">
        <v>24.96</v>
      </c>
      <c r="F660" s="3">
        <v>49.98</v>
      </c>
      <c r="G660" s="3">
        <v>6963.75</v>
      </c>
    </row>
    <row r="661" spans="1:7" x14ac:dyDescent="0.45">
      <c r="A661" s="2">
        <v>46036</v>
      </c>
      <c r="B661" s="3">
        <v>691.65</v>
      </c>
      <c r="C661" s="3">
        <v>20.329999999999998</v>
      </c>
      <c r="D661" s="3">
        <v>21.45</v>
      </c>
      <c r="E661" s="3">
        <v>25.35</v>
      </c>
      <c r="F661" s="3">
        <v>49.98</v>
      </c>
      <c r="G661" s="3">
        <v>6926.59</v>
      </c>
    </row>
    <row r="662" spans="1:7" x14ac:dyDescent="0.45">
      <c r="A662" s="2">
        <v>46037</v>
      </c>
      <c r="B662" s="3">
        <v>693.48</v>
      </c>
      <c r="C662" s="3">
        <v>20.43</v>
      </c>
      <c r="D662" s="3">
        <v>21.81</v>
      </c>
      <c r="E662" s="3">
        <v>25.52</v>
      </c>
      <c r="F662" s="3">
        <v>49.98</v>
      </c>
      <c r="G662" s="3">
        <v>6944.46</v>
      </c>
    </row>
    <row r="663" spans="1:7" x14ac:dyDescent="0.45">
      <c r="A663" s="2">
        <v>46038</v>
      </c>
      <c r="B663" s="3">
        <v>692.82</v>
      </c>
      <c r="C663" s="3">
        <v>20.34</v>
      </c>
      <c r="D663" s="3">
        <v>21.71</v>
      </c>
      <c r="E663" s="3">
        <v>25.65</v>
      </c>
      <c r="F663" s="3">
        <v>49.99</v>
      </c>
      <c r="G663" s="3">
        <v>6940</v>
      </c>
    </row>
    <row r="664" spans="1:7" x14ac:dyDescent="0.45">
      <c r="A664" s="2">
        <v>46042</v>
      </c>
      <c r="B664" s="3">
        <v>678.8</v>
      </c>
      <c r="C664" s="3">
        <v>20.09</v>
      </c>
      <c r="D664" s="3">
        <v>21.5</v>
      </c>
      <c r="E664" s="3">
        <v>25.24</v>
      </c>
      <c r="F664" s="3">
        <v>50</v>
      </c>
      <c r="G664" s="3">
        <v>6796.87</v>
      </c>
    </row>
    <row r="665" spans="1:7" x14ac:dyDescent="0.45">
      <c r="A665" s="2">
        <v>46043</v>
      </c>
      <c r="B665" s="3">
        <v>686.5</v>
      </c>
      <c r="C665" s="3">
        <v>20.420000000000002</v>
      </c>
      <c r="D665" s="3">
        <v>21.96</v>
      </c>
      <c r="E665" s="3">
        <v>25.6</v>
      </c>
      <c r="F665" s="3">
        <v>50.03</v>
      </c>
      <c r="G665" s="3">
        <v>6875.61</v>
      </c>
    </row>
    <row r="666" spans="1:7" x14ac:dyDescent="0.45">
      <c r="A666" s="2">
        <v>46044</v>
      </c>
      <c r="B666" s="3">
        <v>690.13</v>
      </c>
      <c r="C666" s="3">
        <v>20.34</v>
      </c>
      <c r="D666" s="3">
        <v>21.67</v>
      </c>
      <c r="E666" s="3">
        <v>25.83</v>
      </c>
      <c r="F666" s="3">
        <v>50.02</v>
      </c>
      <c r="G666" s="3">
        <v>6913.36</v>
      </c>
    </row>
    <row r="667" spans="1:7" x14ac:dyDescent="0.45">
      <c r="A667" s="2">
        <v>46045</v>
      </c>
      <c r="B667" s="3">
        <v>690.41</v>
      </c>
      <c r="C667" s="3">
        <v>20.23</v>
      </c>
      <c r="D667" s="3">
        <v>21.62</v>
      </c>
      <c r="E667" s="3">
        <v>25.26</v>
      </c>
      <c r="F667" s="3">
        <v>50.04</v>
      </c>
      <c r="G667" s="3">
        <v>6915.62</v>
      </c>
    </row>
    <row r="668" spans="1:7" x14ac:dyDescent="0.45">
      <c r="A668" s="2">
        <v>46048</v>
      </c>
      <c r="B668" s="3">
        <v>694.05</v>
      </c>
      <c r="C668" s="3">
        <v>19.809999999999999</v>
      </c>
      <c r="D668" s="3">
        <v>21.44</v>
      </c>
      <c r="E668" s="3">
        <v>25.19</v>
      </c>
      <c r="F668" s="3">
        <v>50.05</v>
      </c>
      <c r="G668" s="3">
        <v>6950.22</v>
      </c>
    </row>
    <row r="669" spans="1:7" x14ac:dyDescent="0.45">
      <c r="A669" s="2">
        <v>46049</v>
      </c>
      <c r="B669" s="3">
        <v>696.8</v>
      </c>
      <c r="C669" s="3">
        <v>19.75</v>
      </c>
      <c r="D669" s="3">
        <v>21.68</v>
      </c>
      <c r="E669" s="3">
        <v>25.41</v>
      </c>
      <c r="F669" s="3">
        <v>50.06</v>
      </c>
      <c r="G669" s="3">
        <v>6978.59</v>
      </c>
    </row>
    <row r="670" spans="1:7" x14ac:dyDescent="0.45">
      <c r="A670" s="2">
        <v>46050</v>
      </c>
      <c r="B670" s="3">
        <v>696.85</v>
      </c>
      <c r="C670" s="3">
        <v>19.649999999999999</v>
      </c>
      <c r="D670" s="3">
        <v>21.54</v>
      </c>
      <c r="E670" s="3">
        <v>25.2</v>
      </c>
      <c r="F670" s="3">
        <v>50.07</v>
      </c>
      <c r="G670" s="3">
        <v>6978.02</v>
      </c>
    </row>
    <row r="671" spans="1:7" x14ac:dyDescent="0.45">
      <c r="A671" s="2">
        <v>46051</v>
      </c>
      <c r="B671" s="3">
        <v>695.24</v>
      </c>
      <c r="C671" s="3">
        <v>19.62</v>
      </c>
      <c r="D671" s="3">
        <v>21.56</v>
      </c>
      <c r="E671" s="3">
        <v>25.1</v>
      </c>
      <c r="F671" s="3">
        <v>50.07</v>
      </c>
      <c r="G671" s="3">
        <v>6969.02</v>
      </c>
    </row>
    <row r="672" spans="1:7" x14ac:dyDescent="0.45">
      <c r="A672" s="2">
        <v>46052</v>
      </c>
      <c r="B672" s="3">
        <v>693.19</v>
      </c>
      <c r="C672" s="3">
        <v>19.36</v>
      </c>
      <c r="D672" s="3">
        <v>21.37</v>
      </c>
      <c r="E672" s="3">
        <v>24.83</v>
      </c>
      <c r="F672" s="3">
        <v>50.1</v>
      </c>
      <c r="G672" s="3">
        <v>6939.02</v>
      </c>
    </row>
    <row r="673" spans="1:7" x14ac:dyDescent="0.45">
      <c r="A673" s="2">
        <v>46055</v>
      </c>
      <c r="B673" s="3">
        <v>696.69</v>
      </c>
      <c r="C673" s="3">
        <v>19</v>
      </c>
      <c r="D673" s="3">
        <v>20.8</v>
      </c>
      <c r="E673" s="3">
        <v>24.29</v>
      </c>
      <c r="F673" s="3">
        <v>50.1</v>
      </c>
      <c r="G673" s="3">
        <v>6976.45</v>
      </c>
    </row>
    <row r="674" spans="1:7" x14ac:dyDescent="0.45">
      <c r="A674" s="2">
        <v>46056</v>
      </c>
      <c r="B674" s="3">
        <v>690.73</v>
      </c>
      <c r="C674" s="3">
        <v>18.62</v>
      </c>
      <c r="D674" s="3">
        <v>20.260000000000002</v>
      </c>
      <c r="E674" s="3">
        <v>23.7</v>
      </c>
      <c r="F674" s="3">
        <v>50.1</v>
      </c>
      <c r="G674" s="3">
        <v>6917.82</v>
      </c>
    </row>
    <row r="675" spans="1:7" x14ac:dyDescent="0.45">
      <c r="A675" s="2">
        <v>46057</v>
      </c>
      <c r="B675" s="3">
        <v>687.46</v>
      </c>
      <c r="C675" s="3">
        <v>19.04</v>
      </c>
      <c r="D675" s="3">
        <v>20.350000000000001</v>
      </c>
      <c r="E675" s="3">
        <v>24.11</v>
      </c>
      <c r="F675" s="3">
        <v>50.11</v>
      </c>
      <c r="G675" s="3">
        <v>6882.71</v>
      </c>
    </row>
    <row r="676" spans="1:7" x14ac:dyDescent="0.45">
      <c r="A676" s="2">
        <v>46058</v>
      </c>
      <c r="B676" s="3">
        <v>678.72</v>
      </c>
      <c r="C676" s="3">
        <v>18.29</v>
      </c>
      <c r="D676" s="3">
        <v>19.86</v>
      </c>
      <c r="E676" s="3">
        <v>23.75</v>
      </c>
      <c r="F676" s="3">
        <v>50.12</v>
      </c>
      <c r="G676" s="3">
        <v>6798.39</v>
      </c>
    </row>
    <row r="677" spans="1:7" x14ac:dyDescent="0.45">
      <c r="A677" s="2">
        <v>46059</v>
      </c>
      <c r="B677" s="3">
        <v>691.94</v>
      </c>
      <c r="C677" s="3">
        <v>18.8</v>
      </c>
      <c r="D677" s="3">
        <v>19.64</v>
      </c>
      <c r="E677" s="3">
        <v>24.08</v>
      </c>
      <c r="F677" s="3">
        <v>50.14</v>
      </c>
      <c r="G677" s="3">
        <v>6932.31</v>
      </c>
    </row>
    <row r="678" spans="1:7" x14ac:dyDescent="0.45">
      <c r="A678" s="2">
        <v>46062</v>
      </c>
      <c r="B678" s="3">
        <v>695.24</v>
      </c>
      <c r="C678" s="3">
        <v>18.96</v>
      </c>
      <c r="D678" s="3">
        <v>19.420000000000002</v>
      </c>
      <c r="E678" s="3">
        <v>24.38</v>
      </c>
      <c r="F678" s="3">
        <v>50.16</v>
      </c>
      <c r="G678" s="3">
        <v>6964.81</v>
      </c>
    </row>
    <row r="679" spans="1:7" x14ac:dyDescent="0.45">
      <c r="A679" s="2">
        <v>46063</v>
      </c>
      <c r="B679" s="3">
        <v>693.31</v>
      </c>
      <c r="C679" s="3">
        <v>19.43</v>
      </c>
      <c r="D679" s="3">
        <v>19.75</v>
      </c>
      <c r="E679" s="3">
        <v>24.84</v>
      </c>
      <c r="F679" s="3">
        <v>50.17</v>
      </c>
      <c r="G679" s="3">
        <v>6941.82</v>
      </c>
    </row>
    <row r="680" spans="1:7" x14ac:dyDescent="0.45">
      <c r="A680" s="2">
        <v>46064</v>
      </c>
      <c r="B680" s="3">
        <v>693.21</v>
      </c>
      <c r="C680" s="3">
        <v>19.38</v>
      </c>
      <c r="D680" s="3">
        <v>19.579999999999998</v>
      </c>
      <c r="E680" s="3">
        <v>24.46</v>
      </c>
      <c r="F680" s="3">
        <v>50.16</v>
      </c>
      <c r="G680" s="3">
        <v>6941.46</v>
      </c>
    </row>
    <row r="681" spans="1:7" x14ac:dyDescent="0.45">
      <c r="A681" s="2">
        <v>46065</v>
      </c>
      <c r="B681" s="3">
        <v>682.52</v>
      </c>
      <c r="C681" s="3">
        <v>18.95</v>
      </c>
      <c r="D681" s="3">
        <v>19.59</v>
      </c>
      <c r="E681" s="3">
        <v>24.31</v>
      </c>
      <c r="F681" s="3">
        <v>50.17</v>
      </c>
      <c r="G681" s="3">
        <v>6832.77</v>
      </c>
    </row>
    <row r="682" spans="1:7" x14ac:dyDescent="0.45">
      <c r="A682" s="2">
        <v>46066</v>
      </c>
      <c r="B682" s="3">
        <v>682.95</v>
      </c>
      <c r="C682" s="3">
        <v>18.86</v>
      </c>
      <c r="D682" s="3">
        <v>18.72</v>
      </c>
      <c r="E682" s="3">
        <v>23.82</v>
      </c>
      <c r="F682" s="3">
        <v>50.2</v>
      </c>
      <c r="G682" s="3">
        <v>6836.18</v>
      </c>
    </row>
    <row r="683" spans="1:7" x14ac:dyDescent="0.45">
      <c r="A683" s="2">
        <v>46070</v>
      </c>
      <c r="B683" s="3">
        <v>684.02</v>
      </c>
      <c r="C683" s="3">
        <v>18.79</v>
      </c>
      <c r="D683" s="3">
        <v>18.38</v>
      </c>
      <c r="E683" s="3">
        <v>23.45</v>
      </c>
      <c r="F683" s="3">
        <v>50.2</v>
      </c>
      <c r="G683" s="3">
        <v>6843.21</v>
      </c>
    </row>
    <row r="684" spans="1:7" x14ac:dyDescent="0.45">
      <c r="A684" s="2">
        <v>46071</v>
      </c>
      <c r="B684" s="3">
        <v>687.52</v>
      </c>
      <c r="C684" s="3">
        <v>18.89</v>
      </c>
      <c r="D684" s="3">
        <v>18.739999999999998</v>
      </c>
      <c r="E684" s="3">
        <v>23.74</v>
      </c>
      <c r="F684" s="3">
        <v>50.2</v>
      </c>
      <c r="G684" s="3">
        <v>6881.32</v>
      </c>
    </row>
    <row r="685" spans="1:7" x14ac:dyDescent="0.45">
      <c r="A685" s="2">
        <v>46072</v>
      </c>
      <c r="B685" s="3">
        <v>685.85</v>
      </c>
      <c r="C685" s="3">
        <v>18.45</v>
      </c>
      <c r="D685" s="3">
        <v>18.190000000000001</v>
      </c>
      <c r="E685" s="3">
        <v>23.14</v>
      </c>
      <c r="F685" s="3">
        <v>50.21</v>
      </c>
      <c r="G685" s="3">
        <v>6861.88</v>
      </c>
    </row>
    <row r="686" spans="1:7" x14ac:dyDescent="0.45">
      <c r="A686" s="2">
        <v>46073</v>
      </c>
      <c r="B686" s="3">
        <v>690.66</v>
      </c>
      <c r="C686" s="3">
        <v>18.64</v>
      </c>
      <c r="D686" s="3">
        <v>17.71</v>
      </c>
      <c r="E686" s="3">
        <v>22.94</v>
      </c>
      <c r="F686" s="3">
        <v>50.22</v>
      </c>
      <c r="G686" s="3">
        <v>6909.52</v>
      </c>
    </row>
    <row r="687" spans="1:7" x14ac:dyDescent="0.45">
      <c r="A687" s="2">
        <v>46076</v>
      </c>
      <c r="B687" s="3">
        <v>683.67</v>
      </c>
      <c r="C687" s="3">
        <v>18.54</v>
      </c>
      <c r="D687" s="3">
        <v>17.5</v>
      </c>
      <c r="E687" s="3">
        <v>22.81</v>
      </c>
      <c r="F687" s="3">
        <v>50.24</v>
      </c>
      <c r="G687" s="3">
        <v>6837.74</v>
      </c>
    </row>
    <row r="688" spans="1:7" x14ac:dyDescent="0.45">
      <c r="A688" s="2">
        <v>46077</v>
      </c>
      <c r="B688" s="3">
        <v>688.68</v>
      </c>
      <c r="C688" s="3">
        <v>18.670000000000002</v>
      </c>
      <c r="D688" s="3">
        <v>17.62</v>
      </c>
      <c r="E688" s="3">
        <v>23.07</v>
      </c>
      <c r="F688" s="3">
        <v>50.23</v>
      </c>
      <c r="G688" s="3">
        <v>6890.06</v>
      </c>
    </row>
    <row r="689" spans="1:7" x14ac:dyDescent="0.45">
      <c r="A689" s="2">
        <v>46078</v>
      </c>
      <c r="B689" s="3">
        <v>694.4</v>
      </c>
      <c r="C689" s="3">
        <v>18.989999999999998</v>
      </c>
      <c r="D689" s="3">
        <v>17.91</v>
      </c>
      <c r="E689" s="3">
        <v>23.85</v>
      </c>
      <c r="F689" s="3">
        <v>50.24</v>
      </c>
      <c r="G689" s="3">
        <v>6946.12</v>
      </c>
    </row>
    <row r="690" spans="1:7" x14ac:dyDescent="0.45">
      <c r="A690" s="2">
        <v>46079</v>
      </c>
      <c r="B690" s="3">
        <v>690.57</v>
      </c>
      <c r="C690" s="3">
        <v>18.77</v>
      </c>
      <c r="D690" s="3">
        <v>17.739999999999998</v>
      </c>
      <c r="E690" s="3">
        <v>23.64</v>
      </c>
      <c r="F690" s="3">
        <v>50.25</v>
      </c>
      <c r="G690" s="3">
        <v>6908.87</v>
      </c>
    </row>
    <row r="691" spans="1:7" x14ac:dyDescent="0.45">
      <c r="A691" s="2">
        <v>46080</v>
      </c>
      <c r="B691" s="3">
        <v>687.55</v>
      </c>
      <c r="C691" s="3">
        <v>18.13</v>
      </c>
      <c r="D691" s="3">
        <v>16.87</v>
      </c>
      <c r="E691" s="3">
        <v>23.11</v>
      </c>
      <c r="F691" s="3">
        <v>50.25</v>
      </c>
      <c r="G691" s="3">
        <v>6878.89</v>
      </c>
    </row>
    <row r="692" spans="1:7" x14ac:dyDescent="0.45">
      <c r="A692" s="2">
        <v>46083</v>
      </c>
      <c r="B692" s="3">
        <v>687.62</v>
      </c>
      <c r="C692" s="3">
        <v>18.48</v>
      </c>
      <c r="D692" s="3">
        <v>17.18</v>
      </c>
      <c r="E692" s="3">
        <v>24.19</v>
      </c>
      <c r="F692" s="3">
        <v>50.23</v>
      </c>
      <c r="G692" s="3">
        <v>6881.63</v>
      </c>
    </row>
    <row r="693" spans="1:7" x14ac:dyDescent="0.45">
      <c r="A693" s="2">
        <v>46084</v>
      </c>
      <c r="B693" s="3">
        <v>681.56</v>
      </c>
      <c r="C693" s="3">
        <v>18.45</v>
      </c>
      <c r="D693" s="3">
        <v>17.329999999999998</v>
      </c>
      <c r="E693" s="3">
        <v>23.54</v>
      </c>
      <c r="F693" s="3">
        <v>50.23</v>
      </c>
      <c r="G693" s="3">
        <v>6816.62</v>
      </c>
    </row>
    <row r="694" spans="1:7" x14ac:dyDescent="0.45">
      <c r="A694" s="2">
        <v>46085</v>
      </c>
      <c r="B694" s="3">
        <v>686.45</v>
      </c>
      <c r="C694" s="3">
        <v>18.62</v>
      </c>
      <c r="D694" s="3">
        <v>18</v>
      </c>
      <c r="E694" s="3">
        <v>23.61</v>
      </c>
      <c r="F694" s="3">
        <v>50.23</v>
      </c>
      <c r="G694" s="3">
        <v>6869.49</v>
      </c>
    </row>
    <row r="695" spans="1:7" x14ac:dyDescent="0.45">
      <c r="A695" s="2">
        <v>46086</v>
      </c>
      <c r="B695" s="3">
        <v>682.64</v>
      </c>
      <c r="C695" s="3">
        <v>18.5</v>
      </c>
      <c r="D695" s="3">
        <v>17.97</v>
      </c>
      <c r="E695" s="3">
        <v>23.22</v>
      </c>
      <c r="F695" s="3">
        <v>50.23</v>
      </c>
      <c r="G695" s="3">
        <v>6830.72</v>
      </c>
    </row>
    <row r="696" spans="1:7" x14ac:dyDescent="0.45">
      <c r="A696" s="2">
        <v>46087</v>
      </c>
      <c r="B696" s="3">
        <v>673.61</v>
      </c>
      <c r="C696" s="3">
        <v>18.239999999999998</v>
      </c>
      <c r="D696" s="3">
        <v>17.86</v>
      </c>
      <c r="E696" s="3">
        <v>23.05</v>
      </c>
      <c r="F696" s="3">
        <v>50.21</v>
      </c>
      <c r="G696" s="3">
        <v>6740.01</v>
      </c>
    </row>
    <row r="697" spans="1:7" x14ac:dyDescent="0.45">
      <c r="A697" s="2">
        <v>46090</v>
      </c>
      <c r="B697" s="3">
        <v>679.54</v>
      </c>
      <c r="C697" s="3">
        <v>18.190000000000001</v>
      </c>
      <c r="D697" s="3">
        <v>17.920000000000002</v>
      </c>
      <c r="E697" s="3">
        <v>23.3</v>
      </c>
      <c r="F697" s="3">
        <v>50.23</v>
      </c>
      <c r="G697" s="3">
        <v>6795.98</v>
      </c>
    </row>
    <row r="698" spans="1:7" x14ac:dyDescent="0.45">
      <c r="A698" s="2">
        <v>46091</v>
      </c>
      <c r="B698" s="3">
        <v>678.31</v>
      </c>
      <c r="C698" s="3">
        <v>18</v>
      </c>
      <c r="D698" s="3">
        <v>17.95</v>
      </c>
      <c r="E698" s="3">
        <v>23.18</v>
      </c>
      <c r="F698" s="3">
        <v>50.22</v>
      </c>
      <c r="G698" s="3">
        <v>6781.49</v>
      </c>
    </row>
    <row r="699" spans="1:7" x14ac:dyDescent="0.45">
      <c r="A699" s="2">
        <v>46092</v>
      </c>
      <c r="B699" s="3">
        <v>677.59</v>
      </c>
      <c r="C699" s="3">
        <v>18</v>
      </c>
      <c r="D699" s="3">
        <v>17.920000000000002</v>
      </c>
      <c r="E699" s="3">
        <v>23.21</v>
      </c>
      <c r="F699" s="3">
        <v>50.21</v>
      </c>
      <c r="G699" s="3">
        <v>6775.79</v>
      </c>
    </row>
    <row r="700" spans="1:7" x14ac:dyDescent="0.45">
      <c r="A700" s="2">
        <v>46093</v>
      </c>
      <c r="B700" s="3">
        <v>667.17</v>
      </c>
      <c r="C700" s="3">
        <v>17.59</v>
      </c>
      <c r="D700" s="3">
        <v>17.57</v>
      </c>
      <c r="E700" s="3">
        <v>22.94</v>
      </c>
      <c r="F700" s="3">
        <v>50.17</v>
      </c>
      <c r="G700" s="3">
        <v>6672.61</v>
      </c>
    </row>
    <row r="701" spans="1:7" x14ac:dyDescent="0.45">
      <c r="A701" s="2">
        <v>46094</v>
      </c>
      <c r="B701" s="3">
        <v>663.43</v>
      </c>
      <c r="C701" s="3">
        <v>17.86</v>
      </c>
      <c r="D701" s="3">
        <v>17.350000000000001</v>
      </c>
      <c r="E701" s="3">
        <v>22.88</v>
      </c>
      <c r="F701" s="3">
        <v>50.17</v>
      </c>
      <c r="G701" s="3">
        <v>6632.2</v>
      </c>
    </row>
    <row r="702" spans="1:7" x14ac:dyDescent="0.45">
      <c r="A702" s="2">
        <v>46097</v>
      </c>
      <c r="B702" s="3">
        <v>670.13</v>
      </c>
      <c r="C702" s="3">
        <v>17.940000000000001</v>
      </c>
      <c r="D702" s="3">
        <v>17.670000000000002</v>
      </c>
      <c r="E702" s="3">
        <v>22.77</v>
      </c>
      <c r="F702" s="3">
        <v>50.18</v>
      </c>
      <c r="G702" s="3">
        <v>6699.37</v>
      </c>
    </row>
    <row r="703" spans="1:7" x14ac:dyDescent="0.45">
      <c r="A703" s="2">
        <v>46098</v>
      </c>
      <c r="B703" s="3">
        <v>671.99</v>
      </c>
      <c r="C703" s="3">
        <v>18.440000000000001</v>
      </c>
      <c r="D703" s="3">
        <v>18.239999999999998</v>
      </c>
      <c r="E703" s="3">
        <v>23.68</v>
      </c>
      <c r="F703" s="3">
        <v>50.22</v>
      </c>
      <c r="G703" s="3">
        <v>6716.08</v>
      </c>
    </row>
    <row r="704" spans="1:7" x14ac:dyDescent="0.45">
      <c r="A704" s="2">
        <v>46099</v>
      </c>
      <c r="B704" s="3">
        <v>662.85</v>
      </c>
      <c r="C704" s="3">
        <v>18.28</v>
      </c>
      <c r="D704" s="3">
        <v>18.2</v>
      </c>
      <c r="E704" s="3">
        <v>23.54</v>
      </c>
      <c r="F704" s="3">
        <v>50.21</v>
      </c>
      <c r="G704" s="3">
        <v>6624.71</v>
      </c>
    </row>
    <row r="705" spans="1:7" x14ac:dyDescent="0.45">
      <c r="A705" s="2">
        <v>46100</v>
      </c>
      <c r="B705" s="3">
        <v>660.93</v>
      </c>
      <c r="C705" s="3">
        <v>18.190000000000001</v>
      </c>
      <c r="D705" s="3">
        <v>18.170000000000002</v>
      </c>
      <c r="E705" s="3">
        <v>23.52</v>
      </c>
      <c r="F705" s="3">
        <v>50.2</v>
      </c>
      <c r="G705" s="3">
        <v>6606.48</v>
      </c>
    </row>
    <row r="706" spans="1:7" x14ac:dyDescent="0.45">
      <c r="A706" s="2">
        <v>46101</v>
      </c>
      <c r="B706" s="3">
        <v>651.29999999999995</v>
      </c>
      <c r="C706" s="3">
        <v>17.96</v>
      </c>
      <c r="D706" s="3">
        <v>17.75</v>
      </c>
      <c r="E706" s="3">
        <v>22.99</v>
      </c>
      <c r="F706" s="3">
        <v>50.17</v>
      </c>
      <c r="G706" s="3">
        <v>6506.49</v>
      </c>
    </row>
    <row r="707" spans="1:7" x14ac:dyDescent="0.45">
      <c r="A707" s="2">
        <v>46104</v>
      </c>
      <c r="B707" s="3">
        <v>658.34</v>
      </c>
      <c r="C707" s="3">
        <v>18.28</v>
      </c>
      <c r="D707" s="3">
        <v>18.21</v>
      </c>
      <c r="E707" s="3">
        <v>23.66</v>
      </c>
      <c r="F707" s="3">
        <v>50.21</v>
      </c>
      <c r="G707" s="3">
        <v>6580.99</v>
      </c>
    </row>
    <row r="708" spans="1:7" x14ac:dyDescent="0.45">
      <c r="A708" s="2">
        <v>46105</v>
      </c>
      <c r="B708" s="3">
        <v>656.23</v>
      </c>
      <c r="C708" s="3">
        <v>17.96</v>
      </c>
      <c r="D708" s="3">
        <v>17.75</v>
      </c>
      <c r="E708" s="3">
        <v>23.31</v>
      </c>
      <c r="F708" s="3">
        <v>50.2</v>
      </c>
      <c r="G708" s="3">
        <v>6556.36</v>
      </c>
    </row>
    <row r="709" spans="1:7" x14ac:dyDescent="0.45">
      <c r="A709" s="2">
        <v>46106</v>
      </c>
      <c r="B709" s="3">
        <v>659.74</v>
      </c>
      <c r="C709" s="3">
        <v>18.059999999999999</v>
      </c>
      <c r="D709" s="3">
        <v>17.75</v>
      </c>
      <c r="E709" s="3">
        <v>23.36</v>
      </c>
      <c r="F709" s="3">
        <v>50.21</v>
      </c>
      <c r="G709" s="3">
        <v>6591.89</v>
      </c>
    </row>
    <row r="710" spans="1:7" x14ac:dyDescent="0.45">
      <c r="A710" s="2">
        <v>46107</v>
      </c>
      <c r="B710" s="3">
        <v>648.01</v>
      </c>
      <c r="C710" s="3">
        <v>17.920000000000002</v>
      </c>
      <c r="D710" s="3">
        <v>17.690000000000001</v>
      </c>
      <c r="E710" s="3">
        <v>23.23</v>
      </c>
      <c r="F710" s="3">
        <v>50.17</v>
      </c>
      <c r="G710" s="3">
        <v>6477.17</v>
      </c>
    </row>
    <row r="711" spans="1:7" x14ac:dyDescent="0.45">
      <c r="A711" s="2">
        <v>46108</v>
      </c>
      <c r="B711" s="3">
        <v>636.99</v>
      </c>
      <c r="C711" s="3">
        <v>17.45</v>
      </c>
      <c r="D711" s="3">
        <v>17.5</v>
      </c>
      <c r="E711" s="3">
        <v>22.75</v>
      </c>
      <c r="F711" s="3">
        <v>50.18</v>
      </c>
      <c r="G711" s="3">
        <v>6368.86</v>
      </c>
    </row>
    <row r="712" spans="1:7" x14ac:dyDescent="0.45">
      <c r="A712" s="2">
        <v>46111</v>
      </c>
      <c r="B712" s="3">
        <v>634.92999999999995</v>
      </c>
      <c r="C712" s="3">
        <v>17.739999999999998</v>
      </c>
      <c r="D712" s="3">
        <v>17.91</v>
      </c>
      <c r="E712" s="3">
        <v>23.02</v>
      </c>
      <c r="F712" s="3">
        <v>50.22</v>
      </c>
      <c r="G712" s="3">
        <v>6343.73</v>
      </c>
    </row>
    <row r="713" spans="1:7" x14ac:dyDescent="0.45">
      <c r="A713" s="2">
        <v>46112</v>
      </c>
      <c r="B713" s="3">
        <v>653.21</v>
      </c>
      <c r="C713" s="3">
        <v>18.02</v>
      </c>
      <c r="D713" s="3">
        <v>18.38</v>
      </c>
      <c r="E713" s="3">
        <v>23.69</v>
      </c>
      <c r="F713" s="3">
        <v>50.26</v>
      </c>
      <c r="G713" s="3">
        <v>6528.53</v>
      </c>
    </row>
    <row r="714" spans="1:7" x14ac:dyDescent="0.45">
      <c r="A714" s="2">
        <v>46113</v>
      </c>
      <c r="B714" s="3">
        <v>658.06</v>
      </c>
      <c r="C714" s="3">
        <v>17.73</v>
      </c>
      <c r="D714" s="3">
        <v>18.11</v>
      </c>
      <c r="E714" s="3">
        <v>23.33</v>
      </c>
      <c r="F714" s="3">
        <v>50.26</v>
      </c>
      <c r="G714" s="3">
        <v>6575.33</v>
      </c>
    </row>
    <row r="715" spans="1:7" x14ac:dyDescent="0.45">
      <c r="A715" s="2">
        <v>46114</v>
      </c>
      <c r="B715" s="3">
        <v>658.96</v>
      </c>
      <c r="C715" s="3">
        <v>18.09</v>
      </c>
      <c r="D715" s="3">
        <v>18.39</v>
      </c>
      <c r="E715" s="3">
        <v>23.77</v>
      </c>
      <c r="F715" s="3">
        <v>50.46</v>
      </c>
      <c r="G715" s="3">
        <v>6582.68</v>
      </c>
    </row>
    <row r="716" spans="1:7" x14ac:dyDescent="0.45">
      <c r="A716" s="2">
        <v>46118</v>
      </c>
      <c r="B716" s="3">
        <v>661.86</v>
      </c>
      <c r="C716" s="3">
        <v>18.3</v>
      </c>
      <c r="D716" s="3">
        <v>18.55</v>
      </c>
      <c r="E716" s="3">
        <v>24.12</v>
      </c>
      <c r="F716" s="3">
        <v>50.27</v>
      </c>
      <c r="G716" s="3">
        <v>6611.82</v>
      </c>
    </row>
    <row r="717" spans="1:7" x14ac:dyDescent="0.45">
      <c r="A717" s="2">
        <v>46119</v>
      </c>
      <c r="B717" s="3">
        <v>662.38</v>
      </c>
      <c r="C717" s="3">
        <v>18.05</v>
      </c>
      <c r="D717" s="3">
        <v>18.079999999999998</v>
      </c>
      <c r="E717" s="3">
        <v>23.7</v>
      </c>
      <c r="F717" s="3">
        <v>50.3</v>
      </c>
      <c r="G717" s="3">
        <v>6616.84</v>
      </c>
    </row>
    <row r="718" spans="1:7" x14ac:dyDescent="0.45">
      <c r="A718" s="2">
        <v>46120</v>
      </c>
      <c r="B718" s="3">
        <v>678.99</v>
      </c>
      <c r="C718" s="3">
        <v>18.170000000000002</v>
      </c>
      <c r="D718" s="3">
        <v>17.87</v>
      </c>
      <c r="E718" s="3">
        <v>23.11</v>
      </c>
      <c r="F718" s="3">
        <v>50.31</v>
      </c>
      <c r="G718" s="3">
        <v>6782.82</v>
      </c>
    </row>
    <row r="719" spans="1:7" x14ac:dyDescent="0.45">
      <c r="A719" s="2">
        <v>46121</v>
      </c>
      <c r="B719" s="3">
        <v>683.01</v>
      </c>
      <c r="C719" s="3">
        <v>18.010000000000002</v>
      </c>
      <c r="D719" s="3">
        <v>17.91</v>
      </c>
      <c r="E719" s="3">
        <v>22.98</v>
      </c>
      <c r="F719" s="3">
        <v>50.32</v>
      </c>
      <c r="G719" s="3">
        <v>6824.67</v>
      </c>
    </row>
    <row r="720" spans="1:7" x14ac:dyDescent="0.45">
      <c r="A720" s="2">
        <v>46122</v>
      </c>
      <c r="B720" s="3">
        <v>682.62</v>
      </c>
      <c r="C720" s="3">
        <v>18.09</v>
      </c>
      <c r="D720" s="3">
        <v>18.059999999999999</v>
      </c>
      <c r="E720" s="3">
        <v>23.13</v>
      </c>
      <c r="F720" s="3">
        <v>50.32</v>
      </c>
      <c r="G720" s="3">
        <v>6816.9</v>
      </c>
    </row>
    <row r="721" spans="1:7" x14ac:dyDescent="0.45">
      <c r="A721" s="2">
        <v>46125</v>
      </c>
      <c r="B721" s="3">
        <v>689.54</v>
      </c>
      <c r="C721" s="3">
        <v>18.190000000000001</v>
      </c>
      <c r="D721" s="3">
        <v>18.260000000000002</v>
      </c>
      <c r="E721" s="3">
        <v>23.64</v>
      </c>
      <c r="F721" s="3">
        <v>50.33</v>
      </c>
      <c r="G721" s="3">
        <v>6886.23</v>
      </c>
    </row>
    <row r="722" spans="1:7" x14ac:dyDescent="0.45">
      <c r="A722" s="2">
        <v>46126</v>
      </c>
      <c r="B722" s="3">
        <v>697.69</v>
      </c>
      <c r="C722" s="3">
        <v>18.63</v>
      </c>
      <c r="D722" s="3">
        <v>18.690000000000001</v>
      </c>
      <c r="E722" s="3">
        <v>24.14</v>
      </c>
      <c r="F722" s="3">
        <v>50.33</v>
      </c>
      <c r="G722" s="3">
        <v>6967.39</v>
      </c>
    </row>
    <row r="723" spans="1:7" x14ac:dyDescent="0.45">
      <c r="A723" s="2">
        <v>46127</v>
      </c>
      <c r="B723" s="3">
        <v>703.19</v>
      </c>
      <c r="C723" s="3">
        <v>18.97</v>
      </c>
      <c r="D723" s="3">
        <v>19.2</v>
      </c>
      <c r="E723" s="3">
        <v>24.77</v>
      </c>
      <c r="F723" s="3">
        <v>50.35</v>
      </c>
      <c r="G723" s="3">
        <v>7022.96</v>
      </c>
    </row>
    <row r="724" spans="1:7" x14ac:dyDescent="0.45">
      <c r="A724" s="2">
        <v>46128</v>
      </c>
      <c r="B724" s="3">
        <v>704.74</v>
      </c>
      <c r="C724" s="3">
        <v>18.78</v>
      </c>
      <c r="D724" s="3">
        <v>19.22</v>
      </c>
      <c r="E724" s="3">
        <v>24.54</v>
      </c>
      <c r="F724" s="3">
        <v>50.34</v>
      </c>
      <c r="G724" s="3">
        <v>7041.29</v>
      </c>
    </row>
    <row r="725" spans="1:7" x14ac:dyDescent="0.45">
      <c r="A725" s="2">
        <v>46129</v>
      </c>
      <c r="B725" s="3">
        <v>713.36</v>
      </c>
      <c r="C725" s="3">
        <v>19.09</v>
      </c>
      <c r="D725" s="3">
        <v>19.420000000000002</v>
      </c>
      <c r="E725" s="3">
        <v>24.67</v>
      </c>
      <c r="F725" s="3">
        <v>50.38</v>
      </c>
      <c r="G725" s="3">
        <v>7126.05</v>
      </c>
    </row>
    <row r="726" spans="1:7" x14ac:dyDescent="0.45">
      <c r="A726" s="2">
        <v>46132</v>
      </c>
      <c r="B726" s="3">
        <v>712.09</v>
      </c>
      <c r="C726" s="3">
        <v>19.12</v>
      </c>
      <c r="D726" s="3">
        <v>19.239999999999998</v>
      </c>
      <c r="E726" s="3">
        <v>24.74</v>
      </c>
      <c r="F726" s="3">
        <v>50.39</v>
      </c>
      <c r="G726" s="3">
        <v>7109.13</v>
      </c>
    </row>
    <row r="727" spans="1:7" x14ac:dyDescent="0.45">
      <c r="A727" s="2">
        <v>46133</v>
      </c>
      <c r="B727" s="3">
        <v>707.23</v>
      </c>
      <c r="C727" s="3">
        <v>18.96</v>
      </c>
      <c r="D727" s="3">
        <v>18.97</v>
      </c>
      <c r="E727" s="3">
        <v>24.17</v>
      </c>
      <c r="F727" s="3">
        <v>50.38</v>
      </c>
      <c r="G727" s="3">
        <v>7064.02</v>
      </c>
    </row>
    <row r="728" spans="1:7" x14ac:dyDescent="0.45">
      <c r="A728" s="2">
        <v>46134</v>
      </c>
      <c r="B728" s="3">
        <v>714.56</v>
      </c>
      <c r="C728" s="3">
        <v>19.100000000000001</v>
      </c>
      <c r="D728" s="3">
        <v>18.93</v>
      </c>
      <c r="E728" s="3">
        <v>24.15</v>
      </c>
      <c r="F728" s="3">
        <v>50.38</v>
      </c>
      <c r="G728" s="3">
        <v>7137.89</v>
      </c>
    </row>
    <row r="729" spans="1:7" x14ac:dyDescent="0.45">
      <c r="A729" s="2">
        <v>46135</v>
      </c>
      <c r="B729" s="3">
        <v>711.74</v>
      </c>
      <c r="C729" s="3">
        <v>18.62</v>
      </c>
      <c r="D729" s="3">
        <v>18.55</v>
      </c>
      <c r="E729" s="3">
        <v>23.72</v>
      </c>
      <c r="F729" s="3">
        <v>50.39</v>
      </c>
      <c r="G729" s="3">
        <v>7108.41</v>
      </c>
    </row>
    <row r="730" spans="1:7" x14ac:dyDescent="0.45">
      <c r="A730" s="2">
        <v>46136</v>
      </c>
      <c r="B730" s="3">
        <v>717.28</v>
      </c>
      <c r="C730" s="3">
        <v>18.670000000000002</v>
      </c>
      <c r="D730" s="3">
        <v>18.690000000000001</v>
      </c>
      <c r="E730" s="3">
        <v>23.4</v>
      </c>
      <c r="F730" s="3">
        <v>50.42</v>
      </c>
      <c r="G730" s="3">
        <v>7165.07</v>
      </c>
    </row>
    <row r="731" spans="1:7" x14ac:dyDescent="0.45">
      <c r="A731" s="2">
        <v>46139</v>
      </c>
      <c r="B731" s="3">
        <v>718.5</v>
      </c>
      <c r="C731" s="3">
        <v>18.61</v>
      </c>
      <c r="D731" s="3">
        <v>18.809999999999999</v>
      </c>
      <c r="E731" s="3">
        <v>23.78</v>
      </c>
      <c r="F731" s="3">
        <v>50.41</v>
      </c>
      <c r="G731" s="3">
        <v>7173.92</v>
      </c>
    </row>
    <row r="732" spans="1:7" x14ac:dyDescent="0.45">
      <c r="A732" s="2">
        <v>46140</v>
      </c>
      <c r="B732" s="3">
        <v>714.96</v>
      </c>
      <c r="C732" s="3">
        <v>18.920000000000002</v>
      </c>
      <c r="D732" s="3">
        <v>19.010000000000002</v>
      </c>
      <c r="E732" s="3">
        <v>23.95</v>
      </c>
      <c r="F732" s="3">
        <v>50.42</v>
      </c>
      <c r="G732" s="3">
        <v>7138.81</v>
      </c>
    </row>
    <row r="733" spans="1:7" x14ac:dyDescent="0.45">
      <c r="A733" s="2">
        <v>46141</v>
      </c>
      <c r="B733" s="3">
        <v>714.89</v>
      </c>
      <c r="C733" s="3">
        <v>18.670000000000002</v>
      </c>
      <c r="D733" s="3">
        <v>18.940000000000001</v>
      </c>
      <c r="E733" s="3">
        <v>23.94</v>
      </c>
      <c r="F733" s="3">
        <v>50.41</v>
      </c>
      <c r="G733" s="3">
        <v>7135.96</v>
      </c>
    </row>
    <row r="734" spans="1:7" x14ac:dyDescent="0.45">
      <c r="A734" s="2">
        <v>46142</v>
      </c>
      <c r="B734" s="3">
        <v>722.07</v>
      </c>
      <c r="C734" s="3">
        <v>19.16</v>
      </c>
      <c r="D734" s="3">
        <v>19.600000000000001</v>
      </c>
      <c r="E734" s="3">
        <v>24.8</v>
      </c>
      <c r="F734" s="3">
        <v>50.42</v>
      </c>
      <c r="G734" s="3">
        <v>7209.02</v>
      </c>
    </row>
    <row r="735" spans="1:7" x14ac:dyDescent="0.45">
      <c r="A735" s="2">
        <v>46143</v>
      </c>
      <c r="B735" s="3">
        <v>724.01</v>
      </c>
      <c r="C735" s="3">
        <v>19.25</v>
      </c>
      <c r="D735" s="3">
        <v>19.649999999999999</v>
      </c>
      <c r="E735" s="3">
        <v>24.94</v>
      </c>
      <c r="F735" s="3">
        <v>50.45</v>
      </c>
      <c r="G735" s="3">
        <v>7230.11</v>
      </c>
    </row>
    <row r="736" spans="1:7" x14ac:dyDescent="0.45">
      <c r="A736" s="2">
        <v>46146</v>
      </c>
      <c r="B736" s="3">
        <v>721.39</v>
      </c>
      <c r="C736" s="3">
        <v>19.18</v>
      </c>
      <c r="D736" s="3">
        <v>19.760000000000002</v>
      </c>
      <c r="E736" s="3">
        <v>24.72</v>
      </c>
      <c r="F736" s="3">
        <v>50.43</v>
      </c>
      <c r="G736" s="3">
        <v>7200.76</v>
      </c>
    </row>
    <row r="737" spans="1:7" x14ac:dyDescent="0.45">
      <c r="A737" s="2">
        <v>46147</v>
      </c>
      <c r="B737" s="3">
        <v>726.98</v>
      </c>
      <c r="C737" s="3">
        <v>19.350000000000001</v>
      </c>
      <c r="D737" s="3">
        <v>19.600000000000001</v>
      </c>
      <c r="E737" s="3">
        <v>24.94</v>
      </c>
      <c r="F737" s="3">
        <v>50.46</v>
      </c>
      <c r="G737" s="3">
        <v>7259.21</v>
      </c>
    </row>
    <row r="738" spans="1:7" x14ac:dyDescent="0.45">
      <c r="A738" s="2">
        <v>46148</v>
      </c>
      <c r="B738" s="3">
        <v>737.41</v>
      </c>
      <c r="C738" s="3">
        <v>19.16</v>
      </c>
      <c r="D738" s="3">
        <v>17.91</v>
      </c>
      <c r="E738" s="3">
        <v>24.55</v>
      </c>
      <c r="F738" s="3">
        <v>50.48</v>
      </c>
      <c r="G738" s="3">
        <v>7365.11</v>
      </c>
    </row>
    <row r="739" spans="1:7" x14ac:dyDescent="0.45">
      <c r="A739" s="2">
        <v>46149</v>
      </c>
      <c r="B739" s="3">
        <v>734.96</v>
      </c>
      <c r="C739" s="3">
        <v>18.96</v>
      </c>
      <c r="D739" s="3">
        <v>17.89</v>
      </c>
      <c r="E739" s="3">
        <v>24.36</v>
      </c>
      <c r="F739" s="3">
        <v>50.49</v>
      </c>
      <c r="G739" s="3">
        <v>7337.1</v>
      </c>
    </row>
    <row r="740" spans="1:7" x14ac:dyDescent="0.45">
      <c r="A740" s="2">
        <v>46150</v>
      </c>
      <c r="B740" s="3">
        <v>740.97</v>
      </c>
      <c r="C740" s="3">
        <v>19.010000000000002</v>
      </c>
      <c r="D740" s="3">
        <v>17.940000000000001</v>
      </c>
      <c r="E740" s="3">
        <v>24.18</v>
      </c>
      <c r="F740" s="3">
        <v>50.5</v>
      </c>
      <c r="G740" s="3">
        <v>7398.92</v>
      </c>
    </row>
    <row r="741" spans="1:7" x14ac:dyDescent="0.45">
      <c r="A741" s="2">
        <v>46153</v>
      </c>
      <c r="B741" s="3">
        <v>742.75</v>
      </c>
      <c r="C741" s="3">
        <v>18.68</v>
      </c>
      <c r="D741" s="3">
        <v>17.399999999999999</v>
      </c>
      <c r="E741" s="3">
        <v>23.62</v>
      </c>
      <c r="F741" s="3">
        <v>50.5</v>
      </c>
      <c r="G741" s="3">
        <v>7412.85</v>
      </c>
    </row>
    <row r="742" spans="1:7" x14ac:dyDescent="0.45">
      <c r="A742" s="2">
        <v>46154</v>
      </c>
      <c r="B742" s="3">
        <v>741.61</v>
      </c>
      <c r="C742" s="3">
        <v>18.77</v>
      </c>
      <c r="D742" s="3">
        <v>17.63</v>
      </c>
      <c r="E742" s="3">
        <v>23.77</v>
      </c>
      <c r="F742" s="3">
        <v>50.5</v>
      </c>
      <c r="G742" s="3">
        <v>7400.97</v>
      </c>
    </row>
    <row r="743" spans="1:7" x14ac:dyDescent="0.45">
      <c r="A743" s="2">
        <v>46155</v>
      </c>
      <c r="B743" s="3">
        <v>745.74</v>
      </c>
      <c r="C743" s="3">
        <v>18.78</v>
      </c>
      <c r="D743" s="3">
        <v>17.350000000000001</v>
      </c>
      <c r="E743" s="3">
        <v>23.73</v>
      </c>
      <c r="F743" s="3">
        <v>50.52</v>
      </c>
      <c r="G743" s="3">
        <v>7444.26</v>
      </c>
    </row>
    <row r="744" spans="1:7" x14ac:dyDescent="0.45">
      <c r="A744" s="2">
        <v>46156</v>
      </c>
      <c r="B744" s="3">
        <v>751.56</v>
      </c>
      <c r="C744" s="3">
        <v>18.940000000000001</v>
      </c>
      <c r="D744" s="3">
        <v>17.91</v>
      </c>
      <c r="E744" s="3">
        <v>24.11</v>
      </c>
      <c r="F744" s="3">
        <v>50.51</v>
      </c>
      <c r="G744" s="3">
        <v>7501.25</v>
      </c>
    </row>
    <row r="745" spans="1:7" x14ac:dyDescent="0.45">
      <c r="A745" s="2">
        <v>46157</v>
      </c>
      <c r="B745" s="3">
        <v>742.45</v>
      </c>
      <c r="C745" s="3">
        <v>18.899999999999999</v>
      </c>
      <c r="D745" s="3">
        <v>17.73</v>
      </c>
      <c r="E745" s="3">
        <v>24.02</v>
      </c>
      <c r="F745" s="3">
        <v>50.5</v>
      </c>
      <c r="G745" s="3">
        <v>7408.49</v>
      </c>
    </row>
    <row r="746" spans="1:7" x14ac:dyDescent="0.45">
      <c r="A746" s="2">
        <v>46160</v>
      </c>
      <c r="B746" s="3">
        <v>741.91</v>
      </c>
      <c r="C746" s="3">
        <v>18.72</v>
      </c>
      <c r="D746" s="3">
        <v>17.8</v>
      </c>
      <c r="E746" s="3">
        <v>23.67</v>
      </c>
      <c r="F746" s="3">
        <v>50.5</v>
      </c>
      <c r="G746" s="3">
        <v>7403.04</v>
      </c>
    </row>
    <row r="747" spans="1:7" x14ac:dyDescent="0.45">
      <c r="A747" s="2">
        <v>46161</v>
      </c>
      <c r="B747" s="3">
        <v>737.19</v>
      </c>
      <c r="C747" s="3">
        <v>18.57</v>
      </c>
      <c r="D747" s="3">
        <v>17.579999999999998</v>
      </c>
      <c r="E747" s="3">
        <v>23.53</v>
      </c>
      <c r="F747" s="3">
        <v>50.49</v>
      </c>
      <c r="G747" s="3">
        <v>7353.62</v>
      </c>
    </row>
    <row r="748" spans="1:7" x14ac:dyDescent="0.45">
      <c r="A748" s="2">
        <v>46162</v>
      </c>
      <c r="B748" s="3">
        <v>744.79</v>
      </c>
      <c r="C748" s="3">
        <v>18.7</v>
      </c>
      <c r="D748" s="3">
        <v>17.440000000000001</v>
      </c>
      <c r="E748" s="3">
        <v>23.72</v>
      </c>
      <c r="F748" s="3">
        <v>50.53</v>
      </c>
      <c r="G748" s="3">
        <v>7432.96</v>
      </c>
    </row>
    <row r="749" spans="1:7" x14ac:dyDescent="0.45">
      <c r="A749" s="2">
        <v>46163</v>
      </c>
      <c r="B749" s="3">
        <v>746.18</v>
      </c>
      <c r="C749" s="3">
        <v>18.739999999999998</v>
      </c>
      <c r="D749" s="3">
        <v>17.36</v>
      </c>
      <c r="E749" s="3">
        <v>23.55</v>
      </c>
      <c r="F749" s="3">
        <v>50.54</v>
      </c>
      <c r="G749" s="3">
        <v>7445.73</v>
      </c>
    </row>
    <row r="750" spans="1:7" x14ac:dyDescent="0.45">
      <c r="A750" s="2">
        <v>46164</v>
      </c>
      <c r="B750" s="3">
        <v>749.14</v>
      </c>
      <c r="C750" s="3">
        <v>18.59</v>
      </c>
      <c r="D750" s="3">
        <v>17.16</v>
      </c>
      <c r="E750" s="3">
        <v>23.33</v>
      </c>
      <c r="F750" s="3">
        <v>50.53</v>
      </c>
      <c r="G750" s="3">
        <v>7473.48</v>
      </c>
    </row>
    <row r="751" spans="1:7" x14ac:dyDescent="0.45">
      <c r="A751" s="2">
        <v>46168</v>
      </c>
      <c r="B751" s="3">
        <v>754.03</v>
      </c>
      <c r="C751" s="3">
        <v>18.82</v>
      </c>
      <c r="D751" s="3">
        <v>17.21</v>
      </c>
      <c r="E751" s="3">
        <v>23.68</v>
      </c>
      <c r="F751" s="3">
        <v>50.56</v>
      </c>
      <c r="G751" s="3">
        <v>7519.11</v>
      </c>
    </row>
    <row r="752" spans="1:7" x14ac:dyDescent="0.45">
      <c r="A752" s="2">
        <v>46169</v>
      </c>
      <c r="B752" s="3">
        <v>754.17</v>
      </c>
      <c r="C752" s="3">
        <v>18.86</v>
      </c>
      <c r="D752" s="3">
        <v>17.260000000000002</v>
      </c>
      <c r="E752" s="3">
        <v>23.63</v>
      </c>
      <c r="F752" s="3">
        <v>50.58</v>
      </c>
      <c r="G752" s="3">
        <v>7520.37</v>
      </c>
    </row>
    <row r="753" spans="1:7" x14ac:dyDescent="0.45">
      <c r="A753" s="2">
        <v>46170</v>
      </c>
      <c r="B753" s="3">
        <v>758.17</v>
      </c>
      <c r="C753" s="3">
        <v>18.809999999999999</v>
      </c>
      <c r="D753" s="3">
        <v>17.350000000000001</v>
      </c>
      <c r="E753" s="3">
        <v>23.53</v>
      </c>
      <c r="F753" s="3">
        <v>50.58</v>
      </c>
      <c r="G753" s="3">
        <v>7563.62</v>
      </c>
    </row>
    <row r="754" spans="1:7" x14ac:dyDescent="0.45">
      <c r="A754" s="2">
        <v>46171</v>
      </c>
      <c r="B754" s="3">
        <v>760.05</v>
      </c>
      <c r="C754" s="3">
        <v>18.989999999999998</v>
      </c>
      <c r="D754" s="3">
        <v>17.23</v>
      </c>
      <c r="E754" s="3">
        <v>23.73</v>
      </c>
      <c r="F754" s="3">
        <v>50.62</v>
      </c>
      <c r="G754" s="3">
        <v>7580.05</v>
      </c>
    </row>
    <row r="756" spans="1:7" x14ac:dyDescent="0.45">
      <c r="A756" s="4" t="s">
        <v>7</v>
      </c>
      <c r="B756" s="4"/>
      <c r="C756" s="4"/>
      <c r="D756" s="4"/>
      <c r="E756" s="4"/>
      <c r="F756" s="4"/>
      <c r="G756" s="4"/>
    </row>
    <row r="757" spans="1:7" x14ac:dyDescent="0.45">
      <c r="A757" s="5" t="s">
        <v>8</v>
      </c>
      <c r="B757" s="6">
        <f t="shared" ref="B757:G757" si="0">(B754-B2)/B2</f>
        <v>0.87569408454875253</v>
      </c>
      <c r="C757" s="6">
        <f t="shared" si="0"/>
        <v>0.33450456781447629</v>
      </c>
      <c r="D757" s="6">
        <f t="shared" si="0"/>
        <v>0.25858290723155597</v>
      </c>
      <c r="E757" s="6">
        <f t="shared" si="0"/>
        <v>0.27580645161290313</v>
      </c>
      <c r="F757" s="6">
        <f t="shared" si="0"/>
        <v>0.1642134314627415</v>
      </c>
      <c r="G757" s="6">
        <f t="shared" si="0"/>
        <v>0.80240493446708117</v>
      </c>
    </row>
    <row r="758" spans="1:7" x14ac:dyDescent="0.45">
      <c r="A758" s="5" t="s">
        <v>9</v>
      </c>
      <c r="B758" s="6">
        <f t="shared" ref="B758:G758" si="1">(B754/B2)^(252/(ROWS(B2:B754)-1))-1</f>
        <v>0.23463428456415225</v>
      </c>
      <c r="C758" s="6">
        <f t="shared" si="1"/>
        <v>0.10152803175395442</v>
      </c>
      <c r="D758" s="6">
        <f t="shared" si="1"/>
        <v>8.0117589531140787E-2</v>
      </c>
      <c r="E758" s="6">
        <f t="shared" si="1"/>
        <v>8.5048521928967835E-2</v>
      </c>
      <c r="F758" s="6">
        <f t="shared" si="1"/>
        <v>5.2271838112341262E-2</v>
      </c>
      <c r="G758" s="6">
        <f t="shared" si="1"/>
        <v>0.2182537629682082</v>
      </c>
    </row>
    <row r="759" spans="1:7" x14ac:dyDescent="0.45">
      <c r="A759" s="5" t="s">
        <v>10</v>
      </c>
      <c r="B759" s="6">
        <f>AVERAGE('Daily Returns'!B2:'Daily Returns'!B753)*252</f>
        <v>0.22176283831490215</v>
      </c>
      <c r="C759" s="6">
        <f>AVERAGE('Daily Returns'!C2:'Daily Returns'!C753)*252</f>
        <v>0.11189632466241277</v>
      </c>
      <c r="D759" s="6">
        <f>AVERAGE('Daily Returns'!D2:'Daily Returns'!D753)*252</f>
        <v>9.5526675604543185E-2</v>
      </c>
      <c r="E759" s="6">
        <f>AVERAGE('Daily Returns'!E2:'Daily Returns'!E753)*252</f>
        <v>0.1001539115997083</v>
      </c>
      <c r="F759" s="6">
        <f>AVERAGE('Daily Returns'!F2:'Daily Returns'!F753)*252</f>
        <v>5.0977644375641534E-2</v>
      </c>
      <c r="G759" s="6">
        <f>AVERAGE('Daily Returns'!G2:'Daily Returns'!G753)*252</f>
        <v>0.20847815845872356</v>
      </c>
    </row>
    <row r="760" spans="1:7" x14ac:dyDescent="0.45">
      <c r="A760" s="5" t="s">
        <v>11</v>
      </c>
      <c r="B760" s="6">
        <f>STDEV('Daily Returns'!B2:'Daily Returns'!B753)*SQRT(252)</f>
        <v>0.14802291405333845</v>
      </c>
      <c r="C760" s="6">
        <f>STDEV('Daily Returns'!C2:'Daily Returns'!C753)*SQRT(252)</f>
        <v>0.17451519016463496</v>
      </c>
      <c r="D760" s="6">
        <f>STDEV('Daily Returns'!D2:'Daily Returns'!D753)*SQRT(252)</f>
        <v>0.19159261038156347</v>
      </c>
      <c r="E760" s="6">
        <f>STDEV('Daily Returns'!E2:'Daily Returns'!E753)*SQRT(252)</f>
        <v>0.19228482635230448</v>
      </c>
      <c r="F760" s="6">
        <f>STDEV('Daily Returns'!F2:'Daily Returns'!F753)*SQRT(252)</f>
        <v>6.4873094955363577E-3</v>
      </c>
      <c r="G760" s="6">
        <f>STDEV('Daily Returns'!G2:'Daily Returns'!G753)*SQRT(252)</f>
        <v>0.14857683984177433</v>
      </c>
    </row>
    <row r="762" spans="1:7" x14ac:dyDescent="0.45">
      <c r="A762" s="4" t="s">
        <v>12</v>
      </c>
      <c r="B762" s="4"/>
      <c r="C762" s="4"/>
      <c r="D762" s="4"/>
      <c r="E762" s="4"/>
      <c r="F762" s="4"/>
      <c r="G762" s="4"/>
    </row>
    <row r="763" spans="1:7" x14ac:dyDescent="0.45">
      <c r="A763" s="5" t="s">
        <v>13</v>
      </c>
      <c r="B763" s="6">
        <v>-0.1875566842009794</v>
      </c>
      <c r="C763" s="6">
        <v>-0.19325011558021271</v>
      </c>
      <c r="D763" s="6">
        <v>-0.27967549103330491</v>
      </c>
      <c r="E763" s="6">
        <v>-0.2419193602132623</v>
      </c>
      <c r="F763" s="6">
        <v>-3.7653586999603201E-3</v>
      </c>
      <c r="G763" s="6">
        <v>-0.1890191304234605</v>
      </c>
    </row>
    <row r="764" spans="1:7" x14ac:dyDescent="0.45">
      <c r="A764" s="5" t="s">
        <v>14</v>
      </c>
      <c r="B764" s="6">
        <f>-PERCENTILE('Daily Returns'!B2:'Daily Returns'!B753,0.05)</f>
        <v>1.3966772814835948E-2</v>
      </c>
      <c r="C764" s="6">
        <f>-PERCENTILE('Daily Returns'!C2:'Daily Returns'!C753,0.05)</f>
        <v>1.7581497124828278E-2</v>
      </c>
      <c r="D764" s="6">
        <f>-PERCENTILE('Daily Returns'!D2:'Daily Returns'!D753,0.05)</f>
        <v>1.9645968066150755E-2</v>
      </c>
      <c r="E764" s="6">
        <f>-PERCENTILE('Daily Returns'!E2:'Daily Returns'!E753,0.05)</f>
        <v>1.8511951923509469E-2</v>
      </c>
      <c r="F764" s="6">
        <f>-PERCENTILE('Daily Returns'!F2:'Daily Returns'!F753,0.05)</f>
        <v>4.0536811533453118E-4</v>
      </c>
      <c r="G764" s="6">
        <f>-PERCENTILE('Daily Returns'!G2:'Daily Returns'!G753,0.05)</f>
        <v>1.4434627076681738E-2</v>
      </c>
    </row>
    <row r="765" spans="1:7" x14ac:dyDescent="0.45">
      <c r="A765" s="5" t="s">
        <v>15</v>
      </c>
      <c r="B765" s="6">
        <f>-AVERAGEIF('Daily Returns'!B2:'Daily Returns'!B753,"&lt;="&amp;PERCENTILE('Daily Returns'!B2:'Daily Returns'!B753,0.05))</f>
        <v>2.0718167731259111E-2</v>
      </c>
      <c r="C765" s="6">
        <f>-AVERAGEIF('Daily Returns'!C2:'Daily Returns'!C753,"&lt;="&amp;PERCENTILE('Daily Returns'!C2:'Daily Returns'!C753,0.05))</f>
        <v>2.6375733907163908E-2</v>
      </c>
      <c r="D765" s="6">
        <f>-AVERAGEIF('Daily Returns'!D2:'Daily Returns'!D753,"&lt;="&amp;PERCENTILE('Daily Returns'!D2:'Daily Returns'!D753,0.05))</f>
        <v>2.971657390796199E-2</v>
      </c>
      <c r="E765" s="6">
        <f>-AVERAGEIF('Daily Returns'!E2:'Daily Returns'!E753,"&lt;="&amp;PERCENTILE('Daily Returns'!E2:'Daily Returns'!E753,0.05))</f>
        <v>2.8674148336494201E-2</v>
      </c>
      <c r="F765" s="6">
        <f>-AVERAGEIF('Daily Returns'!F2:'Daily Returns'!F753,"&lt;="&amp;PERCENTILE('Daily Returns'!F2:'Daily Returns'!F753,0.05))</f>
        <v>6.6143130199201796E-4</v>
      </c>
      <c r="G765" s="6">
        <f>-AVERAGEIF('Daily Returns'!G2:'Daily Returns'!G753,"&lt;="&amp;PERCENTILE('Daily Returns'!G2:'Daily Returns'!G753,0.05))</f>
        <v>2.0837332565478789E-2</v>
      </c>
    </row>
    <row r="767" spans="1:7" x14ac:dyDescent="0.45">
      <c r="A767" s="7" t="s">
        <v>16</v>
      </c>
    </row>
    <row r="769" spans="1:7" x14ac:dyDescent="0.45">
      <c r="A769" s="4" t="s">
        <v>17</v>
      </c>
      <c r="B769" s="4"/>
      <c r="C769" s="4"/>
      <c r="D769" s="4"/>
      <c r="E769" s="4"/>
      <c r="F769" s="4"/>
      <c r="G769" s="4"/>
    </row>
    <row r="770" spans="1:7" x14ac:dyDescent="0.45">
      <c r="A770" s="5" t="s">
        <v>18</v>
      </c>
      <c r="B770" s="8">
        <f>(AVERAGE('Daily Returns'!B2:'Daily Returns'!B753)*252-0.04)/(STDEV('Daily Returns'!B2:'Daily Returns'!B753)*SQRT(252))</f>
        <v>1.2279371709261573</v>
      </c>
      <c r="C770" s="8">
        <f>(AVERAGE('Daily Returns'!C2:'Daily Returns'!C753)*252-0.04)/(STDEV('Daily Returns'!C2:'Daily Returns'!C753)*SQRT(252))</f>
        <v>0.411977459352317</v>
      </c>
      <c r="D770" s="8">
        <f>(AVERAGE('Daily Returns'!D2:'Daily Returns'!D753)*252-0.04)/(STDEV('Daily Returns'!D2:'Daily Returns'!D753)*SQRT(252))</f>
        <v>0.28981637388811521</v>
      </c>
      <c r="E770" s="8">
        <f>(AVERAGE('Daily Returns'!E2:'Daily Returns'!E753)*252-0.04)/(STDEV('Daily Returns'!E2:'Daily Returns'!E753)*SQRT(252))</f>
        <v>0.31283753763021438</v>
      </c>
      <c r="F770" s="8">
        <f>(AVERAGE('Daily Returns'!F2:'Daily Returns'!F753)*252-0.04)/(STDEV('Daily Returns'!F2:'Daily Returns'!F753)*SQRT(252))</f>
        <v>1.6921721374931757</v>
      </c>
      <c r="G770" s="8">
        <f>(AVERAGE('Daily Returns'!G2:'Daily Returns'!G753)*252-0.04)/(STDEV('Daily Returns'!G2:'Daily Returns'!G753)*SQRT(252))</f>
        <v>1.1339463044047979</v>
      </c>
    </row>
    <row r="771" spans="1:7" x14ac:dyDescent="0.45">
      <c r="A771" s="5" t="s">
        <v>19</v>
      </c>
      <c r="B771" s="8">
        <f>(AVERAGE('Daily Returns'!B2:'Daily Returns'!B753)*252-0.04)/(SQRT(SUMPRODUCT((('Daily Returns'!B2:'Daily Returns'!B753-0.000158730158730158)*('Daily Returns'!B2:'Daily Returns'!B753&lt;0.000158730158730158))^2)/ROWS('Daily Returns'!B2:'Daily Returns'!B753))*SQRT(252))</f>
        <v>1.8097334034359556</v>
      </c>
      <c r="C771" s="8">
        <f>(AVERAGE('Daily Returns'!C2:'Daily Returns'!C753)*252-0.04)/(SQRT(SUMPRODUCT((('Daily Returns'!C2:'Daily Returns'!C753-0.000158730158730158)*('Daily Returns'!C2:'Daily Returns'!C753&lt;0.000158730158730158))^2)/ROWS('Daily Returns'!C2:'Daily Returns'!C753))*SQRT(252))</f>
        <v>0.58068634673456598</v>
      </c>
      <c r="D771" s="8">
        <f>(AVERAGE('Daily Returns'!D2:'Daily Returns'!D753)*252-0.04)/(SQRT(SUMPRODUCT((('Daily Returns'!D2:'Daily Returns'!D753-0.000158730158730158)*('Daily Returns'!D2:'Daily Returns'!D753&lt;0.000158730158730158))^2)/ROWS('Daily Returns'!D2:'Daily Returns'!D753))*SQRT(252))</f>
        <v>0.39275678435397404</v>
      </c>
      <c r="E771" s="8">
        <f>(AVERAGE('Daily Returns'!E2:'Daily Returns'!E753)*252-0.04)/(SQRT(SUMPRODUCT((('Daily Returns'!E2:'Daily Returns'!E753-0.000158730158730158)*('Daily Returns'!E2:'Daily Returns'!E753&lt;0.000158730158730158))^2)/ROWS('Daily Returns'!E2:'Daily Returns'!E753))*SQRT(252))</f>
        <v>0.43463226567746926</v>
      </c>
      <c r="F771" s="8">
        <f>(AVERAGE('Daily Returns'!F2:'Daily Returns'!F753)*252-0.04)/(SQRT(SUMPRODUCT((('Daily Returns'!F2:'Daily Returns'!F753-0.000158730158730158)*('Daily Returns'!F2:'Daily Returns'!F753&lt;0.000158730158730158))^2)/ROWS('Daily Returns'!F2:'Daily Returns'!F753))*SQRT(252))</f>
        <v>2.5742061807713412</v>
      </c>
      <c r="G771" s="8">
        <f>(AVERAGE('Daily Returns'!G2:'Daily Returns'!G753)*252-0.04)/(SQRT(SUMPRODUCT((('Daily Returns'!G2:'Daily Returns'!G753-0.000158730158730158)*('Daily Returns'!G2:'Daily Returns'!G753&lt;0.000158730158730158))^2)/ROWS('Daily Returns'!G2:'Daily Returns'!G753))*SQRT(252))</f>
        <v>1.6652952404856627</v>
      </c>
    </row>
    <row r="772" spans="1:7" x14ac:dyDescent="0.45">
      <c r="A772" s="5" t="s">
        <v>20</v>
      </c>
      <c r="B772" s="8">
        <f>(AVERAGE('Daily Returns'!B2:'Daily Returns'!B753)*252-0.04)/B775</f>
        <v>0.18262340649015774</v>
      </c>
      <c r="C772" s="8">
        <f>(AVERAGE('Daily Returns'!C2:'Daily Returns'!C753)*252-0.04)/C775</f>
        <v>0.10239595484126815</v>
      </c>
      <c r="D772" s="8">
        <f>(AVERAGE('Daily Returns'!D2:'Daily Returns'!D753)*252-0.04)/D775</f>
        <v>0.10421045205726279</v>
      </c>
      <c r="E772" s="8">
        <f>(AVERAGE('Daily Returns'!E2:'Daily Returns'!E753)*252-0.04)/E775</f>
        <v>9.9387328894469024E-2</v>
      </c>
      <c r="F772" s="8">
        <f>(AVERAGE('Daily Returns'!F2:'Daily Returns'!F753)*252-0.04)/F775</f>
        <v>4.5797956546763867</v>
      </c>
      <c r="G772" s="8">
        <f>(AVERAGE('Daily Returns'!G2:'Daily Returns'!G753)*252-0.04)/1</f>
        <v>0.16847815845872355</v>
      </c>
    </row>
    <row r="774" spans="1:7" x14ac:dyDescent="0.45">
      <c r="A774" s="4" t="s">
        <v>21</v>
      </c>
      <c r="B774" s="4"/>
      <c r="C774" s="4"/>
      <c r="D774" s="4"/>
      <c r="E774" s="4"/>
      <c r="F774" s="4"/>
      <c r="G774" s="4"/>
    </row>
    <row r="775" spans="1:7" x14ac:dyDescent="0.45">
      <c r="A775" s="5" t="s">
        <v>22</v>
      </c>
      <c r="B775" s="8">
        <f>SLOPE('Daily Returns'!B2:'Daily Returns'!B753,'Daily Returns'!G2:'Daily Returns'!G753)</f>
        <v>0.99528774437080725</v>
      </c>
      <c r="C775" s="8">
        <f>SLOPE('Daily Returns'!C2:'Daily Returns'!C753,'Daily Returns'!G2:'Daily Returns'!G753)</f>
        <v>0.70214028253230121</v>
      </c>
      <c r="D775" s="8">
        <f>SLOPE('Daily Returns'!D2:'Daily Returns'!D753,'Daily Returns'!G2:'Daily Returns'!G753)</f>
        <v>0.53283211528563112</v>
      </c>
      <c r="E775" s="8">
        <f>SLOPE('Daily Returns'!E2:'Daily Returns'!E753,'Daily Returns'!G2:'Daily Returns'!G753)</f>
        <v>0.60524729126768895</v>
      </c>
      <c r="F775" s="8">
        <f>SLOPE('Daily Returns'!F2:'Daily Returns'!F753,'Daily Returns'!G2:'Daily Returns'!G753)</f>
        <v>2.3969725296438421E-3</v>
      </c>
      <c r="G775" s="9" t="s">
        <v>23</v>
      </c>
    </row>
    <row r="776" spans="1:7" x14ac:dyDescent="0.45">
      <c r="A776" s="5" t="s">
        <v>24</v>
      </c>
      <c r="B776" s="6">
        <f>(AVERAGE('Daily Returns'!B2:'Daily Returns'!B753)*252-0.04)-B775*(AVERAGE('Daily Returns'!G2:'Daily Returns'!G753)*252-0.04)</f>
        <v>1.4078592006771751E-2</v>
      </c>
      <c r="C776" s="6">
        <f>(AVERAGE('Daily Returns'!C2:'Daily Returns'!C753)*252-0.04)-C775*(AVERAGE('Daily Returns'!G2:'Daily Returns'!G753)*252-0.04)</f>
        <v>-4.6398977118317183E-2</v>
      </c>
      <c r="D776" s="6">
        <f>(AVERAGE('Daily Returns'!D2:'Daily Returns'!D753)*252-0.04)-D775*(AVERAGE('Daily Returns'!G2:'Daily Returns'!G753)*252-0.04)</f>
        <v>-3.4243897946446229E-2</v>
      </c>
      <c r="E776" s="6">
        <f>(AVERAGE('Daily Returns'!E2:'Daily Returns'!E753)*252-0.04)-E775*(AVERAGE('Daily Returns'!G2:'Daily Returns'!G753)*252-0.04)</f>
        <v>-4.1817037445202605E-2</v>
      </c>
      <c r="F776" s="6">
        <f>(AVERAGE('Daily Returns'!F2:'Daily Returns'!F753)*252-0.04)-F775*(AVERAGE('Daily Returns'!G2:'Daily Returns'!G753)*252-0.04)</f>
        <v>1.0573806857970991E-2</v>
      </c>
      <c r="G776" s="9" t="s">
        <v>23</v>
      </c>
    </row>
    <row r="777" spans="1:7" x14ac:dyDescent="0.45">
      <c r="A777" s="5" t="s">
        <v>25</v>
      </c>
      <c r="B777" s="6">
        <f>AVERAGE('Daily Returns'!B2:'Daily Returns'!B753)*252-AVERAGE('Daily Returns'!G2:'Daily Returns'!G753)*252</f>
        <v>1.3284679856178594E-2</v>
      </c>
      <c r="C777" s="6">
        <f>AVERAGE('Daily Returns'!C2:'Daily Returns'!C753)*252-AVERAGE('Daily Returns'!G2:'Daily Returns'!G753)*252</f>
        <v>-9.6581833796310787E-2</v>
      </c>
      <c r="D777" s="6">
        <f>AVERAGE('Daily Returns'!D2:'Daily Returns'!D753)*252-AVERAGE('Daily Returns'!G2:'Daily Returns'!G753)*252</f>
        <v>-0.11295148285418037</v>
      </c>
      <c r="E777" s="6">
        <f>AVERAGE('Daily Returns'!E2:'Daily Returns'!E753)*252-AVERAGE('Daily Returns'!G2:'Daily Returns'!G753)*252</f>
        <v>-0.10832424685901526</v>
      </c>
      <c r="F777" s="6">
        <f>AVERAGE('Daily Returns'!F2:'Daily Returns'!F753)*252-AVERAGE('Daily Returns'!G2:'Daily Returns'!G753)*252</f>
        <v>-0.15750051408308202</v>
      </c>
      <c r="G777" s="9" t="s">
        <v>23</v>
      </c>
    </row>
    <row r="778" spans="1:7" x14ac:dyDescent="0.45">
      <c r="A778" s="5" t="s">
        <v>26</v>
      </c>
      <c r="B778" s="6">
        <f>SQRT(SUMPRODUCT(('Daily Returns'!B2:'Daily Returns'!B753-'Daily Returns'!G2:'Daily Returns'!G753-AVERAGE('Daily Returns'!B2:'Daily Returns'!B753)+AVERAGE('Daily Returns'!G2:'Daily Returns'!G753))^2)/(ROWS('Daily Returns'!B2:'Daily Returns'!B753)-1))*SQRT(252)</f>
        <v>6.6145719717574129E-3</v>
      </c>
      <c r="C778" s="6">
        <f>SQRT(SUMPRODUCT(('Daily Returns'!C2:'Daily Returns'!C753-'Daily Returns'!G2:'Daily Returns'!G753-AVERAGE('Daily Returns'!C2:'Daily Returns'!C753)+AVERAGE('Daily Returns'!G2:'Daily Returns'!G753))^2)/(ROWS('Daily Returns'!C2:'Daily Returns'!C753)-1))*SQRT(252)</f>
        <v>0.14673454555217288</v>
      </c>
      <c r="D778" s="6">
        <f>SQRT(SUMPRODUCT(('Daily Returns'!D2:'Daily Returns'!D753-'Daily Returns'!G2:'Daily Returns'!G753-AVERAGE('Daily Returns'!D2:'Daily Returns'!D753)+AVERAGE('Daily Returns'!G2:'Daily Returns'!G753))^2)/(ROWS('Daily Returns'!D2:'Daily Returns'!D753)-1))*SQRT(252)</f>
        <v>0.18777163093679053</v>
      </c>
      <c r="E778" s="6">
        <f>SQRT(SUMPRODUCT(('Daily Returns'!E2:'Daily Returns'!E753-'Daily Returns'!G2:'Daily Returns'!G753-AVERAGE('Daily Returns'!E2:'Daily Returns'!E753)+AVERAGE('Daily Returns'!G2:'Daily Returns'!G753))^2)/(ROWS('Daily Returns'!E2:'Daily Returns'!E753)-1))*SQRT(252)</f>
        <v>0.17979646897748108</v>
      </c>
      <c r="F778" s="6">
        <f>SQRT(SUMPRODUCT(('Daily Returns'!F2:'Daily Returns'!F753-'Daily Returns'!G2:'Daily Returns'!G753-AVERAGE('Daily Returns'!F2:'Daily Returns'!F753)+AVERAGE('Daily Returns'!G2:'Daily Returns'!G753))^2)/(ROWS('Daily Returns'!F2:'Daily Returns'!F753)-1))*SQRT(252)</f>
        <v>0.14836217784167324</v>
      </c>
      <c r="G778" s="9" t="s">
        <v>23</v>
      </c>
    </row>
    <row r="779" spans="1:7" x14ac:dyDescent="0.45">
      <c r="A779" s="5" t="s">
        <v>27</v>
      </c>
      <c r="B779" s="8">
        <f>B777/B778</f>
        <v>2.0083959949186272</v>
      </c>
      <c r="C779" s="8">
        <f>C777/C778</f>
        <v>-0.65820787758510613</v>
      </c>
      <c r="D779" s="8">
        <f>D777/D778</f>
        <v>-0.60153646368552427</v>
      </c>
      <c r="E779" s="8">
        <f>E777/E778</f>
        <v>-0.60248261534314396</v>
      </c>
      <c r="F779" s="8">
        <f>F777/F778</f>
        <v>-1.0615947836190494</v>
      </c>
      <c r="G779" s="9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3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7" width="1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5">
      <c r="A2" s="2">
        <f>'Adj Close Prices'!A3</f>
        <v>45077</v>
      </c>
      <c r="B2" s="6">
        <f>'Adj Close Prices'!B3/'Adj Close Prices'!B2-1</f>
        <v>-6.1696404333555499E-3</v>
      </c>
      <c r="C2" s="6">
        <f>'Adj Close Prices'!C3/'Adj Close Prices'!C2-1</f>
        <v>-7.0274068868587669E-3</v>
      </c>
      <c r="D2" s="6">
        <f>'Adj Close Prices'!D3/'Adj Close Prices'!D2-1</f>
        <v>-5.1132213294375894E-3</v>
      </c>
      <c r="E2" s="6">
        <f>'Adj Close Prices'!E3/'Adj Close Prices'!E2-1</f>
        <v>1.0752688172042113E-3</v>
      </c>
      <c r="F2" s="6">
        <f>'Adj Close Prices'!F3/'Adj Close Prices'!F2-1</f>
        <v>6.8997240110402203E-4</v>
      </c>
      <c r="G2" s="6">
        <f>'Adj Close Prices'!G3/'Adj Close Prices'!G2-1</f>
        <v>-6.1086381707852189E-3</v>
      </c>
    </row>
    <row r="3" spans="1:7" x14ac:dyDescent="0.45">
      <c r="A3" s="2">
        <f>'Adj Close Prices'!A4</f>
        <v>45078</v>
      </c>
      <c r="B3" s="6">
        <f>'Adj Close Prices'!B4/'Adj Close Prices'!B3-1</f>
        <v>1.030518238931255E-2</v>
      </c>
      <c r="C3" s="6">
        <f>'Adj Close Prices'!C4/'Adj Close Prices'!C3-1</f>
        <v>1.4861995753715496E-2</v>
      </c>
      <c r="D3" s="6">
        <f>'Adj Close Prices'!D4/'Adj Close Prices'!D3-1</f>
        <v>2.4963289280470091E-2</v>
      </c>
      <c r="E3" s="6">
        <f>'Adj Close Prices'!E4/'Adj Close Prices'!E3-1</f>
        <v>1.6111707841028888E-3</v>
      </c>
      <c r="F3" s="6">
        <f>'Adj Close Prices'!F4/'Adj Close Prices'!F3-1</f>
        <v>4.5966444495526559E-4</v>
      </c>
      <c r="G3" s="6">
        <f>'Adj Close Prices'!G4/'Adj Close Prices'!G3-1</f>
        <v>9.8544677654355262E-3</v>
      </c>
    </row>
    <row r="4" spans="1:7" x14ac:dyDescent="0.45">
      <c r="A4" s="2">
        <f>'Adj Close Prices'!A5</f>
        <v>45079</v>
      </c>
      <c r="B4" s="6">
        <f>'Adj Close Prices'!B5/'Adj Close Prices'!B4-1</f>
        <v>1.425551786855439E-2</v>
      </c>
      <c r="C4" s="6">
        <f>'Adj Close Prices'!C5/'Adj Close Prices'!C4-1</f>
        <v>3.4867503486750717E-3</v>
      </c>
      <c r="D4" s="6">
        <f>'Adj Close Prices'!D5/'Adj Close Prices'!D4-1</f>
        <v>-7.163323782236608E-4</v>
      </c>
      <c r="E4" s="6">
        <f>'Adj Close Prices'!E5/'Adj Close Prices'!E4-1</f>
        <v>1.1796246648793751E-2</v>
      </c>
      <c r="F4" s="6">
        <f>'Adj Close Prices'!F5/'Adj Close Prices'!F4-1</f>
        <v>-2.2972662531584032E-4</v>
      </c>
      <c r="G4" s="6">
        <f>'Adj Close Prices'!G5/'Adj Close Prices'!G4-1</f>
        <v>1.4534401637518846E-2</v>
      </c>
    </row>
    <row r="5" spans="1:7" x14ac:dyDescent="0.45">
      <c r="A5" s="2">
        <f>'Adj Close Prices'!A6</f>
        <v>45082</v>
      </c>
      <c r="B5" s="6">
        <f>'Adj Close Prices'!B6/'Adj Close Prices'!B5-1</f>
        <v>-1.7205447583967803E-3</v>
      </c>
      <c r="C5" s="6">
        <f>'Adj Close Prices'!C6/'Adj Close Prices'!C5-1</f>
        <v>-6.9492703266160749E-4</v>
      </c>
      <c r="D5" s="6">
        <f>'Adj Close Prices'!D6/'Adj Close Prices'!D5-1</f>
        <v>9.3189964157707195E-3</v>
      </c>
      <c r="E5" s="6">
        <f>'Adj Close Prices'!E6/'Adj Close Prices'!E5-1</f>
        <v>5.8293587705351424E-3</v>
      </c>
      <c r="F5" s="6">
        <f>'Adj Close Prices'!F6/'Adj Close Prices'!F5-1</f>
        <v>2.2977941176471894E-4</v>
      </c>
      <c r="G5" s="6">
        <f>'Adj Close Prices'!G6/'Adj Close Prices'!G5-1</f>
        <v>-2.0035634473434261E-3</v>
      </c>
    </row>
    <row r="6" spans="1:7" x14ac:dyDescent="0.45">
      <c r="A6" s="2">
        <f>'Adj Close Prices'!A7</f>
        <v>45083</v>
      </c>
      <c r="B6" s="6">
        <f>'Adj Close Prices'!B7/'Adj Close Prices'!B6-1</f>
        <v>2.1119067848038853E-3</v>
      </c>
      <c r="C6" s="6">
        <f>'Adj Close Prices'!C7/'Adj Close Prices'!C6-1</f>
        <v>0</v>
      </c>
      <c r="D6" s="6">
        <f>'Adj Close Prices'!D7/'Adj Close Prices'!D6-1</f>
        <v>-1.4204545454544748E-3</v>
      </c>
      <c r="E6" s="6">
        <f>'Adj Close Prices'!E7/'Adj Close Prices'!E6-1</f>
        <v>-1.0537407797681642E-3</v>
      </c>
      <c r="F6" s="6">
        <f>'Adj Close Prices'!F7/'Adj Close Prices'!F6-1</f>
        <v>-2.2972662531584032E-4</v>
      </c>
      <c r="G6" s="6">
        <f>'Adj Close Prices'!G7/'Adj Close Prices'!G6-1</f>
        <v>2.3538826194080542E-3</v>
      </c>
    </row>
    <row r="7" spans="1:7" x14ac:dyDescent="0.45">
      <c r="A7" s="2">
        <f>'Adj Close Prices'!A8</f>
        <v>45084</v>
      </c>
      <c r="B7" s="6">
        <f>'Adj Close Prices'!B8/'Adj Close Prices'!B7-1</f>
        <v>-3.2944140303280411E-3</v>
      </c>
      <c r="C7" s="6">
        <f>'Adj Close Prices'!C8/'Adj Close Prices'!C7-1</f>
        <v>-2.0862308762170656E-3</v>
      </c>
      <c r="D7" s="6">
        <f>'Adj Close Prices'!D8/'Adj Close Prices'!D7-1</f>
        <v>6.4011379800852364E-3</v>
      </c>
      <c r="E7" s="6">
        <f>'Adj Close Prices'!E8/'Adj Close Prices'!E7-1</f>
        <v>3.6919831223629629E-3</v>
      </c>
      <c r="F7" s="6">
        <f>'Adj Close Prices'!F8/'Adj Close Prices'!F7-1</f>
        <v>0</v>
      </c>
      <c r="G7" s="6">
        <f>'Adj Close Prices'!G8/'Adj Close Prices'!G7-1</f>
        <v>-3.8119915496573897E-3</v>
      </c>
    </row>
    <row r="8" spans="1:7" x14ac:dyDescent="0.45">
      <c r="A8" s="2">
        <f>'Adj Close Prices'!A9</f>
        <v>45085</v>
      </c>
      <c r="B8" s="6">
        <f>'Adj Close Prices'!B9/'Adj Close Prices'!B8-1</f>
        <v>5.7842803674719168E-3</v>
      </c>
      <c r="C8" s="6">
        <f>'Adj Close Prices'!C9/'Adj Close Prices'!C8-1</f>
        <v>2.090592334494934E-3</v>
      </c>
      <c r="D8" s="6">
        <f>'Adj Close Prices'!D9/'Adj Close Prices'!D8-1</f>
        <v>1.4134275618373771E-3</v>
      </c>
      <c r="E8" s="6">
        <f>'Adj Close Prices'!E9/'Adj Close Prices'!E8-1</f>
        <v>-3.6784025223332018E-3</v>
      </c>
      <c r="F8" s="6">
        <f>'Adj Close Prices'!F9/'Adj Close Prices'!F8-1</f>
        <v>4.5955882352921584E-4</v>
      </c>
      <c r="G8" s="6">
        <f>'Adj Close Prices'!G9/'Adj Close Prices'!G8-1</f>
        <v>6.1886060287941191E-3</v>
      </c>
    </row>
    <row r="9" spans="1:7" x14ac:dyDescent="0.45">
      <c r="A9" s="2">
        <f>'Adj Close Prices'!A10</f>
        <v>45086</v>
      </c>
      <c r="B9" s="6">
        <f>'Adj Close Prices'!B10/'Adj Close Prices'!B9-1</f>
        <v>2.0056060313164981E-3</v>
      </c>
      <c r="C9" s="6">
        <f>'Adj Close Prices'!C10/'Adj Close Prices'!C9-1</f>
        <v>2.0862308762168436E-3</v>
      </c>
      <c r="D9" s="6">
        <f>'Adj Close Prices'!D10/'Adj Close Prices'!D9-1</f>
        <v>0</v>
      </c>
      <c r="E9" s="6">
        <f>'Adj Close Prices'!E10/'Adj Close Prices'!E9-1</f>
        <v>-2.6371308016878148E-3</v>
      </c>
      <c r="F9" s="6">
        <f>'Adj Close Prices'!F10/'Adj Close Prices'!F9-1</f>
        <v>0</v>
      </c>
      <c r="G9" s="6">
        <f>'Adj Close Prices'!G10/'Adj Close Prices'!G9-1</f>
        <v>1.1481323635922358E-3</v>
      </c>
    </row>
    <row r="10" spans="1:7" x14ac:dyDescent="0.45">
      <c r="A10" s="2">
        <f>'Adj Close Prices'!A11</f>
        <v>45089</v>
      </c>
      <c r="B10" s="6">
        <f>'Adj Close Prices'!B11/'Adj Close Prices'!B10-1</f>
        <v>9.0674512262762796E-3</v>
      </c>
      <c r="C10" s="6">
        <f>'Adj Close Prices'!C11/'Adj Close Prices'!C10-1</f>
        <v>-3.4698126301180299E-3</v>
      </c>
      <c r="D10" s="6">
        <f>'Adj Close Prices'!D11/'Adj Close Prices'!D10-1</f>
        <v>9.1743119266054496E-3</v>
      </c>
      <c r="E10" s="6">
        <f>'Adj Close Prices'!E11/'Adj Close Prices'!E10-1</f>
        <v>4.7593865679533831E-3</v>
      </c>
      <c r="F10" s="6">
        <f>'Adj Close Prices'!F11/'Adj Close Prices'!F10-1</f>
        <v>-2.2967386311434357E-4</v>
      </c>
      <c r="G10" s="6">
        <f>'Adj Close Prices'!G11/'Adj Close Prices'!G10-1</f>
        <v>9.3210758201012212E-3</v>
      </c>
    </row>
    <row r="11" spans="1:7" x14ac:dyDescent="0.45">
      <c r="A11" s="2">
        <f>'Adj Close Prices'!A12</f>
        <v>45090</v>
      </c>
      <c r="B11" s="6">
        <f>'Adj Close Prices'!B12/'Adj Close Prices'!B11-1</f>
        <v>6.5482876466793627E-3</v>
      </c>
      <c r="C11" s="6">
        <f>'Adj Close Prices'!C12/'Adj Close Prices'!C11-1</f>
        <v>0</v>
      </c>
      <c r="D11" s="6">
        <f>'Adj Close Prices'!D12/'Adj Close Prices'!D11-1</f>
        <v>2.7972027972027469E-3</v>
      </c>
      <c r="E11" s="6">
        <f>'Adj Close Prices'!E12/'Adj Close Prices'!E11-1</f>
        <v>1.0526315789473717E-2</v>
      </c>
      <c r="F11" s="6">
        <f>'Adj Close Prices'!F12/'Adj Close Prices'!F11-1</f>
        <v>0</v>
      </c>
      <c r="G11" s="6">
        <f>'Adj Close Prices'!G12/'Adj Close Prices'!G11-1</f>
        <v>6.9325847616807934E-3</v>
      </c>
    </row>
    <row r="12" spans="1:7" x14ac:dyDescent="0.45">
      <c r="A12" s="2">
        <f>'Adj Close Prices'!A13</f>
        <v>45091</v>
      </c>
      <c r="B12" s="6">
        <f>'Adj Close Prices'!B13/'Adj Close Prices'!B12-1</f>
        <v>1.1634256950874278E-3</v>
      </c>
      <c r="C12" s="6">
        <f>'Adj Close Prices'!C13/'Adj Close Prices'!C12-1</f>
        <v>-2.0891364902506648E-3</v>
      </c>
      <c r="D12" s="6">
        <f>'Adj Close Prices'!D13/'Adj Close Prices'!D12-1</f>
        <v>-6.2761506276151069E-3</v>
      </c>
      <c r="E12" s="6">
        <f>'Adj Close Prices'!E13/'Adj Close Prices'!E12-1</f>
        <v>-9.3750000000000222E-3</v>
      </c>
      <c r="F12" s="6">
        <f>'Adj Close Prices'!F13/'Adj Close Prices'!F12-1</f>
        <v>-2.2972662531584032E-4</v>
      </c>
      <c r="G12" s="6">
        <f>'Adj Close Prices'!G13/'Adj Close Prices'!G12-1</f>
        <v>8.1940760034870941E-4</v>
      </c>
    </row>
    <row r="13" spans="1:7" x14ac:dyDescent="0.45">
      <c r="A13" s="2">
        <f>'Adj Close Prices'!A14</f>
        <v>45092</v>
      </c>
      <c r="B13" s="6">
        <f>'Adj Close Prices'!B14/'Adj Close Prices'!B13-1</f>
        <v>1.2355926575914111E-2</v>
      </c>
      <c r="C13" s="6">
        <f>'Adj Close Prices'!C14/'Adj Close Prices'!C13-1</f>
        <v>6.2805303558968184E-3</v>
      </c>
      <c r="D13" s="6">
        <f>'Adj Close Prices'!D14/'Adj Close Prices'!D13-1</f>
        <v>-2.1052631578947212E-3</v>
      </c>
      <c r="E13" s="6">
        <f>'Adj Close Prices'!E14/'Adj Close Prices'!E13-1</f>
        <v>-1.051524710830698E-3</v>
      </c>
      <c r="F13" s="6">
        <f>'Adj Close Prices'!F14/'Adj Close Prices'!F13-1</f>
        <v>6.8933823529393479E-4</v>
      </c>
      <c r="G13" s="6">
        <f>'Adj Close Prices'!G14/'Adj Close Prices'!G13-1</f>
        <v>1.2178136985173449E-2</v>
      </c>
    </row>
    <row r="14" spans="1:7" x14ac:dyDescent="0.45">
      <c r="A14" s="2">
        <f>'Adj Close Prices'!A15</f>
        <v>45093</v>
      </c>
      <c r="B14" s="6">
        <f>'Adj Close Prices'!B15/'Adj Close Prices'!B14-1</f>
        <v>-3.560803054794115E-3</v>
      </c>
      <c r="C14" s="6">
        <f>'Adj Close Prices'!C15/'Adj Close Prices'!C14-1</f>
        <v>1.3869625520110951E-3</v>
      </c>
      <c r="D14" s="6">
        <f>'Adj Close Prices'!D15/'Adj Close Prices'!D14-1</f>
        <v>9.1420534458508396E-3</v>
      </c>
      <c r="E14" s="6">
        <f>'Adj Close Prices'!E15/'Adj Close Prices'!E14-1</f>
        <v>-8.9473684210527038E-3</v>
      </c>
      <c r="F14" s="6">
        <f>'Adj Close Prices'!F15/'Adj Close Prices'!F14-1</f>
        <v>2.2962112514357536E-4</v>
      </c>
      <c r="G14" s="6">
        <f>'Adj Close Prices'!G15/'Adj Close Prices'!G14-1</f>
        <v>-3.6716193988033385E-3</v>
      </c>
    </row>
    <row r="15" spans="1:7" x14ac:dyDescent="0.45">
      <c r="A15" s="2">
        <f>'Adj Close Prices'!A16</f>
        <v>45097</v>
      </c>
      <c r="B15" s="6">
        <f>'Adj Close Prices'!B16/'Adj Close Prices'!B15-1</f>
        <v>-4.7490302104150617E-3</v>
      </c>
      <c r="C15" s="6">
        <f>'Adj Close Prices'!C16/'Adj Close Prices'!C15-1</f>
        <v>-7.6177285318559385E-3</v>
      </c>
      <c r="D15" s="6">
        <f>'Adj Close Prices'!D16/'Adj Close Prices'!D15-1</f>
        <v>-2.7874564459929863E-3</v>
      </c>
      <c r="E15" s="6">
        <f>'Adj Close Prices'!E16/'Adj Close Prices'!E15-1</f>
        <v>1.4338821030271065E-2</v>
      </c>
      <c r="F15" s="6">
        <f>'Adj Close Prices'!F16/'Adj Close Prices'!F15-1</f>
        <v>2.2956841138643824E-4</v>
      </c>
      <c r="G15" s="6">
        <f>'Adj Close Prices'!G16/'Adj Close Prices'!G15-1</f>
        <v>-4.7351341054383544E-3</v>
      </c>
    </row>
    <row r="16" spans="1:7" x14ac:dyDescent="0.45">
      <c r="A16" s="2">
        <f>'Adj Close Prices'!A17</f>
        <v>45098</v>
      </c>
      <c r="B16" s="6">
        <f>'Adj Close Prices'!B17/'Adj Close Prices'!B16-1</f>
        <v>-5.267758013842494E-3</v>
      </c>
      <c r="C16" s="6">
        <f>'Adj Close Prices'!C17/'Adj Close Prices'!C16-1</f>
        <v>2.791346824842833E-3</v>
      </c>
      <c r="D16" s="6">
        <f>'Adj Close Prices'!D17/'Adj Close Prices'!D16-1</f>
        <v>0</v>
      </c>
      <c r="E16" s="6">
        <f>'Adj Close Prices'!E17/'Adj Close Prices'!E16-1</f>
        <v>2.6701570680628173E-2</v>
      </c>
      <c r="F16" s="6">
        <f>'Adj Close Prices'!F17/'Adj Close Prices'!F16-1</f>
        <v>0</v>
      </c>
      <c r="G16" s="6">
        <f>'Adj Close Prices'!G17/'Adj Close Prices'!G16-1</f>
        <v>-5.245277085977551E-3</v>
      </c>
    </row>
    <row r="17" spans="1:7" x14ac:dyDescent="0.45">
      <c r="A17" s="2">
        <f>'Adj Close Prices'!A18</f>
        <v>45099</v>
      </c>
      <c r="B17" s="6">
        <f>'Adj Close Prices'!B18/'Adj Close Prices'!B17-1</f>
        <v>3.60959392068394E-3</v>
      </c>
      <c r="C17" s="6">
        <f>'Adj Close Prices'!C18/'Adj Close Prices'!C17-1</f>
        <v>-2.2268615170493944E-2</v>
      </c>
      <c r="D17" s="6">
        <f>'Adj Close Prices'!D18/'Adj Close Prices'!D17-1</f>
        <v>-1.6771488469601636E-2</v>
      </c>
      <c r="E17" s="6">
        <f>'Adj Close Prices'!E18/'Adj Close Prices'!E17-1</f>
        <v>-1.5298317185110655E-3</v>
      </c>
      <c r="F17" s="6">
        <f>'Adj Close Prices'!F18/'Adj Close Prices'!F17-1</f>
        <v>2.29515721826834E-4</v>
      </c>
      <c r="G17" s="6">
        <f>'Adj Close Prices'!G18/'Adj Close Prices'!G17-1</f>
        <v>3.7107536265745811E-3</v>
      </c>
    </row>
    <row r="18" spans="1:7" x14ac:dyDescent="0.45">
      <c r="A18" s="2">
        <f>'Adj Close Prices'!A19</f>
        <v>45100</v>
      </c>
      <c r="B18" s="6">
        <f>'Adj Close Prices'!B19/'Adj Close Prices'!B18-1</f>
        <v>-7.6191377596895871E-3</v>
      </c>
      <c r="C18" s="6">
        <f>'Adj Close Prices'!C19/'Adj Close Prices'!C18-1</f>
        <v>-8.5409252669039759E-3</v>
      </c>
      <c r="D18" s="6">
        <f>'Adj Close Prices'!D19/'Adj Close Prices'!D18-1</f>
        <v>-1.2793176972281439E-2</v>
      </c>
      <c r="E18" s="6">
        <f>'Adj Close Prices'!E19/'Adj Close Prices'!E18-1</f>
        <v>3.5750766087845331E-3</v>
      </c>
      <c r="F18" s="6">
        <f>'Adj Close Prices'!F19/'Adj Close Prices'!F18-1</f>
        <v>2.2946305644810927E-4</v>
      </c>
      <c r="G18" s="6">
        <f>'Adj Close Prices'!G19/'Adj Close Prices'!G18-1</f>
        <v>-7.6587956338476371E-3</v>
      </c>
    </row>
    <row r="19" spans="1:7" x14ac:dyDescent="0.45">
      <c r="A19" s="2">
        <f>'Adj Close Prices'!A20</f>
        <v>45103</v>
      </c>
      <c r="B19" s="6">
        <f>'Adj Close Prices'!B20/'Adj Close Prices'!B19-1</f>
        <v>-4.2203147353361281E-3</v>
      </c>
      <c r="C19" s="6">
        <f>'Adj Close Prices'!C20/'Adj Close Prices'!C19-1</f>
        <v>1.4357501794687755E-2</v>
      </c>
      <c r="D19" s="6">
        <f>'Adj Close Prices'!D20/'Adj Close Prices'!D19-1</f>
        <v>7.9193664506838068E-3</v>
      </c>
      <c r="E19" s="6">
        <f>'Adj Close Prices'!E20/'Adj Close Prices'!E19-1</f>
        <v>7.1246819338421918E-3</v>
      </c>
      <c r="F19" s="6">
        <f>'Adj Close Prices'!F20/'Adj Close Prices'!F19-1</f>
        <v>4.5882083046566713E-4</v>
      </c>
      <c r="G19" s="6">
        <f>'Adj Close Prices'!G20/'Adj Close Prices'!G19-1</f>
        <v>-4.4867799822001508E-3</v>
      </c>
    </row>
    <row r="20" spans="1:7" x14ac:dyDescent="0.45">
      <c r="A20" s="2">
        <f>'Adj Close Prices'!A21</f>
        <v>45104</v>
      </c>
      <c r="B20" s="6">
        <f>'Adj Close Prices'!B21/'Adj Close Prices'!B20-1</f>
        <v>1.1086368316452377E-2</v>
      </c>
      <c r="C20" s="6">
        <f>'Adj Close Prices'!C21/'Adj Close Prices'!C20-1</f>
        <v>0</v>
      </c>
      <c r="D20" s="6">
        <f>'Adj Close Prices'!D21/'Adj Close Prices'!D20-1</f>
        <v>2.8571428571428914E-3</v>
      </c>
      <c r="E20" s="6">
        <f>'Adj Close Prices'!E21/'Adj Close Prices'!E20-1</f>
        <v>5.5583628094997284E-3</v>
      </c>
      <c r="F20" s="6">
        <f>'Adj Close Prices'!F21/'Adj Close Prices'!F20-1</f>
        <v>-2.2930520522812525E-4</v>
      </c>
      <c r="G20" s="6">
        <f>'Adj Close Prices'!G21/'Adj Close Prices'!G20-1</f>
        <v>1.1455777787018118E-2</v>
      </c>
    </row>
    <row r="21" spans="1:7" x14ac:dyDescent="0.45">
      <c r="A21" s="2">
        <f>'Adj Close Prices'!A22</f>
        <v>45105</v>
      </c>
      <c r="B21" s="6">
        <f>'Adj Close Prices'!B22/'Adj Close Prices'!B21-1</f>
        <v>3.0786719083031322E-4</v>
      </c>
      <c r="C21" s="6">
        <f>'Adj Close Prices'!C22/'Adj Close Prices'!C21-1</f>
        <v>1.9108280254777066E-2</v>
      </c>
      <c r="D21" s="6">
        <f>'Adj Close Prices'!D22/'Adj Close Prices'!D21-1</f>
        <v>6.4102564102566095E-3</v>
      </c>
      <c r="E21" s="6">
        <f>'Adj Close Prices'!E22/'Adj Close Prices'!E21-1</f>
        <v>4.5226130653266416E-3</v>
      </c>
      <c r="F21" s="6">
        <f>'Adj Close Prices'!F22/'Adj Close Prices'!F21-1</f>
        <v>2.2935779816513069E-4</v>
      </c>
      <c r="G21" s="6">
        <f>'Adj Close Prices'!G22/'Adj Close Prices'!G21-1</f>
        <v>-3.5400978894173374E-4</v>
      </c>
    </row>
    <row r="22" spans="1:7" x14ac:dyDescent="0.45">
      <c r="A22" s="2">
        <f>'Adj Close Prices'!A23</f>
        <v>45106</v>
      </c>
      <c r="B22" s="6">
        <f>'Adj Close Prices'!B23/'Adj Close Prices'!B22-1</f>
        <v>4.0010416913278668E-3</v>
      </c>
      <c r="C22" s="6">
        <f>'Adj Close Prices'!C23/'Adj Close Prices'!C22-1</f>
        <v>9.7222222222221877E-3</v>
      </c>
      <c r="D22" s="6">
        <f>'Adj Close Prices'!D23/'Adj Close Prices'!D22-1</f>
        <v>1.4861995753715496E-2</v>
      </c>
      <c r="E22" s="6">
        <f>'Adj Close Prices'!E23/'Adj Close Prices'!E22-1</f>
        <v>1.4507253626813599E-2</v>
      </c>
      <c r="F22" s="6">
        <f>'Adj Close Prices'!F23/'Adj Close Prices'!F22-1</f>
        <v>-2.2930520522812525E-4</v>
      </c>
      <c r="G22" s="6">
        <f>'Adj Close Prices'!G23/'Adj Close Prices'!G22-1</f>
        <v>4.4735266835127518E-3</v>
      </c>
    </row>
    <row r="23" spans="1:7" x14ac:dyDescent="0.45">
      <c r="A23" s="2">
        <f>'Adj Close Prices'!A24</f>
        <v>45107</v>
      </c>
      <c r="B23" s="6">
        <f>'Adj Close Prices'!B24/'Adj Close Prices'!B23-1</f>
        <v>1.2261837389171859E-2</v>
      </c>
      <c r="C23" s="6">
        <f>'Adj Close Prices'!C24/'Adj Close Prices'!C23-1</f>
        <v>-6.8775790921593583E-4</v>
      </c>
      <c r="D23" s="6">
        <f>'Adj Close Prices'!D24/'Adj Close Prices'!D23-1</f>
        <v>-6.9735006973503655E-4</v>
      </c>
      <c r="E23" s="6">
        <f>'Adj Close Prices'!E24/'Adj Close Prices'!E23-1</f>
        <v>5.9171597633134176E-3</v>
      </c>
      <c r="F23" s="6">
        <f>'Adj Close Prices'!F24/'Adj Close Prices'!F23-1</f>
        <v>2.2935779816513069E-4</v>
      </c>
      <c r="G23" s="6">
        <f>'Adj Close Prices'!G24/'Adj Close Prices'!G23-1</f>
        <v>1.2269017659743087E-2</v>
      </c>
    </row>
    <row r="24" spans="1:7" x14ac:dyDescent="0.45">
      <c r="A24" s="2">
        <f>'Adj Close Prices'!A25</f>
        <v>45110</v>
      </c>
      <c r="B24" s="6">
        <f>'Adj Close Prices'!B25/'Adj Close Prices'!B24-1</f>
        <v>1.4209839731644802E-3</v>
      </c>
      <c r="C24" s="6">
        <f>'Adj Close Prices'!C25/'Adj Close Prices'!C24-1</f>
        <v>4.8176187198898379E-3</v>
      </c>
      <c r="D24" s="6">
        <f>'Adj Close Prices'!D25/'Adj Close Prices'!D24-1</f>
        <v>1.3956734124214165E-3</v>
      </c>
      <c r="E24" s="6">
        <f>'Adj Close Prices'!E25/'Adj Close Prices'!E24-1</f>
        <v>-1.0784313725490158E-2</v>
      </c>
      <c r="F24" s="6">
        <f>'Adj Close Prices'!F25/'Adj Close Prices'!F24-1</f>
        <v>0</v>
      </c>
      <c r="G24" s="6">
        <f>'Adj Close Prices'!G25/'Adj Close Prices'!G24-1</f>
        <v>1.1706865481149187E-3</v>
      </c>
    </row>
    <row r="25" spans="1:7" x14ac:dyDescent="0.45">
      <c r="A25" s="2">
        <f>'Adj Close Prices'!A26</f>
        <v>45112</v>
      </c>
      <c r="B25" s="6">
        <f>'Adj Close Prices'!B26/'Adj Close Prices'!B25-1</f>
        <v>-1.7213705831724546E-3</v>
      </c>
      <c r="C25" s="6">
        <f>'Adj Close Prices'!C26/'Adj Close Prices'!C25-1</f>
        <v>-1.369863013698569E-3</v>
      </c>
      <c r="D25" s="6">
        <f>'Adj Close Prices'!D26/'Adj Close Prices'!D25-1</f>
        <v>6.968641114981633E-4</v>
      </c>
      <c r="E25" s="6">
        <f>'Adj Close Prices'!E26/'Adj Close Prices'!E25-1</f>
        <v>-1.982160555004886E-3</v>
      </c>
      <c r="F25" s="6">
        <f>'Adj Close Prices'!F26/'Adj Close Prices'!F25-1</f>
        <v>4.5861041045647255E-4</v>
      </c>
      <c r="G25" s="6">
        <f>'Adj Close Prices'!G26/'Adj Close Prices'!G25-1</f>
        <v>-1.9683139606652134E-3</v>
      </c>
    </row>
    <row r="26" spans="1:7" x14ac:dyDescent="0.45">
      <c r="A26" s="2">
        <f>'Adj Close Prices'!A27</f>
        <v>45113</v>
      </c>
      <c r="B26" s="6">
        <f>'Adj Close Prices'!B27/'Adj Close Prices'!B26-1</f>
        <v>-8.1789584061516818E-3</v>
      </c>
      <c r="C26" s="6">
        <f>'Adj Close Prices'!C27/'Adj Close Prices'!C26-1</f>
        <v>6.1728395061728669E-3</v>
      </c>
      <c r="D26" s="6">
        <f>'Adj Close Prices'!D27/'Adj Close Prices'!D26-1</f>
        <v>-6.9637883008355494E-4</v>
      </c>
      <c r="E26" s="6">
        <f>'Adj Close Prices'!E27/'Adj Close Prices'!E26-1</f>
        <v>-4.9652432969227167E-4</v>
      </c>
      <c r="F26" s="6">
        <f>'Adj Close Prices'!F27/'Adj Close Prices'!F26-1</f>
        <v>-2.2920009168014843E-4</v>
      </c>
      <c r="G26" s="6">
        <f>'Adj Close Prices'!G27/'Adj Close Prices'!G26-1</f>
        <v>-7.9225154155103672E-3</v>
      </c>
    </row>
    <row r="27" spans="1:7" x14ac:dyDescent="0.45">
      <c r="A27" s="2">
        <f>'Adj Close Prices'!A28</f>
        <v>45114</v>
      </c>
      <c r="B27" s="6">
        <f>'Adj Close Prices'!B28/'Adj Close Prices'!B27-1</f>
        <v>-2.5608495442157597E-3</v>
      </c>
      <c r="C27" s="6">
        <f>'Adj Close Prices'!C28/'Adj Close Prices'!C27-1</f>
        <v>5.4533060668029432E-3</v>
      </c>
      <c r="D27" s="6">
        <f>'Adj Close Prices'!D28/'Adj Close Prices'!D27-1</f>
        <v>5.5749128919859725E-3</v>
      </c>
      <c r="E27" s="6">
        <f>'Adj Close Prices'!E28/'Adj Close Prices'!E27-1</f>
        <v>-4.967709885741467E-4</v>
      </c>
      <c r="F27" s="6">
        <f>'Adj Close Prices'!F28/'Adj Close Prices'!F27-1</f>
        <v>4.5850527281077191E-4</v>
      </c>
      <c r="G27" s="6">
        <f>'Adj Close Prices'!G28/'Adj Close Prices'!G27-1</f>
        <v>-2.8651801277997935E-3</v>
      </c>
    </row>
    <row r="28" spans="1:7" x14ac:dyDescent="0.45">
      <c r="A28" s="2">
        <f>'Adj Close Prices'!A29</f>
        <v>45117</v>
      </c>
      <c r="B28" s="6">
        <f>'Adj Close Prices'!B29/'Adj Close Prices'!B28-1</f>
        <v>2.6380873866447274E-3</v>
      </c>
      <c r="C28" s="6">
        <f>'Adj Close Prices'!C29/'Adj Close Prices'!C28-1</f>
        <v>-6.7796610169490457E-4</v>
      </c>
      <c r="D28" s="6">
        <f>'Adj Close Prices'!D29/'Adj Close Prices'!D28-1</f>
        <v>3.4650034650034467E-3</v>
      </c>
      <c r="E28" s="6">
        <f>'Adj Close Prices'!E29/'Adj Close Prices'!E28-1</f>
        <v>-1.1928429423459397E-2</v>
      </c>
      <c r="F28" s="6">
        <f>'Adj Close Prices'!F29/'Adj Close Prices'!F28-1</f>
        <v>6.8744271310716698E-4</v>
      </c>
      <c r="G28" s="6">
        <f>'Adj Close Prices'!G29/'Adj Close Prices'!G28-1</f>
        <v>2.4051194034939716E-3</v>
      </c>
    </row>
    <row r="29" spans="1:7" x14ac:dyDescent="0.45">
      <c r="A29" s="2">
        <f>'Adj Close Prices'!A30</f>
        <v>45118</v>
      </c>
      <c r="B29" s="6">
        <f>'Adj Close Prices'!B30/'Adj Close Prices'!B29-1</f>
        <v>6.7423121197172087E-3</v>
      </c>
      <c r="C29" s="6">
        <f>'Adj Close Prices'!C30/'Adj Close Prices'!C29-1</f>
        <v>2.7137042062415073E-3</v>
      </c>
      <c r="D29" s="6">
        <f>'Adj Close Prices'!D30/'Adj Close Prices'!D29-1</f>
        <v>0</v>
      </c>
      <c r="E29" s="6">
        <f>'Adj Close Prices'!E30/'Adj Close Prices'!E29-1</f>
        <v>1.4084507042253502E-2</v>
      </c>
      <c r="F29" s="6">
        <f>'Adj Close Prices'!F30/'Adj Close Prices'!F29-1</f>
        <v>2.2899015342336959E-4</v>
      </c>
      <c r="G29" s="6">
        <f>'Adj Close Prices'!G30/'Adj Close Prices'!G29-1</f>
        <v>6.7422151567175792E-3</v>
      </c>
    </row>
    <row r="30" spans="1:7" x14ac:dyDescent="0.45">
      <c r="A30" s="2">
        <f>'Adj Close Prices'!A31</f>
        <v>45119</v>
      </c>
      <c r="B30" s="6">
        <f>'Adj Close Prices'!B31/'Adj Close Prices'!B30-1</f>
        <v>7.4905493069490348E-3</v>
      </c>
      <c r="C30" s="6">
        <f>'Adj Close Prices'!C31/'Adj Close Prices'!C30-1</f>
        <v>8.1190798376185036E-3</v>
      </c>
      <c r="D30" s="6">
        <f>'Adj Close Prices'!D31/'Adj Close Prices'!D30-1</f>
        <v>2.7624309392264568E-3</v>
      </c>
      <c r="E30" s="6">
        <f>'Adj Close Prices'!E31/'Adj Close Prices'!E30-1</f>
        <v>1.4880952380952328E-2</v>
      </c>
      <c r="F30" s="6">
        <f>'Adj Close Prices'!F31/'Adj Close Prices'!F30-1</f>
        <v>9.157509157509125E-4</v>
      </c>
      <c r="G30" s="6">
        <f>'Adj Close Prices'!G31/'Adj Close Prices'!G30-1</f>
        <v>7.4111451007599083E-3</v>
      </c>
    </row>
    <row r="31" spans="1:7" x14ac:dyDescent="0.45">
      <c r="A31" s="2">
        <f>'Adj Close Prices'!A32</f>
        <v>45120</v>
      </c>
      <c r="B31" s="6">
        <f>'Adj Close Prices'!B32/'Adj Close Prices'!B31-1</f>
        <v>8.5234510712217659E-3</v>
      </c>
      <c r="C31" s="6">
        <f>'Adj Close Prices'!C32/'Adj Close Prices'!C31-1</f>
        <v>2.6845637583892135E-3</v>
      </c>
      <c r="D31" s="6">
        <f>'Adj Close Prices'!D32/'Adj Close Prices'!D31-1</f>
        <v>1.2396694214876103E-2</v>
      </c>
      <c r="E31" s="6">
        <f>'Adj Close Prices'!E32/'Adj Close Prices'!E31-1</f>
        <v>-4.8875855327469298E-3</v>
      </c>
      <c r="F31" s="6">
        <f>'Adj Close Prices'!F32/'Adj Close Prices'!F31-1</f>
        <v>6.8618481244286933E-4</v>
      </c>
      <c r="G31" s="6">
        <f>'Adj Close Prices'!G32/'Adj Close Prices'!G31-1</f>
        <v>8.4701799577833192E-3</v>
      </c>
    </row>
    <row r="32" spans="1:7" x14ac:dyDescent="0.45">
      <c r="A32" s="2">
        <f>'Adj Close Prices'!A33</f>
        <v>45121</v>
      </c>
      <c r="B32" s="6">
        <f>'Adj Close Prices'!B33/'Adj Close Prices'!B32-1</f>
        <v>-9.8752956847258933E-4</v>
      </c>
      <c r="C32" s="6">
        <f>'Adj Close Prices'!C33/'Adj Close Prices'!C32-1</f>
        <v>-6.6934404283801596E-3</v>
      </c>
      <c r="D32" s="6">
        <f>'Adj Close Prices'!D33/'Adj Close Prices'!D32-1</f>
        <v>0</v>
      </c>
      <c r="E32" s="6">
        <f>'Adj Close Prices'!E33/'Adj Close Prices'!E32-1</f>
        <v>1.3261296660117772E-2</v>
      </c>
      <c r="F32" s="6">
        <f>'Adj Close Prices'!F33/'Adj Close Prices'!F32-1</f>
        <v>-2.2857142857135582E-4</v>
      </c>
      <c r="G32" s="6">
        <f>'Adj Close Prices'!G33/'Adj Close Prices'!G32-1</f>
        <v>-1.0243811584819129E-3</v>
      </c>
    </row>
    <row r="33" spans="1:7" x14ac:dyDescent="0.45">
      <c r="A33" s="2">
        <f>'Adj Close Prices'!A34</f>
        <v>45124</v>
      </c>
      <c r="B33" s="6">
        <f>'Adj Close Prices'!B34/'Adj Close Prices'!B33-1</f>
        <v>3.7241379310344325E-3</v>
      </c>
      <c r="C33" s="6">
        <f>'Adj Close Prices'!C34/'Adj Close Prices'!C33-1</f>
        <v>7.4123989218328745E-3</v>
      </c>
      <c r="D33" s="6">
        <f>'Adj Close Prices'!D34/'Adj Close Prices'!D33-1</f>
        <v>1.4285714285714235E-2</v>
      </c>
      <c r="E33" s="6">
        <f>'Adj Close Prices'!E34/'Adj Close Prices'!E33-1</f>
        <v>-2.4236548715462769E-3</v>
      </c>
      <c r="F33" s="6">
        <f>'Adj Close Prices'!F34/'Adj Close Prices'!F33-1</f>
        <v>0</v>
      </c>
      <c r="G33" s="6">
        <f>'Adj Close Prices'!G34/'Adj Close Prices'!G33-1</f>
        <v>3.8553564373575711E-3</v>
      </c>
    </row>
    <row r="34" spans="1:7" x14ac:dyDescent="0.45">
      <c r="A34" s="2">
        <f>'Adj Close Prices'!A35</f>
        <v>45125</v>
      </c>
      <c r="B34" s="6">
        <f>'Adj Close Prices'!B35/'Adj Close Prices'!B34-1</f>
        <v>7.2374146855387345E-3</v>
      </c>
      <c r="C34" s="6">
        <f>'Adj Close Prices'!C35/'Adj Close Prices'!C34-1</f>
        <v>1.4715719063545185E-2</v>
      </c>
      <c r="D34" s="6">
        <f>'Adj Close Prices'!D35/'Adj Close Prices'!D34-1</f>
        <v>1.4084507042253502E-2</v>
      </c>
      <c r="E34" s="6">
        <f>'Adj Close Prices'!E35/'Adj Close Prices'!E34-1</f>
        <v>8.7463556851312685E-3</v>
      </c>
      <c r="F34" s="6">
        <f>'Adj Close Prices'!F35/'Adj Close Prices'!F34-1</f>
        <v>4.5724737082752931E-4</v>
      </c>
      <c r="G34" s="6">
        <f>'Adj Close Prices'!G35/'Adj Close Prices'!G34-1</f>
        <v>7.1172882225352119E-3</v>
      </c>
    </row>
    <row r="35" spans="1:7" x14ac:dyDescent="0.45">
      <c r="A35" s="2">
        <f>'Adj Close Prices'!A36</f>
        <v>45126</v>
      </c>
      <c r="B35" s="6">
        <f>'Adj Close Prices'!B36/'Adj Close Prices'!B35-1</f>
        <v>1.8418300059119819E-3</v>
      </c>
      <c r="C35" s="6">
        <f>'Adj Close Prices'!C36/'Adj Close Prices'!C35-1</f>
        <v>0</v>
      </c>
      <c r="D35" s="6">
        <f>'Adj Close Prices'!D36/'Adj Close Prices'!D35-1</f>
        <v>-1.322751322751281E-3</v>
      </c>
      <c r="E35" s="6">
        <f>'Adj Close Prices'!E36/'Adj Close Prices'!E35-1</f>
        <v>-1.1560693641618602E-2</v>
      </c>
      <c r="F35" s="6">
        <f>'Adj Close Prices'!F36/'Adj Close Prices'!F35-1</f>
        <v>4.5703839122501755E-4</v>
      </c>
      <c r="G35" s="6">
        <f>'Adj Close Prices'!G36/'Adj Close Prices'!G35-1</f>
        <v>2.3578588709500803E-3</v>
      </c>
    </row>
    <row r="36" spans="1:7" x14ac:dyDescent="0.45">
      <c r="A36" s="2">
        <f>'Adj Close Prices'!A37</f>
        <v>45127</v>
      </c>
      <c r="B36" s="6">
        <f>'Adj Close Prices'!B37/'Adj Close Prices'!B36-1</f>
        <v>-6.2189337025351232E-3</v>
      </c>
      <c r="C36" s="6">
        <f>'Adj Close Prices'!C37/'Adj Close Prices'!C36-1</f>
        <v>-7.9103493737640029E-3</v>
      </c>
      <c r="D36" s="6">
        <f>'Adj Close Prices'!D37/'Adj Close Prices'!D36-1</f>
        <v>-5.9602649006622599E-3</v>
      </c>
      <c r="E36" s="6">
        <f>'Adj Close Prices'!E37/'Adj Close Prices'!E36-1</f>
        <v>3.8986354775829568E-3</v>
      </c>
      <c r="F36" s="6">
        <f>'Adj Close Prices'!F37/'Adj Close Prices'!F36-1</f>
        <v>-2.2841480127910874E-4</v>
      </c>
      <c r="G36" s="6">
        <f>'Adj Close Prices'!G37/'Adj Close Prices'!G36-1</f>
        <v>-6.7568751478409572E-3</v>
      </c>
    </row>
    <row r="37" spans="1:7" x14ac:dyDescent="0.45">
      <c r="A37" s="2">
        <f>'Adj Close Prices'!A38</f>
        <v>45128</v>
      </c>
      <c r="B37" s="6">
        <f>'Adj Close Prices'!B38/'Adj Close Prices'!B37-1</f>
        <v>-2.2838871759800483E-5</v>
      </c>
      <c r="C37" s="6">
        <f>'Adj Close Prices'!C38/'Adj Close Prices'!C37-1</f>
        <v>2.6578073089700283E-3</v>
      </c>
      <c r="D37" s="6">
        <f>'Adj Close Prices'!D38/'Adj Close Prices'!D37-1</f>
        <v>3.3311125916055673E-3</v>
      </c>
      <c r="E37" s="6">
        <f>'Adj Close Prices'!E38/'Adj Close Prices'!E37-1</f>
        <v>8.2524271844659491E-3</v>
      </c>
      <c r="F37" s="6">
        <f>'Adj Close Prices'!F38/'Adj Close Prices'!F37-1</f>
        <v>-2.2846698652057018E-4</v>
      </c>
      <c r="G37" s="6">
        <f>'Adj Close Prices'!G38/'Adj Close Prices'!G37-1</f>
        <v>3.2415482692993436E-4</v>
      </c>
    </row>
    <row r="38" spans="1:7" x14ac:dyDescent="0.45">
      <c r="A38" s="2">
        <f>'Adj Close Prices'!A39</f>
        <v>45131</v>
      </c>
      <c r="B38" s="6">
        <f>'Adj Close Prices'!B39/'Adj Close Prices'!B38-1</f>
        <v>4.4080029234423446E-3</v>
      </c>
      <c r="C38" s="6">
        <f>'Adj Close Prices'!C39/'Adj Close Prices'!C38-1</f>
        <v>5.3015241882041764E-3</v>
      </c>
      <c r="D38" s="6">
        <f>'Adj Close Prices'!D39/'Adj Close Prices'!D38-1</f>
        <v>7.3041168658698474E-3</v>
      </c>
      <c r="E38" s="6">
        <f>'Adj Close Prices'!E39/'Adj Close Prices'!E38-1</f>
        <v>9.6292729898892482E-3</v>
      </c>
      <c r="F38" s="6">
        <f>'Adj Close Prices'!F39/'Adj Close Prices'!F38-1</f>
        <v>4.5703839122501755E-4</v>
      </c>
      <c r="G38" s="6">
        <f>'Adj Close Prices'!G39/'Adj Close Prices'!G38-1</f>
        <v>4.0340891555747938E-3</v>
      </c>
    </row>
    <row r="39" spans="1:7" x14ac:dyDescent="0.45">
      <c r="A39" s="2">
        <f>'Adj Close Prices'!A40</f>
        <v>45132</v>
      </c>
      <c r="B39" s="6">
        <f>'Adj Close Prices'!B40/'Adj Close Prices'!B39-1</f>
        <v>2.705959933601676E-3</v>
      </c>
      <c r="C39" s="6">
        <f>'Adj Close Prices'!C40/'Adj Close Prices'!C39-1</f>
        <v>-1.0547132498352041E-2</v>
      </c>
      <c r="D39" s="6">
        <f>'Adj Close Prices'!D40/'Adj Close Prices'!D39-1</f>
        <v>-5.2735662491759649E-3</v>
      </c>
      <c r="E39" s="6">
        <f>'Adj Close Prices'!E40/'Adj Close Prices'!E39-1</f>
        <v>-7.1530758226036051E-3</v>
      </c>
      <c r="F39" s="6">
        <f>'Adj Close Prices'!F40/'Adj Close Prices'!F39-1</f>
        <v>2.2841480127899771E-4</v>
      </c>
      <c r="G39" s="6">
        <f>'Adj Close Prices'!G40/'Adj Close Prices'!G39-1</f>
        <v>2.8147120299297779E-3</v>
      </c>
    </row>
    <row r="40" spans="1:7" x14ac:dyDescent="0.45">
      <c r="A40" s="2">
        <f>'Adj Close Prices'!A41</f>
        <v>45133</v>
      </c>
      <c r="B40" s="6">
        <f>'Adj Close Prices'!B41/'Adj Close Prices'!B40-1</f>
        <v>9.0711175616986495E-5</v>
      </c>
      <c r="C40" s="6">
        <f>'Adj Close Prices'!C41/'Adj Close Prices'!C40-1</f>
        <v>2.0652898067954784E-2</v>
      </c>
      <c r="D40" s="6">
        <f>'Adj Close Prices'!D41/'Adj Close Prices'!D40-1</f>
        <v>1.3916500994035852E-2</v>
      </c>
      <c r="E40" s="6">
        <f>'Adj Close Prices'!E41/'Adj Close Prices'!E40-1</f>
        <v>2.0653218059557998E-2</v>
      </c>
      <c r="F40" s="6">
        <f>'Adj Close Prices'!F41/'Adj Close Prices'!F40-1</f>
        <v>4.5672527974427446E-4</v>
      </c>
      <c r="G40" s="6">
        <f>'Adj Close Prices'!G41/'Adj Close Prices'!G40-1</f>
        <v>-1.5544744781559316E-4</v>
      </c>
    </row>
    <row r="41" spans="1:7" x14ac:dyDescent="0.45">
      <c r="A41" s="2">
        <f>'Adj Close Prices'!A42</f>
        <v>45134</v>
      </c>
      <c r="B41" s="6">
        <f>'Adj Close Prices'!B42/'Adj Close Prices'!B41-1</f>
        <v>-6.4625850340136459E-3</v>
      </c>
      <c r="C41" s="6">
        <f>'Adj Close Prices'!C42/'Adj Close Prices'!C41-1</f>
        <v>-3.2637075718016106E-3</v>
      </c>
      <c r="D41" s="6">
        <f>'Adj Close Prices'!D42/'Adj Close Prices'!D41-1</f>
        <v>-7.8431372549020439E-3</v>
      </c>
      <c r="E41" s="6">
        <f>'Adj Close Prices'!E42/'Adj Close Prices'!E41-1</f>
        <v>-9.8823529411765643E-3</v>
      </c>
      <c r="F41" s="6">
        <f>'Adj Close Prices'!F42/'Adj Close Prices'!F41-1</f>
        <v>0</v>
      </c>
      <c r="G41" s="6">
        <f>'Adj Close Prices'!G42/'Adj Close Prices'!G41-1</f>
        <v>-6.4247002791920638E-3</v>
      </c>
    </row>
    <row r="42" spans="1:7" x14ac:dyDescent="0.45">
      <c r="A42" s="2">
        <f>'Adj Close Prices'!A43</f>
        <v>45135</v>
      </c>
      <c r="B42" s="6">
        <f>'Adj Close Prices'!B43/'Adj Close Prices'!B42-1</f>
        <v>9.4488188976378229E-3</v>
      </c>
      <c r="C42" s="6">
        <f>'Adj Close Prices'!C43/'Adj Close Prices'!C42-1</f>
        <v>-9.8231827111984193E-3</v>
      </c>
      <c r="D42" s="6">
        <f>'Adj Close Prices'!D43/'Adj Close Prices'!D42-1</f>
        <v>3.2938076416337836E-3</v>
      </c>
      <c r="E42" s="6">
        <f>'Adj Close Prices'!E43/'Adj Close Prices'!E42-1</f>
        <v>1.18821292775666E-2</v>
      </c>
      <c r="F42" s="6">
        <f>'Adj Close Prices'!F43/'Adj Close Prices'!F42-1</f>
        <v>2.282583884958278E-4</v>
      </c>
      <c r="G42" s="6">
        <f>'Adj Close Prices'!G43/'Adj Close Prices'!G42-1</f>
        <v>9.8778818753428865E-3</v>
      </c>
    </row>
    <row r="43" spans="1:7" x14ac:dyDescent="0.45">
      <c r="A43" s="2">
        <f>'Adj Close Prices'!A44</f>
        <v>45138</v>
      </c>
      <c r="B43" s="6">
        <f>'Adj Close Prices'!B44/'Adj Close Prices'!B43-1</f>
        <v>2.0800832033280869E-3</v>
      </c>
      <c r="C43" s="6">
        <f>'Adj Close Prices'!C44/'Adj Close Prices'!C43-1</f>
        <v>1.9841269841269771E-3</v>
      </c>
      <c r="D43" s="6">
        <f>'Adj Close Prices'!D44/'Adj Close Prices'!D43-1</f>
        <v>1.3131976362441566E-3</v>
      </c>
      <c r="E43" s="6">
        <f>'Adj Close Prices'!E44/'Adj Close Prices'!E43-1</f>
        <v>-4.2273367778299376E-3</v>
      </c>
      <c r="F43" s="6">
        <f>'Adj Close Prices'!F44/'Adj Close Prices'!F43-1</f>
        <v>4.5641259698769865E-4</v>
      </c>
      <c r="G43" s="6">
        <f>'Adj Close Prices'!G44/'Adj Close Prices'!G43-1</f>
        <v>1.4687171966489831E-3</v>
      </c>
    </row>
    <row r="44" spans="1:7" x14ac:dyDescent="0.45">
      <c r="A44" s="2">
        <f>'Adj Close Prices'!A45</f>
        <v>45139</v>
      </c>
      <c r="B44" s="6">
        <f>'Adj Close Prices'!B45/'Adj Close Prices'!B44-1</f>
        <v>-2.7752081406104967E-3</v>
      </c>
      <c r="C44" s="6">
        <f>'Adj Close Prices'!C45/'Adj Close Prices'!C44-1</f>
        <v>-3.3003300330033403E-3</v>
      </c>
      <c r="D44" s="6">
        <f>'Adj Close Prices'!D45/'Adj Close Prices'!D44-1</f>
        <v>7.2131147540983598E-3</v>
      </c>
      <c r="E44" s="6">
        <f>'Adj Close Prices'!E45/'Adj Close Prices'!E44-1</f>
        <v>-5.6603773584905648E-3</v>
      </c>
      <c r="F44" s="6">
        <f>'Adj Close Prices'!F45/'Adj Close Prices'!F44-1</f>
        <v>0</v>
      </c>
      <c r="G44" s="6">
        <f>'Adj Close Prices'!G45/'Adj Close Prices'!G44-1</f>
        <v>-2.6650918726683903E-3</v>
      </c>
    </row>
    <row r="45" spans="1:7" x14ac:dyDescent="0.45">
      <c r="A45" s="2">
        <f>'Adj Close Prices'!A46</f>
        <v>45140</v>
      </c>
      <c r="B45" s="6">
        <f>'Adj Close Prices'!B46/'Adj Close Prices'!B45-1</f>
        <v>-1.3959907688130713E-2</v>
      </c>
      <c r="C45" s="6">
        <f>'Adj Close Prices'!C46/'Adj Close Prices'!C45-1</f>
        <v>-7.9470198675496428E-3</v>
      </c>
      <c r="D45" s="6">
        <f>'Adj Close Prices'!D46/'Adj Close Prices'!D45-1</f>
        <v>-1.3020833333332593E-3</v>
      </c>
      <c r="E45" s="6">
        <f>'Adj Close Prices'!E46/'Adj Close Prices'!E45-1</f>
        <v>-8.0645161290321399E-3</v>
      </c>
      <c r="F45" s="6">
        <f>'Adj Close Prices'!F46/'Adj Close Prices'!F45-1</f>
        <v>4.5620437956195303E-4</v>
      </c>
      <c r="G45" s="6">
        <f>'Adj Close Prices'!G46/'Adj Close Prices'!G45-1</f>
        <v>-1.383957541738301E-2</v>
      </c>
    </row>
    <row r="46" spans="1:7" x14ac:dyDescent="0.45">
      <c r="A46" s="2">
        <f>'Adj Close Prices'!A47</f>
        <v>45141</v>
      </c>
      <c r="B46" s="6">
        <f>'Adj Close Prices'!B47/'Adj Close Prices'!B46-1</f>
        <v>-2.8911681696152103E-3</v>
      </c>
      <c r="C46" s="6">
        <f>'Adj Close Prices'!C47/'Adj Close Prices'!C46-1</f>
        <v>6.6755674232310547E-3</v>
      </c>
      <c r="D46" s="6">
        <f>'Adj Close Prices'!D47/'Adj Close Prices'!D46-1</f>
        <v>1.9556714471968828E-3</v>
      </c>
      <c r="E46" s="6">
        <f>'Adj Close Prices'!E47/'Adj Close Prices'!E46-1</f>
        <v>-1.0043041606886738E-2</v>
      </c>
      <c r="F46" s="6">
        <f>'Adj Close Prices'!F47/'Adj Close Prices'!F46-1</f>
        <v>2.279981760144878E-4</v>
      </c>
      <c r="G46" s="6">
        <f>'Adj Close Prices'!G47/'Adj Close Prices'!G46-1</f>
        <v>-2.5479739176096361E-3</v>
      </c>
    </row>
    <row r="47" spans="1:7" x14ac:dyDescent="0.45">
      <c r="A47" s="2">
        <f>'Adj Close Prices'!A48</f>
        <v>45142</v>
      </c>
      <c r="B47" s="6">
        <f>'Adj Close Prices'!B48/'Adj Close Prices'!B47-1</f>
        <v>-4.6484869405132301E-3</v>
      </c>
      <c r="C47" s="6">
        <f>'Adj Close Prices'!C48/'Adj Close Prices'!C47-1</f>
        <v>2.6525198938991412E-3</v>
      </c>
      <c r="D47" s="6">
        <f>'Adj Close Prices'!D48/'Adj Close Prices'!D47-1</f>
        <v>4.2940793754066453E-2</v>
      </c>
      <c r="E47" s="6">
        <f>'Adj Close Prices'!E48/'Adj Close Prices'!E47-1</f>
        <v>1.8357487922705307E-2</v>
      </c>
      <c r="F47" s="6">
        <f>'Adj Close Prices'!F48/'Adj Close Prices'!F47-1</f>
        <v>4.5589240939136744E-4</v>
      </c>
      <c r="G47" s="6">
        <f>'Adj Close Prices'!G48/'Adj Close Prices'!G47-1</f>
        <v>-5.2999962238083898E-3</v>
      </c>
    </row>
    <row r="48" spans="1:7" x14ac:dyDescent="0.45">
      <c r="A48" s="2">
        <f>'Adj Close Prices'!A49</f>
        <v>45145</v>
      </c>
      <c r="B48" s="6">
        <f>'Adj Close Prices'!B49/'Adj Close Prices'!B48-1</f>
        <v>8.8548771183503128E-3</v>
      </c>
      <c r="C48" s="6">
        <f>'Adj Close Prices'!C49/'Adj Close Prices'!C48-1</f>
        <v>3.3068783068783691E-3</v>
      </c>
      <c r="D48" s="6">
        <f>'Adj Close Prices'!D49/'Adj Close Prices'!D48-1</f>
        <v>-1.6219588271990104E-2</v>
      </c>
      <c r="E48" s="6">
        <f>'Adj Close Prices'!E49/'Adj Close Prices'!E48-1</f>
        <v>1.4231499051233776E-3</v>
      </c>
      <c r="F48" s="6">
        <f>'Adj Close Prices'!F49/'Adj Close Prices'!F48-1</f>
        <v>2.2784233310546576E-4</v>
      </c>
      <c r="G48" s="6">
        <f>'Adj Close Prices'!G49/'Adj Close Prices'!G48-1</f>
        <v>9.02405745383561E-3</v>
      </c>
    </row>
    <row r="49" spans="1:7" x14ac:dyDescent="0.45">
      <c r="A49" s="2">
        <f>'Adj Close Prices'!A50</f>
        <v>45146</v>
      </c>
      <c r="B49" s="6">
        <f>'Adj Close Prices'!B50/'Adj Close Prices'!B49-1</f>
        <v>-4.1937849482079903E-3</v>
      </c>
      <c r="C49" s="6">
        <f>'Adj Close Prices'!C50/'Adj Close Prices'!C49-1</f>
        <v>6.5919578114703725E-4</v>
      </c>
      <c r="D49" s="6">
        <f>'Adj Close Prices'!D50/'Adj Close Prices'!D49-1</f>
        <v>-3.1705770450221049E-3</v>
      </c>
      <c r="E49" s="6">
        <f>'Adj Close Prices'!E50/'Adj Close Prices'!E49-1</f>
        <v>2.842254855518922E-3</v>
      </c>
      <c r="F49" s="6">
        <f>'Adj Close Prices'!F50/'Adj Close Prices'!F49-1</f>
        <v>2.277904328018554E-4</v>
      </c>
      <c r="G49" s="6">
        <f>'Adj Close Prices'!G50/'Adj Close Prices'!G49-1</f>
        <v>-4.2182700223970526E-3</v>
      </c>
    </row>
    <row r="50" spans="1:7" x14ac:dyDescent="0.45">
      <c r="A50" s="2">
        <f>'Adj Close Prices'!A51</f>
        <v>45147</v>
      </c>
      <c r="B50" s="6">
        <f>'Adj Close Prices'!B51/'Adj Close Prices'!B50-1</f>
        <v>-6.7659310059143829E-3</v>
      </c>
      <c r="C50" s="6">
        <f>'Adj Close Prices'!C51/'Adj Close Prices'!C50-1</f>
        <v>-3.9525691699605625E-3</v>
      </c>
      <c r="D50" s="6">
        <f>'Adj Close Prices'!D51/'Adj Close Prices'!D50-1</f>
        <v>-5.0890585241730735E-3</v>
      </c>
      <c r="E50" s="6">
        <f>'Adj Close Prices'!E51/'Adj Close Prices'!E50-1</f>
        <v>1.3226263580538467E-2</v>
      </c>
      <c r="F50" s="6">
        <f>'Adj Close Prices'!F51/'Adj Close Prices'!F50-1</f>
        <v>0</v>
      </c>
      <c r="G50" s="6">
        <f>'Adj Close Prices'!G51/'Adj Close Prices'!G50-1</f>
        <v>-7.0387475607750494E-3</v>
      </c>
    </row>
    <row r="51" spans="1:7" x14ac:dyDescent="0.45">
      <c r="A51" s="2">
        <f>'Adj Close Prices'!A52</f>
        <v>45148</v>
      </c>
      <c r="B51" s="6">
        <f>'Adj Close Prices'!B52/'Adj Close Prices'!B51-1</f>
        <v>4.4023262818870812E-4</v>
      </c>
      <c r="C51" s="6">
        <f>'Adj Close Prices'!C52/'Adj Close Prices'!C51-1</f>
        <v>0</v>
      </c>
      <c r="D51" s="6">
        <f>'Adj Close Prices'!D52/'Adj Close Prices'!D51-1</f>
        <v>-5.7544757033247684E-3</v>
      </c>
      <c r="E51" s="6">
        <f>'Adj Close Prices'!E52/'Adj Close Prices'!E51-1</f>
        <v>-5.82750582750583E-2</v>
      </c>
      <c r="F51" s="6">
        <f>'Adj Close Prices'!F52/'Adj Close Prices'!F51-1</f>
        <v>0</v>
      </c>
      <c r="G51" s="6">
        <f>'Adj Close Prices'!G52/'Adj Close Prices'!G51-1</f>
        <v>2.5068771249703303E-4</v>
      </c>
    </row>
    <row r="52" spans="1:7" x14ac:dyDescent="0.45">
      <c r="A52" s="2">
        <f>'Adj Close Prices'!A53</f>
        <v>45149</v>
      </c>
      <c r="B52" s="6">
        <f>'Adj Close Prices'!B53/'Adj Close Prices'!B52-1</f>
        <v>-6.021585066469104E-4</v>
      </c>
      <c r="C52" s="6">
        <f>'Adj Close Prices'!C53/'Adj Close Prices'!C52-1</f>
        <v>-6.6137566137569603E-4</v>
      </c>
      <c r="D52" s="6">
        <f>'Adj Close Prices'!D53/'Adj Close Prices'!D52-1</f>
        <v>1.2861736334404128E-3</v>
      </c>
      <c r="E52" s="6">
        <f>'Adj Close Prices'!E53/'Adj Close Prices'!E52-1</f>
        <v>3.9603960396039639E-3</v>
      </c>
      <c r="F52" s="6">
        <f>'Adj Close Prices'!F53/'Adj Close Prices'!F52-1</f>
        <v>2.2773855613777982E-4</v>
      </c>
      <c r="G52" s="6">
        <f>'Adj Close Prices'!G53/'Adj Close Prices'!G52-1</f>
        <v>-1.0696312010077813E-3</v>
      </c>
    </row>
    <row r="53" spans="1:7" x14ac:dyDescent="0.45">
      <c r="A53" s="2">
        <f>'Adj Close Prices'!A54</f>
        <v>45152</v>
      </c>
      <c r="B53" s="6">
        <f>'Adj Close Prices'!B54/'Adj Close Prices'!B53-1</f>
        <v>5.3531701890989769E-3</v>
      </c>
      <c r="C53" s="6">
        <f>'Adj Close Prices'!C54/'Adj Close Prices'!C53-1</f>
        <v>0</v>
      </c>
      <c r="D53" s="6">
        <f>'Adj Close Prices'!D54/'Adj Close Prices'!D53-1</f>
        <v>5.7803468208093012E-3</v>
      </c>
      <c r="E53" s="6">
        <f>'Adj Close Prices'!E54/'Adj Close Prices'!E53-1</f>
        <v>3.9447731755424265E-3</v>
      </c>
      <c r="F53" s="6">
        <f>'Adj Close Prices'!F54/'Adj Close Prices'!F53-1</f>
        <v>0</v>
      </c>
      <c r="G53" s="6">
        <f>'Adj Close Prices'!G54/'Adj Close Prices'!G53-1</f>
        <v>5.7503836202552616E-3</v>
      </c>
    </row>
    <row r="54" spans="1:7" x14ac:dyDescent="0.45">
      <c r="A54" s="2">
        <f>'Adj Close Prices'!A55</f>
        <v>45153</v>
      </c>
      <c r="B54" s="6">
        <f>'Adj Close Prices'!B55/'Adj Close Prices'!B54-1</f>
        <v>-1.1317797293870835E-2</v>
      </c>
      <c r="C54" s="6">
        <f>'Adj Close Prices'!C55/'Adj Close Prices'!C54-1</f>
        <v>-9.9272005294506194E-3</v>
      </c>
      <c r="D54" s="6">
        <f>'Adj Close Prices'!D55/'Adj Close Prices'!D54-1</f>
        <v>-7.0242656449552854E-3</v>
      </c>
      <c r="E54" s="6">
        <f>'Adj Close Prices'!E55/'Adj Close Prices'!E54-1</f>
        <v>-3.4381139489194634E-3</v>
      </c>
      <c r="F54" s="6">
        <f>'Adj Close Prices'!F55/'Adj Close Prices'!F54-1</f>
        <v>2.2768670309658567E-4</v>
      </c>
      <c r="G54" s="6">
        <f>'Adj Close Prices'!G55/'Adj Close Prices'!G54-1</f>
        <v>-1.1550831677699436E-2</v>
      </c>
    </row>
    <row r="55" spans="1:7" x14ac:dyDescent="0.45">
      <c r="A55" s="2">
        <f>'Adj Close Prices'!A56</f>
        <v>45154</v>
      </c>
      <c r="B55" s="6">
        <f>'Adj Close Prices'!B56/'Adj Close Prices'!B55-1</f>
        <v>-7.4839130840250734E-3</v>
      </c>
      <c r="C55" s="6">
        <f>'Adj Close Prices'!C56/'Adj Close Prices'!C55-1</f>
        <v>-2.0053475935829512E-3</v>
      </c>
      <c r="D55" s="6">
        <f>'Adj Close Prices'!D56/'Adj Close Prices'!D55-1</f>
        <v>-3.2154340836013651E-3</v>
      </c>
      <c r="E55" s="6">
        <f>'Adj Close Prices'!E56/'Adj Close Prices'!E55-1</f>
        <v>8.3785115820602662E-3</v>
      </c>
      <c r="F55" s="6">
        <f>'Adj Close Prices'!F56/'Adj Close Prices'!F55-1</f>
        <v>-2.2763487366261881E-4</v>
      </c>
      <c r="G55" s="6">
        <f>'Adj Close Prices'!G56/'Adj Close Prices'!G55-1</f>
        <v>-7.5554433893813E-3</v>
      </c>
    </row>
    <row r="56" spans="1:7" x14ac:dyDescent="0.45">
      <c r="A56" s="2">
        <f>'Adj Close Prices'!A57</f>
        <v>45155</v>
      </c>
      <c r="B56" s="6">
        <f>'Adj Close Prices'!B57/'Adj Close Prices'!B56-1</f>
        <v>-7.6812853820675819E-3</v>
      </c>
      <c r="C56" s="6">
        <f>'Adj Close Prices'!C57/'Adj Close Prices'!C56-1</f>
        <v>-8.0375083724044671E-3</v>
      </c>
      <c r="D56" s="6">
        <f>'Adj Close Prices'!D57/'Adj Close Prices'!D56-1</f>
        <v>-1.5483870967741953E-2</v>
      </c>
      <c r="E56" s="6">
        <f>'Adj Close Prices'!E57/'Adj Close Prices'!E56-1</f>
        <v>-1.270772238514184E-2</v>
      </c>
      <c r="F56" s="6">
        <f>'Adj Close Prices'!F57/'Adj Close Prices'!F56-1</f>
        <v>2.2768670309658567E-4</v>
      </c>
      <c r="G56" s="6">
        <f>'Adj Close Prices'!G57/'Adj Close Prices'!G56-1</f>
        <v>-7.7128643857296009E-3</v>
      </c>
    </row>
    <row r="57" spans="1:7" x14ac:dyDescent="0.45">
      <c r="A57" s="2">
        <f>'Adj Close Prices'!A58</f>
        <v>45156</v>
      </c>
      <c r="B57" s="6">
        <f>'Adj Close Prices'!B58/'Adj Close Prices'!B57-1</f>
        <v>1.8937600606006022E-4</v>
      </c>
      <c r="C57" s="6">
        <f>'Adj Close Prices'!C58/'Adj Close Prices'!C57-1</f>
        <v>6.7521944632005226E-3</v>
      </c>
      <c r="D57" s="6">
        <f>'Adj Close Prices'!D58/'Adj Close Prices'!D57-1</f>
        <v>1.0484927916120546E-2</v>
      </c>
      <c r="E57" s="6">
        <f>'Adj Close Prices'!E58/'Adj Close Prices'!E57-1</f>
        <v>4.4554455445544594E-3</v>
      </c>
      <c r="F57" s="6">
        <f>'Adj Close Prices'!F58/'Adj Close Prices'!F57-1</f>
        <v>4.5526974732545966E-4</v>
      </c>
      <c r="G57" s="6">
        <f>'Adj Close Prices'!G58/'Adj Close Prices'!G57-1</f>
        <v>-1.4872916647590273E-4</v>
      </c>
    </row>
    <row r="58" spans="1:7" x14ac:dyDescent="0.45">
      <c r="A58" s="2">
        <f>'Adj Close Prices'!A59</f>
        <v>45159</v>
      </c>
      <c r="B58" s="6">
        <f>'Adj Close Prices'!B59/'Adj Close Prices'!B58-1</f>
        <v>6.745242828741782E-3</v>
      </c>
      <c r="C58" s="6">
        <f>'Adj Close Prices'!C59/'Adj Close Prices'!C58-1</f>
        <v>0</v>
      </c>
      <c r="D58" s="6">
        <f>'Adj Close Prices'!D59/'Adj Close Prices'!D58-1</f>
        <v>-1.2970168612191912E-3</v>
      </c>
      <c r="E58" s="6">
        <f>'Adj Close Prices'!E59/'Adj Close Prices'!E58-1</f>
        <v>0</v>
      </c>
      <c r="F58" s="6">
        <f>'Adj Close Prices'!F59/'Adj Close Prices'!F58-1</f>
        <v>-2.2753128555186297E-4</v>
      </c>
      <c r="G58" s="6">
        <f>'Adj Close Prices'!G59/'Adj Close Prices'!G58-1</f>
        <v>6.8791750482297687E-3</v>
      </c>
    </row>
    <row r="59" spans="1:7" x14ac:dyDescent="0.45">
      <c r="A59" s="2">
        <f>'Adj Close Prices'!A60</f>
        <v>45160</v>
      </c>
      <c r="B59" s="6">
        <f>'Adj Close Prices'!B60/'Adj Close Prices'!B59-1</f>
        <v>-2.8680913087429927E-3</v>
      </c>
      <c r="C59" s="6">
        <f>'Adj Close Prices'!C60/'Adj Close Prices'!C59-1</f>
        <v>-1.1401743796110031E-2</v>
      </c>
      <c r="D59" s="6">
        <f>'Adj Close Prices'!D60/'Adj Close Prices'!D59-1</f>
        <v>-8.4415584415584721E-3</v>
      </c>
      <c r="E59" s="6">
        <f>'Adj Close Prices'!E60/'Adj Close Prices'!E59-1</f>
        <v>-1.0349926071956617E-2</v>
      </c>
      <c r="F59" s="6">
        <f>'Adj Close Prices'!F60/'Adj Close Prices'!F59-1</f>
        <v>2.2758306781978099E-4</v>
      </c>
      <c r="G59" s="6">
        <f>'Adj Close Prices'!G60/'Adj Close Prices'!G59-1</f>
        <v>-2.7774179104816943E-3</v>
      </c>
    </row>
    <row r="60" spans="1:7" x14ac:dyDescent="0.45">
      <c r="A60" s="2">
        <f>'Adj Close Prices'!A61</f>
        <v>45161</v>
      </c>
      <c r="B60" s="6">
        <f>'Adj Close Prices'!B61/'Adj Close Prices'!B60-1</f>
        <v>1.1033832370623609E-2</v>
      </c>
      <c r="C60" s="6">
        <f>'Adj Close Prices'!C61/'Adj Close Prices'!C60-1</f>
        <v>6.105834464043447E-3</v>
      </c>
      <c r="D60" s="6">
        <f>'Adj Close Prices'!D61/'Adj Close Prices'!D60-1</f>
        <v>0</v>
      </c>
      <c r="E60" s="6">
        <f>'Adj Close Prices'!E61/'Adj Close Prices'!E60-1</f>
        <v>8.4661354581674342E-3</v>
      </c>
      <c r="F60" s="6">
        <f>'Adj Close Prices'!F61/'Adj Close Prices'!F60-1</f>
        <v>6.8259385665525585E-4</v>
      </c>
      <c r="G60" s="6">
        <f>'Adj Close Prices'!G61/'Adj Close Prices'!G60-1</f>
        <v>1.1044888377340412E-2</v>
      </c>
    </row>
    <row r="61" spans="1:7" x14ac:dyDescent="0.45">
      <c r="A61" s="2">
        <f>'Adj Close Prices'!A62</f>
        <v>45162</v>
      </c>
      <c r="B61" s="6">
        <f>'Adj Close Prices'!B62/'Adj Close Prices'!B61-1</f>
        <v>-1.3431896089359352E-2</v>
      </c>
      <c r="C61" s="6">
        <f>'Adj Close Prices'!C62/'Adj Close Prices'!C61-1</f>
        <v>1.3486176668913163E-3</v>
      </c>
      <c r="D61" s="6">
        <f>'Adj Close Prices'!D62/'Adj Close Prices'!D61-1</f>
        <v>3.9292730844793233E-3</v>
      </c>
      <c r="E61" s="6">
        <f>'Adj Close Prices'!E62/'Adj Close Prices'!E61-1</f>
        <v>-1.481481481481528E-3</v>
      </c>
      <c r="F61" s="6">
        <f>'Adj Close Prices'!F62/'Adj Close Prices'!F61-1</f>
        <v>0</v>
      </c>
      <c r="G61" s="6">
        <f>'Adj Close Prices'!G62/'Adj Close Prices'!G61-1</f>
        <v>-1.3458039995401183E-2</v>
      </c>
    </row>
    <row r="62" spans="1:7" x14ac:dyDescent="0.45">
      <c r="A62" s="2">
        <f>'Adj Close Prices'!A63</f>
        <v>45163</v>
      </c>
      <c r="B62" s="6">
        <f>'Adj Close Prices'!B63/'Adj Close Prices'!B62-1</f>
        <v>7.1619353771243954E-3</v>
      </c>
      <c r="C62" s="6">
        <f>'Adj Close Prices'!C63/'Adj Close Prices'!C62-1</f>
        <v>2.0202020202020332E-3</v>
      </c>
      <c r="D62" s="6">
        <f>'Adj Close Prices'!D63/'Adj Close Prices'!D62-1</f>
        <v>1.3046314416176319E-3</v>
      </c>
      <c r="E62" s="6">
        <f>'Adj Close Prices'!E63/'Adj Close Prices'!E62-1</f>
        <v>1.9782393669636189E-3</v>
      </c>
      <c r="F62" s="6">
        <f>'Adj Close Prices'!F63/'Adj Close Prices'!F62-1</f>
        <v>2.2737608003642329E-4</v>
      </c>
      <c r="G62" s="6">
        <f>'Adj Close Prices'!G63/'Adj Close Prices'!G62-1</f>
        <v>6.7179884423178571E-3</v>
      </c>
    </row>
    <row r="63" spans="1:7" x14ac:dyDescent="0.45">
      <c r="A63" s="2">
        <f>'Adj Close Prices'!A64</f>
        <v>45166</v>
      </c>
      <c r="B63" s="6">
        <f>'Adj Close Prices'!B64/'Adj Close Prices'!B63-1</f>
        <v>6.0314480168974782E-3</v>
      </c>
      <c r="C63" s="6">
        <f>'Adj Close Prices'!C64/'Adj Close Prices'!C63-1</f>
        <v>6.0483870967742437E-3</v>
      </c>
      <c r="D63" s="6">
        <f>'Adj Close Prices'!D64/'Adj Close Prices'!D63-1</f>
        <v>4.5602605863193091E-3</v>
      </c>
      <c r="E63" s="6">
        <f>'Adj Close Prices'!E64/'Adj Close Prices'!E63-1</f>
        <v>1.036525172754188E-2</v>
      </c>
      <c r="F63" s="6">
        <f>'Adj Close Prices'!F64/'Adj Close Prices'!F63-1</f>
        <v>2.2732439190731313E-4</v>
      </c>
      <c r="G63" s="6">
        <f>'Adj Close Prices'!G64/'Adj Close Prices'!G63-1</f>
        <v>6.2645975336552695E-3</v>
      </c>
    </row>
    <row r="64" spans="1:7" x14ac:dyDescent="0.45">
      <c r="A64" s="2">
        <f>'Adj Close Prices'!A65</f>
        <v>45167</v>
      </c>
      <c r="B64" s="6">
        <f>'Adj Close Prices'!B65/'Adj Close Prices'!B64-1</f>
        <v>1.4440012130543245E-2</v>
      </c>
      <c r="C64" s="6">
        <f>'Adj Close Prices'!C65/'Adj Close Prices'!C64-1</f>
        <v>2.6720106880426808E-3</v>
      </c>
      <c r="D64" s="6">
        <f>'Adj Close Prices'!D65/'Adj Close Prices'!D64-1</f>
        <v>1.9455252918287869E-3</v>
      </c>
      <c r="E64" s="6">
        <f>'Adj Close Prices'!E65/'Adj Close Prices'!E64-1</f>
        <v>6.3507572056669126E-3</v>
      </c>
      <c r="F64" s="6">
        <f>'Adj Close Prices'!F65/'Adj Close Prices'!F64-1</f>
        <v>6.8181818181822784E-4</v>
      </c>
      <c r="G64" s="6">
        <f>'Adj Close Prices'!G65/'Adj Close Prices'!G64-1</f>
        <v>1.4508347036412905E-2</v>
      </c>
    </row>
    <row r="65" spans="1:7" x14ac:dyDescent="0.45">
      <c r="A65" s="2">
        <f>'Adj Close Prices'!A66</f>
        <v>45168</v>
      </c>
      <c r="B65" s="6">
        <f>'Adj Close Prices'!B66/'Adj Close Prices'!B65-1</f>
        <v>4.3922181851629993E-3</v>
      </c>
      <c r="C65" s="6">
        <f>'Adj Close Prices'!C66/'Adj Close Prices'!C65-1</f>
        <v>1.9986675549632515E-3</v>
      </c>
      <c r="D65" s="6">
        <f>'Adj Close Prices'!D66/'Adj Close Prices'!D65-1</f>
        <v>3.8834951456310218E-3</v>
      </c>
      <c r="E65" s="6">
        <f>'Adj Close Prices'!E66/'Adj Close Prices'!E65-1</f>
        <v>-2.9126213592234329E-3</v>
      </c>
      <c r="F65" s="6">
        <f>'Adj Close Prices'!F66/'Adj Close Prices'!F65-1</f>
        <v>2.2711787417661888E-4</v>
      </c>
      <c r="G65" s="6">
        <f>'Adj Close Prices'!G66/'Adj Close Prices'!G65-1</f>
        <v>3.8331298928546698E-3</v>
      </c>
    </row>
    <row r="66" spans="1:7" x14ac:dyDescent="0.45">
      <c r="A66" s="2">
        <f>'Adj Close Prices'!A67</f>
        <v>45169</v>
      </c>
      <c r="B66" s="6">
        <f>'Adj Close Prices'!B67/'Adj Close Prices'!B66-1</f>
        <v>-1.7629415939739435E-3</v>
      </c>
      <c r="C66" s="6">
        <f>'Adj Close Prices'!C67/'Adj Close Prices'!C66-1</f>
        <v>1.9946808510638014E-3</v>
      </c>
      <c r="D66" s="6">
        <f>'Adj Close Prices'!D67/'Adj Close Prices'!D66-1</f>
        <v>0</v>
      </c>
      <c r="E66" s="6">
        <f>'Adj Close Prices'!E67/'Adj Close Prices'!E66-1</f>
        <v>8.7633885102238462E-3</v>
      </c>
      <c r="F66" s="6">
        <f>'Adj Close Prices'!F67/'Adj Close Prices'!F66-1</f>
        <v>4.5413260672133582E-4</v>
      </c>
      <c r="G66" s="6">
        <f>'Adj Close Prices'!G67/'Adj Close Prices'!G66-1</f>
        <v>-1.5969452055097921E-3</v>
      </c>
    </row>
    <row r="67" spans="1:7" x14ac:dyDescent="0.45">
      <c r="A67" s="2">
        <f>'Adj Close Prices'!A68</f>
        <v>45170</v>
      </c>
      <c r="B67" s="6">
        <f>'Adj Close Prices'!B68/'Adj Close Prices'!B67-1</f>
        <v>2.11009174311938E-3</v>
      </c>
      <c r="C67" s="6">
        <f>'Adj Close Prices'!C68/'Adj Close Prices'!C67-1</f>
        <v>6.6357000663574972E-4</v>
      </c>
      <c r="D67" s="6">
        <f>'Adj Close Prices'!D68/'Adj Close Prices'!D67-1</f>
        <v>5.1579626047710825E-3</v>
      </c>
      <c r="E67" s="6">
        <f>'Adj Close Prices'!E68/'Adj Close Prices'!E67-1</f>
        <v>8.6872586872586144E-3</v>
      </c>
      <c r="F67" s="6">
        <f>'Adj Close Prices'!F68/'Adj Close Prices'!F67-1</f>
        <v>2.269632319564785E-4</v>
      </c>
      <c r="G67" s="6">
        <f>'Adj Close Prices'!G68/'Adj Close Prices'!G67-1</f>
        <v>1.7991596526802933E-3</v>
      </c>
    </row>
    <row r="68" spans="1:7" x14ac:dyDescent="0.45">
      <c r="A68" s="2">
        <f>'Adj Close Prices'!A69</f>
        <v>45174</v>
      </c>
      <c r="B68" s="6">
        <f>'Adj Close Prices'!B69/'Adj Close Prices'!B68-1</f>
        <v>-4.2799597180261939E-3</v>
      </c>
      <c r="C68" s="6">
        <f>'Adj Close Prices'!C69/'Adj Close Prices'!C68-1</f>
        <v>-6.6312997347479641E-3</v>
      </c>
      <c r="D68" s="6">
        <f>'Adj Close Prices'!D69/'Adj Close Prices'!D68-1</f>
        <v>-1.0262989095574104E-2</v>
      </c>
      <c r="E68" s="6">
        <f>'Adj Close Prices'!E69/'Adj Close Prices'!E68-1</f>
        <v>-2.3444976076554935E-2</v>
      </c>
      <c r="F68" s="6">
        <f>'Adj Close Prices'!F69/'Adj Close Prices'!F68-1</f>
        <v>-4.5382346267308638E-4</v>
      </c>
      <c r="G68" s="6">
        <f>'Adj Close Prices'!G69/'Adj Close Prices'!G68-1</f>
        <v>-4.1941905810084501E-3</v>
      </c>
    </row>
    <row r="69" spans="1:7" x14ac:dyDescent="0.45">
      <c r="A69" s="2">
        <f>'Adj Close Prices'!A70</f>
        <v>45175</v>
      </c>
      <c r="B69" s="6">
        <f>'Adj Close Prices'!B70/'Adj Close Prices'!B69-1</f>
        <v>-6.9647166992300447E-3</v>
      </c>
      <c r="C69" s="6">
        <f>'Adj Close Prices'!C70/'Adj Close Prices'!C69-1</f>
        <v>-9.3457943925233655E-3</v>
      </c>
      <c r="D69" s="6">
        <f>'Adj Close Prices'!D70/'Adj Close Prices'!D69-1</f>
        <v>-9.7213220998055849E-3</v>
      </c>
      <c r="E69" s="6">
        <f>'Adj Close Prices'!E70/'Adj Close Prices'!E69-1</f>
        <v>-8.8192062714355091E-3</v>
      </c>
      <c r="F69" s="6">
        <f>'Adj Close Prices'!F70/'Adj Close Prices'!F69-1</f>
        <v>4.54029511918419E-4</v>
      </c>
      <c r="G69" s="6">
        <f>'Adj Close Prices'!G70/'Adj Close Prices'!G69-1</f>
        <v>-6.9715777558858605E-3</v>
      </c>
    </row>
    <row r="70" spans="1:7" x14ac:dyDescent="0.45">
      <c r="A70" s="2">
        <f>'Adj Close Prices'!A71</f>
        <v>45176</v>
      </c>
      <c r="B70" s="6">
        <f>'Adj Close Prices'!B71/'Adj Close Prices'!B70-1</f>
        <v>-2.7545021063839492E-3</v>
      </c>
      <c r="C70" s="6">
        <f>'Adj Close Prices'!C71/'Adj Close Prices'!C70-1</f>
        <v>1.1455525606469008E-2</v>
      </c>
      <c r="D70" s="6">
        <f>'Adj Close Prices'!D71/'Adj Close Prices'!D70-1</f>
        <v>9.162303664921545E-3</v>
      </c>
      <c r="E70" s="6">
        <f>'Adj Close Prices'!E71/'Adj Close Prices'!E70-1</f>
        <v>3.9545229856647879E-3</v>
      </c>
      <c r="F70" s="6">
        <f>'Adj Close Prices'!F71/'Adj Close Prices'!F70-1</f>
        <v>4.538234626731974E-4</v>
      </c>
      <c r="G70" s="6">
        <f>'Adj Close Prices'!G71/'Adj Close Prices'!G70-1</f>
        <v>-3.2113009127796577E-3</v>
      </c>
    </row>
    <row r="71" spans="1:7" x14ac:dyDescent="0.45">
      <c r="A71" s="2">
        <f>'Adj Close Prices'!A72</f>
        <v>45177</v>
      </c>
      <c r="B71" s="6">
        <f>'Adj Close Prices'!B72/'Adj Close Prices'!B71-1</f>
        <v>1.2301835990995436E-3</v>
      </c>
      <c r="C71" s="6">
        <f>'Adj Close Prices'!C72/'Adj Close Prices'!C71-1</f>
        <v>7.9946702198534503E-3</v>
      </c>
      <c r="D71" s="6">
        <f>'Adj Close Prices'!D72/'Adj Close Prices'!D71-1</f>
        <v>7.1335927367055518E-3</v>
      </c>
      <c r="E71" s="6">
        <f>'Adj Close Prices'!E72/'Adj Close Prices'!E71-1</f>
        <v>9.3549975381586048E-3</v>
      </c>
      <c r="F71" s="6">
        <f>'Adj Close Prices'!F72/'Adj Close Prices'!F71-1</f>
        <v>0</v>
      </c>
      <c r="G71" s="6">
        <f>'Adj Close Prices'!G72/'Adj Close Prices'!G71-1</f>
        <v>1.4266008258556617E-3</v>
      </c>
    </row>
    <row r="72" spans="1:7" x14ac:dyDescent="0.45">
      <c r="A72" s="2">
        <f>'Adj Close Prices'!A73</f>
        <v>45180</v>
      </c>
      <c r="B72" s="6">
        <f>'Adj Close Prices'!B73/'Adj Close Prices'!B72-1</f>
        <v>6.7692878338279083E-3</v>
      </c>
      <c r="C72" s="6">
        <f>'Adj Close Prices'!C73/'Adj Close Prices'!C72-1</f>
        <v>1.98281559814939E-3</v>
      </c>
      <c r="D72" s="6">
        <f>'Adj Close Prices'!D73/'Adj Close Prices'!D72-1</f>
        <v>1.481004507405026E-2</v>
      </c>
      <c r="E72" s="6">
        <f>'Adj Close Prices'!E73/'Adj Close Prices'!E72-1</f>
        <v>7.3170731707317138E-3</v>
      </c>
      <c r="F72" s="6">
        <f>'Adj Close Prices'!F73/'Adj Close Prices'!F72-1</f>
        <v>-2.2680880018155491E-4</v>
      </c>
      <c r="G72" s="6">
        <f>'Adj Close Prices'!G73/'Adj Close Prices'!G72-1</f>
        <v>6.7235148031741243E-3</v>
      </c>
    </row>
    <row r="73" spans="1:7" x14ac:dyDescent="0.45">
      <c r="A73" s="2">
        <f>'Adj Close Prices'!A74</f>
        <v>45181</v>
      </c>
      <c r="B73" s="6">
        <f>'Adj Close Prices'!B74/'Adj Close Prices'!B73-1</f>
        <v>-5.4112554112553113E-3</v>
      </c>
      <c r="C73" s="6">
        <f>'Adj Close Prices'!C74/'Adj Close Prices'!C73-1</f>
        <v>6.5963060686025088E-4</v>
      </c>
      <c r="D73" s="6">
        <f>'Adj Close Prices'!D74/'Adj Close Prices'!D73-1</f>
        <v>0</v>
      </c>
      <c r="E73" s="6">
        <f>'Adj Close Prices'!E74/'Adj Close Prices'!E73-1</f>
        <v>4.3583535108959737E-3</v>
      </c>
      <c r="F73" s="6">
        <f>'Adj Close Prices'!F74/'Adj Close Prices'!F73-1</f>
        <v>4.5372050816694376E-4</v>
      </c>
      <c r="G73" s="6">
        <f>'Adj Close Prices'!G74/'Adj Close Prices'!G73-1</f>
        <v>-5.6958724980279429E-3</v>
      </c>
    </row>
    <row r="74" spans="1:7" x14ac:dyDescent="0.45">
      <c r="A74" s="2">
        <f>'Adj Close Prices'!A75</f>
        <v>45182</v>
      </c>
      <c r="B74" s="6">
        <f>'Adj Close Prices'!B75/'Adj Close Prices'!B74-1</f>
        <v>9.2607598453442463E-4</v>
      </c>
      <c r="C74" s="6">
        <f>'Adj Close Prices'!C75/'Adj Close Prices'!C74-1</f>
        <v>6.5919578114699284E-3</v>
      </c>
      <c r="D74" s="6">
        <f>'Adj Close Prices'!D75/'Adj Close Prices'!D74-1</f>
        <v>3.1725888324873885E-3</v>
      </c>
      <c r="E74" s="6">
        <f>'Adj Close Prices'!E75/'Adj Close Prices'!E74-1</f>
        <v>6.2680810028930001E-3</v>
      </c>
      <c r="F74" s="6">
        <f>'Adj Close Prices'!F75/'Adj Close Prices'!F74-1</f>
        <v>4.5351473922883301E-4</v>
      </c>
      <c r="G74" s="6">
        <f>'Adj Close Prices'!G75/'Adj Close Prices'!G74-1</f>
        <v>1.2416235236110129E-3</v>
      </c>
    </row>
    <row r="75" spans="1:7" x14ac:dyDescent="0.45">
      <c r="A75" s="2">
        <f>'Adj Close Prices'!A76</f>
        <v>45183</v>
      </c>
      <c r="B75" s="6">
        <f>'Adj Close Prices'!B76/'Adj Close Prices'!B75-1</f>
        <v>8.928364906437336E-3</v>
      </c>
      <c r="C75" s="6">
        <f>'Adj Close Prices'!C76/'Adj Close Prices'!C75-1</f>
        <v>1.3097576948264411E-3</v>
      </c>
      <c r="D75" s="6">
        <f>'Adj Close Prices'!D76/'Adj Close Prices'!D75-1</f>
        <v>3.1625553447185428E-3</v>
      </c>
      <c r="E75" s="6">
        <f>'Adj Close Prices'!E76/'Adj Close Prices'!E75-1</f>
        <v>2.8749401054144474E-3</v>
      </c>
      <c r="F75" s="6">
        <f>'Adj Close Prices'!F76/'Adj Close Prices'!F75-1</f>
        <v>2.2665457842263592E-4</v>
      </c>
      <c r="G75" s="6">
        <f>'Adj Close Prices'!G76/'Adj Close Prices'!G75-1</f>
        <v>8.4298837813157057E-3</v>
      </c>
    </row>
    <row r="76" spans="1:7" x14ac:dyDescent="0.45">
      <c r="A76" s="2">
        <f>'Adj Close Prices'!A77</f>
        <v>45184</v>
      </c>
      <c r="B76" s="6">
        <f>'Adj Close Prices'!B77/'Adj Close Prices'!B76-1</f>
        <v>-1.2884293541805203E-2</v>
      </c>
      <c r="C76" s="6">
        <f>'Adj Close Prices'!C77/'Adj Close Prices'!C76-1</f>
        <v>-1.3080444735120711E-3</v>
      </c>
      <c r="D76" s="6">
        <f>'Adj Close Prices'!D77/'Adj Close Prices'!D76-1</f>
        <v>7.5662042875157542E-3</v>
      </c>
      <c r="E76" s="6">
        <f>'Adj Close Prices'!E77/'Adj Close Prices'!E76-1</f>
        <v>-1.4333492594362784E-3</v>
      </c>
      <c r="F76" s="6">
        <f>'Adj Close Prices'!F77/'Adj Close Prices'!F76-1</f>
        <v>0</v>
      </c>
      <c r="G76" s="6">
        <f>'Adj Close Prices'!G77/'Adj Close Prices'!G76-1</f>
        <v>-1.2159552507158722E-2</v>
      </c>
    </row>
    <row r="77" spans="1:7" x14ac:dyDescent="0.45">
      <c r="A77" s="2">
        <f>'Adj Close Prices'!A78</f>
        <v>45187</v>
      </c>
      <c r="B77" s="6">
        <f>'Adj Close Prices'!B78/'Adj Close Prices'!B77-1</f>
        <v>1.7186520194161226E-3</v>
      </c>
      <c r="C77" s="6">
        <f>'Adj Close Prices'!C78/'Adj Close Prices'!C77-1</f>
        <v>2.6195153896528822E-3</v>
      </c>
      <c r="D77" s="6">
        <f>'Adj Close Prices'!D78/'Adj Close Prices'!D77-1</f>
        <v>-1.877346683354264E-3</v>
      </c>
      <c r="E77" s="6">
        <f>'Adj Close Prices'!E78/'Adj Close Prices'!E77-1</f>
        <v>6.698564593301537E-3</v>
      </c>
      <c r="F77" s="6">
        <f>'Adj Close Prices'!F78/'Adj Close Prices'!F77-1</f>
        <v>0</v>
      </c>
      <c r="G77" s="6">
        <f>'Adj Close Prices'!G78/'Adj Close Prices'!G77-1</f>
        <v>7.2129644609830734E-4</v>
      </c>
    </row>
    <row r="78" spans="1:7" x14ac:dyDescent="0.45">
      <c r="A78" s="2">
        <f>'Adj Close Prices'!A79</f>
        <v>45188</v>
      </c>
      <c r="B78" s="6">
        <f>'Adj Close Prices'!B79/'Adj Close Prices'!B78-1</f>
        <v>-2.2257772831605349E-3</v>
      </c>
      <c r="C78" s="6">
        <f>'Adj Close Prices'!C79/'Adj Close Prices'!C78-1</f>
        <v>1.3063357282820931E-3</v>
      </c>
      <c r="D78" s="6">
        <f>'Adj Close Prices'!D79/'Adj Close Prices'!D78-1</f>
        <v>5.0156739811912932E-3</v>
      </c>
      <c r="E78" s="6">
        <f>'Adj Close Prices'!E79/'Adj Close Prices'!E78-1</f>
        <v>1.9011406844104961E-3</v>
      </c>
      <c r="F78" s="6">
        <f>'Adj Close Prices'!F79/'Adj Close Prices'!F78-1</f>
        <v>4.5320643553137252E-4</v>
      </c>
      <c r="G78" s="6">
        <f>'Adj Close Prices'!G79/'Adj Close Prices'!G78-1</f>
        <v>-2.1511026084926055E-3</v>
      </c>
    </row>
    <row r="79" spans="1:7" x14ac:dyDescent="0.45">
      <c r="A79" s="2">
        <f>'Adj Close Prices'!A80</f>
        <v>45189</v>
      </c>
      <c r="B79" s="6">
        <f>'Adj Close Prices'!B80/'Adj Close Prices'!B79-1</f>
        <v>-9.4806552805856148E-3</v>
      </c>
      <c r="C79" s="6">
        <f>'Adj Close Prices'!C80/'Adj Close Prices'!C79-1</f>
        <v>-1.9569471624265589E-3</v>
      </c>
      <c r="D79" s="6">
        <f>'Adj Close Prices'!D80/'Adj Close Prices'!D79-1</f>
        <v>-1.8714909544604863E-3</v>
      </c>
      <c r="E79" s="6">
        <f>'Adj Close Prices'!E80/'Adj Close Prices'!E79-1</f>
        <v>2.8462998102467552E-3</v>
      </c>
      <c r="F79" s="6">
        <f>'Adj Close Prices'!F80/'Adj Close Prices'!F79-1</f>
        <v>-2.2650056625139747E-4</v>
      </c>
      <c r="G79" s="6">
        <f>'Adj Close Prices'!G80/'Adj Close Prices'!G79-1</f>
        <v>-9.3947951709627553E-3</v>
      </c>
    </row>
    <row r="80" spans="1:7" x14ac:dyDescent="0.45">
      <c r="A80" s="2">
        <f>'Adj Close Prices'!A81</f>
        <v>45190</v>
      </c>
      <c r="B80" s="6">
        <f>'Adj Close Prices'!B81/'Adj Close Prices'!B80-1</f>
        <v>-1.6374598259319084E-2</v>
      </c>
      <c r="C80" s="6">
        <f>'Adj Close Prices'!C81/'Adj Close Prices'!C80-1</f>
        <v>-1.2418300653594838E-2</v>
      </c>
      <c r="D80" s="6">
        <f>'Adj Close Prices'!D81/'Adj Close Prices'!D80-1</f>
        <v>-1.1874999999999969E-2</v>
      </c>
      <c r="E80" s="6">
        <f>'Adj Close Prices'!E81/'Adj Close Prices'!E80-1</f>
        <v>-2.3178807947019986E-2</v>
      </c>
      <c r="F80" s="6">
        <f>'Adj Close Prices'!F81/'Adj Close Prices'!F80-1</f>
        <v>4.5310376076113101E-4</v>
      </c>
      <c r="G80" s="6">
        <f>'Adj Close Prices'!G81/'Adj Close Prices'!G80-1</f>
        <v>-1.6400890463858953E-2</v>
      </c>
    </row>
    <row r="81" spans="1:7" x14ac:dyDescent="0.45">
      <c r="A81" s="2">
        <f>'Adj Close Prices'!A82</f>
        <v>45191</v>
      </c>
      <c r="B81" s="6">
        <f>'Adj Close Prices'!B82/'Adj Close Prices'!B81-1</f>
        <v>-2.3849841398554394E-3</v>
      </c>
      <c r="C81" s="6">
        <f>'Adj Close Prices'!C82/'Adj Close Prices'!C81-1</f>
        <v>7.9417604235605399E-3</v>
      </c>
      <c r="D81" s="6">
        <f>'Adj Close Prices'!D82/'Adj Close Prices'!D81-1</f>
        <v>9.4876660341556285E-3</v>
      </c>
      <c r="E81" s="6">
        <f>'Adj Close Prices'!E82/'Adj Close Prices'!E81-1</f>
        <v>1.0653753026634405E-2</v>
      </c>
      <c r="F81" s="6">
        <f>'Adj Close Prices'!F82/'Adj Close Prices'!F81-1</f>
        <v>4.5289855072461194E-4</v>
      </c>
      <c r="G81" s="6">
        <f>'Adj Close Prices'!G82/'Adj Close Prices'!G81-1</f>
        <v>-2.2956120092377796E-3</v>
      </c>
    </row>
    <row r="82" spans="1:7" x14ac:dyDescent="0.45">
      <c r="A82" s="2">
        <f>'Adj Close Prices'!A83</f>
        <v>45194</v>
      </c>
      <c r="B82" s="6">
        <f>'Adj Close Prices'!B83/'Adj Close Prices'!B82-1</f>
        <v>4.1358865858613925E-3</v>
      </c>
      <c r="C82" s="6">
        <f>'Adj Close Prices'!C83/'Adj Close Prices'!C82-1</f>
        <v>1.575837163493099E-2</v>
      </c>
      <c r="D82" s="6">
        <f>'Adj Close Prices'!D83/'Adj Close Prices'!D82-1</f>
        <v>6.8922305764411718E-3</v>
      </c>
      <c r="E82" s="6">
        <f>'Adj Close Prices'!E83/'Adj Close Prices'!E82-1</f>
        <v>8.1456636320076381E-3</v>
      </c>
      <c r="F82" s="6">
        <f>'Adj Close Prices'!F83/'Adj Close Prices'!F82-1</f>
        <v>0</v>
      </c>
      <c r="G82" s="6">
        <f>'Adj Close Prices'!G83/'Adj Close Prices'!G82-1</f>
        <v>4.0230922718664797E-3</v>
      </c>
    </row>
    <row r="83" spans="1:7" x14ac:dyDescent="0.45">
      <c r="A83" s="2">
        <f>'Adj Close Prices'!A84</f>
        <v>45195</v>
      </c>
      <c r="B83" s="6">
        <f>'Adj Close Prices'!B84/'Adj Close Prices'!B83-1</f>
        <v>-1.4642159897147677E-2</v>
      </c>
      <c r="C83" s="6">
        <f>'Adj Close Prices'!C84/'Adj Close Prices'!C83-1</f>
        <v>-1.5513897866839099E-2</v>
      </c>
      <c r="D83" s="6">
        <f>'Adj Close Prices'!D84/'Adj Close Prices'!D83-1</f>
        <v>-1.431238332296203E-2</v>
      </c>
      <c r="E83" s="6">
        <f>'Adj Close Prices'!E84/'Adj Close Prices'!E83-1</f>
        <v>-4.2775665399239493E-3</v>
      </c>
      <c r="F83" s="6">
        <f>'Adj Close Prices'!F84/'Adj Close Prices'!F83-1</f>
        <v>0</v>
      </c>
      <c r="G83" s="6">
        <f>'Adj Close Prices'!G84/'Adj Close Prices'!G83-1</f>
        <v>-1.473449776826885E-2</v>
      </c>
    </row>
    <row r="84" spans="1:7" x14ac:dyDescent="0.45">
      <c r="A84" s="2">
        <f>'Adj Close Prices'!A85</f>
        <v>45196</v>
      </c>
      <c r="B84" s="6">
        <f>'Adj Close Prices'!B85/'Adj Close Prices'!B84-1</f>
        <v>2.6578394181742127E-4</v>
      </c>
      <c r="C84" s="6">
        <f>'Adj Close Prices'!C85/'Adj Close Prices'!C84-1</f>
        <v>1.0505581089954141E-2</v>
      </c>
      <c r="D84" s="6">
        <f>'Adj Close Prices'!D85/'Adj Close Prices'!D84-1</f>
        <v>5.6818181818181213E-3</v>
      </c>
      <c r="E84" s="6">
        <f>'Adj Close Prices'!E85/'Adj Close Prices'!E84-1</f>
        <v>-7.1599045346061319E-3</v>
      </c>
      <c r="F84" s="6">
        <f>'Adj Close Prices'!F85/'Adj Close Prices'!F84-1</f>
        <v>0</v>
      </c>
      <c r="G84" s="6">
        <f>'Adj Close Prices'!G85/'Adj Close Prices'!G84-1</f>
        <v>2.2931861950192811E-4</v>
      </c>
    </row>
    <row r="85" spans="1:7" x14ac:dyDescent="0.45">
      <c r="A85" s="2">
        <f>'Adj Close Prices'!A86</f>
        <v>45197</v>
      </c>
      <c r="B85" s="6">
        <f>'Adj Close Prices'!B86/'Adj Close Prices'!B85-1</f>
        <v>5.8456930286485687E-3</v>
      </c>
      <c r="C85" s="6">
        <f>'Adj Close Prices'!C86/'Adj Close Prices'!C85-1</f>
        <v>1.1046133853151341E-2</v>
      </c>
      <c r="D85" s="6">
        <f>'Adj Close Prices'!D86/'Adj Close Prices'!D85-1</f>
        <v>1.318267419962349E-2</v>
      </c>
      <c r="E85" s="6">
        <f>'Adj Close Prices'!E86/'Adj Close Prices'!E85-1</f>
        <v>1.5865384615384448E-2</v>
      </c>
      <c r="F85" s="6">
        <f>'Adj Close Prices'!F86/'Adj Close Prices'!F85-1</f>
        <v>6.7904028972387565E-4</v>
      </c>
      <c r="G85" s="6">
        <f>'Adj Close Prices'!G86/'Adj Close Prices'!G85-1</f>
        <v>5.8930731241708667E-3</v>
      </c>
    </row>
    <row r="86" spans="1:7" x14ac:dyDescent="0.45">
      <c r="A86" s="2">
        <f>'Adj Close Prices'!A87</f>
        <v>45198</v>
      </c>
      <c r="B86" s="6">
        <f>'Adj Close Prices'!B87/'Adj Close Prices'!B86-1</f>
        <v>-2.1853986551392257E-3</v>
      </c>
      <c r="C86" s="6">
        <f>'Adj Close Prices'!C87/'Adj Close Prices'!C86-1</f>
        <v>-8.9974293059126298E-3</v>
      </c>
      <c r="D86" s="6">
        <f>'Adj Close Prices'!D87/'Adj Close Prices'!D86-1</f>
        <v>-3.7174721189592308E-3</v>
      </c>
      <c r="E86" s="6">
        <f>'Adj Close Prices'!E87/'Adj Close Prices'!E86-1</f>
        <v>-7.0989115002365599E-3</v>
      </c>
      <c r="F86" s="6">
        <f>'Adj Close Prices'!F87/'Adj Close Prices'!F86-1</f>
        <v>-4.5238633793265315E-4</v>
      </c>
      <c r="G86" s="6">
        <f>'Adj Close Prices'!G87/'Adj Close Prices'!G86-1</f>
        <v>-2.7094913598622039E-3</v>
      </c>
    </row>
    <row r="87" spans="1:7" x14ac:dyDescent="0.45">
      <c r="A87" s="2">
        <f>'Adj Close Prices'!A88</f>
        <v>45201</v>
      </c>
      <c r="B87" s="6">
        <f>'Adj Close Prices'!B88/'Adj Close Prices'!B87-1</f>
        <v>-3.6101951912204111E-4</v>
      </c>
      <c r="C87" s="6">
        <f>'Adj Close Prices'!C88/'Adj Close Prices'!C87-1</f>
        <v>-1.491569390402081E-2</v>
      </c>
      <c r="D87" s="6">
        <f>'Adj Close Prices'!D88/'Adj Close Prices'!D87-1</f>
        <v>-1.9278606965174028E-2</v>
      </c>
      <c r="E87" s="6">
        <f>'Adj Close Prices'!E88/'Adj Close Prices'!E87-1</f>
        <v>-2.8598665395614953E-2</v>
      </c>
      <c r="F87" s="6">
        <f>'Adj Close Prices'!F88/'Adj Close Prices'!F87-1</f>
        <v>2.2629554197783897E-4</v>
      </c>
      <c r="G87" s="6">
        <f>'Adj Close Prices'!G88/'Adj Close Prices'!G87-1</f>
        <v>7.9290120217789806E-5</v>
      </c>
    </row>
    <row r="88" spans="1:7" x14ac:dyDescent="0.45">
      <c r="A88" s="2">
        <f>'Adj Close Prices'!A89</f>
        <v>45202</v>
      </c>
      <c r="B88" s="6">
        <f>'Adj Close Prices'!B89/'Adj Close Prices'!B88-1</f>
        <v>-1.3314393027399229E-2</v>
      </c>
      <c r="C88" s="6">
        <f>'Adj Close Prices'!C89/'Adj Close Prices'!C88-1</f>
        <v>-2.0408163265306034E-2</v>
      </c>
      <c r="D88" s="6">
        <f>'Adj Close Prices'!D89/'Adj Close Prices'!D88-1</f>
        <v>-1.7121116043119833E-2</v>
      </c>
      <c r="E88" s="6">
        <f>'Adj Close Prices'!E89/'Adj Close Prices'!E88-1</f>
        <v>-1.4720314033366044E-2</v>
      </c>
      <c r="F88" s="6">
        <f>'Adj Close Prices'!F89/'Adj Close Prices'!F88-1</f>
        <v>-2.2624434389151293E-4</v>
      </c>
      <c r="G88" s="6">
        <f>'Adj Close Prices'!G89/'Adj Close Prices'!G88-1</f>
        <v>-1.374408577578079E-2</v>
      </c>
    </row>
    <row r="89" spans="1:7" x14ac:dyDescent="0.45">
      <c r="A89" s="2">
        <f>'Adj Close Prices'!A90</f>
        <v>45203</v>
      </c>
      <c r="B89" s="6">
        <f>'Adj Close Prices'!B90/'Adj Close Prices'!B89-1</f>
        <v>7.0764500622237936E-3</v>
      </c>
      <c r="C89" s="6">
        <f>'Adj Close Prices'!C90/'Adj Close Prices'!C89-1</f>
        <v>-2.0161290322581182E-3</v>
      </c>
      <c r="D89" s="6">
        <f>'Adj Close Prices'!D90/'Adj Close Prices'!D89-1</f>
        <v>5.8064516129032739E-3</v>
      </c>
      <c r="E89" s="6">
        <f>'Adj Close Prices'!E90/'Adj Close Prices'!E89-1</f>
        <v>-4.980079681274785E-3</v>
      </c>
      <c r="F89" s="6">
        <f>'Adj Close Prices'!F90/'Adj Close Prices'!F89-1</f>
        <v>1.1314777098891948E-3</v>
      </c>
      <c r="G89" s="6">
        <f>'Adj Close Prices'!G90/'Adj Close Prices'!G89-1</f>
        <v>8.1098015108347354E-3</v>
      </c>
    </row>
    <row r="90" spans="1:7" x14ac:dyDescent="0.45">
      <c r="A90" s="2">
        <f>'Adj Close Prices'!A91</f>
        <v>45204</v>
      </c>
      <c r="B90" s="6">
        <f>'Adj Close Prices'!B91/'Adj Close Prices'!B90-1</f>
        <v>-4.6037168956414298E-4</v>
      </c>
      <c r="C90" s="6">
        <f>'Adj Close Prices'!C91/'Adj Close Prices'!C90-1</f>
        <v>7.4074074074075291E-3</v>
      </c>
      <c r="D90" s="6">
        <f>'Adj Close Prices'!D91/'Adj Close Prices'!D90-1</f>
        <v>-6.414368184733954E-4</v>
      </c>
      <c r="E90" s="6">
        <f>'Adj Close Prices'!E91/'Adj Close Prices'!E90-1</f>
        <v>9.5095095095096838E-3</v>
      </c>
      <c r="F90" s="6">
        <f>'Adj Close Prices'!F91/'Adj Close Prices'!F90-1</f>
        <v>4.5207956600346044E-4</v>
      </c>
      <c r="G90" s="6">
        <f>'Adj Close Prices'!G91/'Adj Close Prices'!G90-1</f>
        <v>-1.3040164174730196E-3</v>
      </c>
    </row>
    <row r="91" spans="1:7" x14ac:dyDescent="0.45">
      <c r="A91" s="2">
        <f>'Adj Close Prices'!A92</f>
        <v>45205</v>
      </c>
      <c r="B91" s="6">
        <f>'Adj Close Prices'!B92/'Adj Close Prices'!B91-1</f>
        <v>1.1732764472025758E-2</v>
      </c>
      <c r="C91" s="6">
        <f>'Adj Close Prices'!C92/'Adj Close Prices'!C91-1</f>
        <v>4.0106951871656804E-3</v>
      </c>
      <c r="D91" s="6">
        <f>'Adj Close Prices'!D92/'Adj Close Prices'!D91-1</f>
        <v>7.0603337612322736E-3</v>
      </c>
      <c r="E91" s="6">
        <f>'Adj Close Prices'!E92/'Adj Close Prices'!E91-1</f>
        <v>-6.9410014873574344E-3</v>
      </c>
      <c r="F91" s="6">
        <f>'Adj Close Prices'!F92/'Adj Close Prices'!F91-1</f>
        <v>-4.5187528242196517E-4</v>
      </c>
      <c r="G91" s="6">
        <f>'Adj Close Prices'!G92/'Adj Close Prices'!G91-1</f>
        <v>1.1814879091820885E-2</v>
      </c>
    </row>
    <row r="92" spans="1:7" x14ac:dyDescent="0.45">
      <c r="A92" s="2">
        <f>'Adj Close Prices'!A93</f>
        <v>45208</v>
      </c>
      <c r="B92" s="6">
        <f>'Adj Close Prices'!B93/'Adj Close Prices'!B92-1</f>
        <v>6.5890358443549957E-3</v>
      </c>
      <c r="C92" s="6">
        <f>'Adj Close Prices'!C93/'Adj Close Prices'!C92-1</f>
        <v>1.1984021304926706E-2</v>
      </c>
      <c r="D92" s="6">
        <f>'Adj Close Prices'!D93/'Adj Close Prices'!D92-1</f>
        <v>4.4614404079030834E-3</v>
      </c>
      <c r="E92" s="6">
        <f>'Adj Close Prices'!E93/'Adj Close Prices'!E92-1</f>
        <v>1.1482775836245684E-2</v>
      </c>
      <c r="F92" s="6">
        <f>'Adj Close Prices'!F93/'Adj Close Prices'!F92-1</f>
        <v>9.0415913200714293E-4</v>
      </c>
      <c r="G92" s="6">
        <f>'Adj Close Prices'!G93/'Adj Close Prices'!G92-1</f>
        <v>6.303855170012751E-3</v>
      </c>
    </row>
    <row r="93" spans="1:7" x14ac:dyDescent="0.45">
      <c r="A93" s="2">
        <f>'Adj Close Prices'!A94</f>
        <v>45209</v>
      </c>
      <c r="B93" s="6">
        <f>'Adj Close Prices'!B94/'Adj Close Prices'!B93-1</f>
        <v>5.2367237152173285E-3</v>
      </c>
      <c r="C93" s="6">
        <f>'Adj Close Prices'!C94/'Adj Close Prices'!C93-1</f>
        <v>1.9736842105264607E-3</v>
      </c>
      <c r="D93" s="6">
        <f>'Adj Close Prices'!D94/'Adj Close Prices'!D93-1</f>
        <v>-1.9035532994923221E-3</v>
      </c>
      <c r="E93" s="6">
        <f>'Adj Close Prices'!E94/'Adj Close Prices'!E93-1</f>
        <v>9.8716683119446369E-3</v>
      </c>
      <c r="F93" s="6">
        <f>'Adj Close Prices'!F94/'Adj Close Prices'!F93-1</f>
        <v>0</v>
      </c>
      <c r="G93" s="6">
        <f>'Adj Close Prices'!G94/'Adj Close Prices'!G93-1</f>
        <v>5.2079889028939785E-3</v>
      </c>
    </row>
    <row r="94" spans="1:7" x14ac:dyDescent="0.45">
      <c r="A94" s="2">
        <f>'Adj Close Prices'!A95</f>
        <v>45210</v>
      </c>
      <c r="B94" s="6">
        <f>'Adj Close Prices'!B95/'Adj Close Prices'!B94-1</f>
        <v>4.2385925031376281E-3</v>
      </c>
      <c r="C94" s="6">
        <f>'Adj Close Prices'!C95/'Adj Close Prices'!C94-1</f>
        <v>4.5961917268548813E-3</v>
      </c>
      <c r="D94" s="6">
        <f>'Adj Close Prices'!D95/'Adj Close Prices'!D94-1</f>
        <v>5.0858232676413984E-3</v>
      </c>
      <c r="E94" s="6">
        <f>'Adj Close Prices'!E95/'Adj Close Prices'!E94-1</f>
        <v>-1.4662756598241566E-3</v>
      </c>
      <c r="F94" s="6">
        <f>'Adj Close Prices'!F95/'Adj Close Prices'!F94-1</f>
        <v>0</v>
      </c>
      <c r="G94" s="6">
        <f>'Adj Close Prices'!G95/'Adj Close Prices'!G94-1</f>
        <v>4.2930102547376059E-3</v>
      </c>
    </row>
    <row r="95" spans="1:7" x14ac:dyDescent="0.45">
      <c r="A95" s="2">
        <f>'Adj Close Prices'!A96</f>
        <v>45211</v>
      </c>
      <c r="B95" s="6">
        <f>'Adj Close Prices'!B96/'Adj Close Prices'!B95-1</f>
        <v>-6.0127328460268803E-3</v>
      </c>
      <c r="C95" s="6">
        <f>'Adj Close Prices'!C96/'Adj Close Prices'!C95-1</f>
        <v>-1.3071895424836666E-2</v>
      </c>
      <c r="D95" s="6">
        <f>'Adj Close Prices'!D96/'Adj Close Prices'!D95-1</f>
        <v>-8.8551549652119421E-3</v>
      </c>
      <c r="E95" s="6">
        <f>'Adj Close Prices'!E96/'Adj Close Prices'!E95-1</f>
        <v>0</v>
      </c>
      <c r="F95" s="6">
        <f>'Adj Close Prices'!F96/'Adj Close Prices'!F95-1</f>
        <v>0</v>
      </c>
      <c r="G95" s="6">
        <f>'Adj Close Prices'!G96/'Adj Close Prices'!G95-1</f>
        <v>-6.2464361600460538E-3</v>
      </c>
    </row>
    <row r="96" spans="1:7" x14ac:dyDescent="0.45">
      <c r="A96" s="2">
        <f>'Adj Close Prices'!A97</f>
        <v>45212</v>
      </c>
      <c r="B96" s="6">
        <f>'Adj Close Prices'!B97/'Adj Close Prices'!B96-1</f>
        <v>-5.242557229273026E-3</v>
      </c>
      <c r="C96" s="6">
        <f>'Adj Close Prices'!C97/'Adj Close Prices'!C96-1</f>
        <v>-1.3245033112582183E-3</v>
      </c>
      <c r="D96" s="6">
        <f>'Adj Close Prices'!D97/'Adj Close Prices'!D96-1</f>
        <v>3.1908104658584513E-3</v>
      </c>
      <c r="E96" s="6">
        <f>'Adj Close Prices'!E97/'Adj Close Prices'!E96-1</f>
        <v>4.405286343612369E-3</v>
      </c>
      <c r="F96" s="6">
        <f>'Adj Close Prices'!F97/'Adj Close Prices'!F96-1</f>
        <v>2.2583559168931622E-4</v>
      </c>
      <c r="G96" s="6">
        <f>'Adj Close Prices'!G97/'Adj Close Prices'!G96-1</f>
        <v>-5.0188570245700559E-3</v>
      </c>
    </row>
    <row r="97" spans="1:7" x14ac:dyDescent="0.45">
      <c r="A97" s="2">
        <f>'Adj Close Prices'!A98</f>
        <v>45215</v>
      </c>
      <c r="B97" s="6">
        <f>'Adj Close Prices'!B98/'Adj Close Prices'!B97-1</f>
        <v>1.0397290981065455E-2</v>
      </c>
      <c r="C97" s="6">
        <f>'Adj Close Prices'!C98/'Adj Close Prices'!C97-1</f>
        <v>2.3209549071617985E-2</v>
      </c>
      <c r="D97" s="6">
        <f>'Adj Close Prices'!D98/'Adj Close Prices'!D97-1</f>
        <v>1.2722646310432628E-2</v>
      </c>
      <c r="E97" s="6">
        <f>'Adj Close Prices'!E98/'Adj Close Prices'!E97-1</f>
        <v>1.949317738791434E-2</v>
      </c>
      <c r="F97" s="6">
        <f>'Adj Close Prices'!F98/'Adj Close Prices'!F97-1</f>
        <v>2.2578460149014212E-4</v>
      </c>
      <c r="G97" s="6">
        <f>'Adj Close Prices'!G98/'Adj Close Prices'!G97-1</f>
        <v>1.0594367602978494E-2</v>
      </c>
    </row>
    <row r="98" spans="1:7" x14ac:dyDescent="0.45">
      <c r="A98" s="2">
        <f>'Adj Close Prices'!A99</f>
        <v>45216</v>
      </c>
      <c r="B98" s="6">
        <f>'Adj Close Prices'!B99/'Adj Close Prices'!B98-1</f>
        <v>3.0682086381883522E-4</v>
      </c>
      <c r="C98" s="6">
        <f>'Adj Close Prices'!C99/'Adj Close Prices'!C98-1</f>
        <v>1.2961762799741372E-3</v>
      </c>
      <c r="D98" s="6">
        <f>'Adj Close Prices'!D99/'Adj Close Prices'!D98-1</f>
        <v>-5.0251256281407253E-3</v>
      </c>
      <c r="E98" s="6">
        <f>'Adj Close Prices'!E99/'Adj Close Prices'!E98-1</f>
        <v>7.6481835564052858E-3</v>
      </c>
      <c r="F98" s="6">
        <f>'Adj Close Prices'!F99/'Adj Close Prices'!F98-1</f>
        <v>-2.2573363431144244E-4</v>
      </c>
      <c r="G98" s="6">
        <f>'Adj Close Prices'!G99/'Adj Close Prices'!G98-1</f>
        <v>-9.8243338322978602E-5</v>
      </c>
    </row>
    <row r="99" spans="1:7" x14ac:dyDescent="0.45">
      <c r="A99" s="2">
        <f>'Adj Close Prices'!A100</f>
        <v>45217</v>
      </c>
      <c r="B99" s="6">
        <f>'Adj Close Prices'!B100/'Adj Close Prices'!B99-1</f>
        <v>-1.3118467310006321E-2</v>
      </c>
      <c r="C99" s="6">
        <f>'Adj Close Prices'!C100/'Adj Close Prices'!C99-1</f>
        <v>-1.3592233009708687E-2</v>
      </c>
      <c r="D99" s="6">
        <f>'Adj Close Prices'!D100/'Adj Close Prices'!D99-1</f>
        <v>-1.5782828282828287E-2</v>
      </c>
      <c r="E99" s="6">
        <f>'Adj Close Prices'!E100/'Adj Close Prices'!E99-1</f>
        <v>-6.1669829222010808E-3</v>
      </c>
      <c r="F99" s="6">
        <f>'Adj Close Prices'!F100/'Adj Close Prices'!F99-1</f>
        <v>0</v>
      </c>
      <c r="G99" s="6">
        <f>'Adj Close Prices'!G100/'Adj Close Prices'!G99-1</f>
        <v>-1.3399821028088454E-2</v>
      </c>
    </row>
    <row r="100" spans="1:7" x14ac:dyDescent="0.45">
      <c r="A100" s="2">
        <f>'Adj Close Prices'!A101</f>
        <v>45218</v>
      </c>
      <c r="B100" s="6">
        <f>'Adj Close Prices'!B101/'Adj Close Prices'!B100-1</f>
        <v>-9.0611327611350712E-3</v>
      </c>
      <c r="C100" s="6">
        <f>'Adj Close Prices'!C101/'Adj Close Prices'!C100-1</f>
        <v>-1.6404199475065662E-2</v>
      </c>
      <c r="D100" s="6">
        <f>'Adj Close Prices'!D101/'Adj Close Prices'!D100-1</f>
        <v>-9.6215522771007089E-3</v>
      </c>
      <c r="E100" s="6">
        <f>'Adj Close Prices'!E101/'Adj Close Prices'!E100-1</f>
        <v>-1.7183770883054894E-2</v>
      </c>
      <c r="F100" s="6">
        <f>'Adj Close Prices'!F101/'Adj Close Prices'!F100-1</f>
        <v>4.5156920298050629E-4</v>
      </c>
      <c r="G100" s="6">
        <f>'Adj Close Prices'!G101/'Adj Close Prices'!G100-1</f>
        <v>-8.4828487349266624E-3</v>
      </c>
    </row>
    <row r="101" spans="1:7" x14ac:dyDescent="0.45">
      <c r="A101" s="2">
        <f>'Adj Close Prices'!A102</f>
        <v>45219</v>
      </c>
      <c r="B101" s="6">
        <f>'Adj Close Prices'!B102/'Adj Close Prices'!B101-1</f>
        <v>-1.2304574406485247E-2</v>
      </c>
      <c r="C101" s="6">
        <f>'Adj Close Prices'!C102/'Adj Close Prices'!C101-1</f>
        <v>-6.6711140760506993E-3</v>
      </c>
      <c r="D101" s="6">
        <f>'Adj Close Prices'!D102/'Adj Close Prices'!D101-1</f>
        <v>-5.1813471502590858E-3</v>
      </c>
      <c r="E101" s="6">
        <f>'Adj Close Prices'!E102/'Adj Close Prices'!E101-1</f>
        <v>-8.2564351627002486E-3</v>
      </c>
      <c r="F101" s="6">
        <f>'Adj Close Prices'!F102/'Adj Close Prices'!F101-1</f>
        <v>9.0273076055069623E-4</v>
      </c>
      <c r="G101" s="6">
        <f>'Adj Close Prices'!G102/'Adj Close Prices'!G101-1</f>
        <v>-1.2585282842449641E-2</v>
      </c>
    </row>
    <row r="102" spans="1:7" x14ac:dyDescent="0.45">
      <c r="A102" s="2">
        <f>'Adj Close Prices'!A103</f>
        <v>45222</v>
      </c>
      <c r="B102" s="6">
        <f>'Adj Close Prices'!B103/'Adj Close Prices'!B102-1</f>
        <v>-1.7343299623820974E-3</v>
      </c>
      <c r="C102" s="6">
        <f>'Adj Close Prices'!C103/'Adj Close Prices'!C102-1</f>
        <v>6.7159167226327199E-4</v>
      </c>
      <c r="D102" s="6">
        <f>'Adj Close Prices'!D103/'Adj Close Prices'!D102-1</f>
        <v>-9.1145833333332593E-3</v>
      </c>
      <c r="E102" s="6">
        <f>'Adj Close Prices'!E103/'Adj Close Prices'!E102-1</f>
        <v>1.4201762977473109E-2</v>
      </c>
      <c r="F102" s="6">
        <f>'Adj Close Prices'!F103/'Adj Close Prices'!F102-1</f>
        <v>2.2547914317927464E-4</v>
      </c>
      <c r="G102" s="6">
        <f>'Adj Close Prices'!G103/'Adj Close Prices'!G102-1</f>
        <v>-1.6855705584800651E-3</v>
      </c>
    </row>
    <row r="103" spans="1:7" x14ac:dyDescent="0.45">
      <c r="A103" s="2">
        <f>'Adj Close Prices'!A104</f>
        <v>45223</v>
      </c>
      <c r="B103" s="6">
        <f>'Adj Close Prices'!B104/'Adj Close Prices'!B103-1</f>
        <v>7.5121736364303082E-3</v>
      </c>
      <c r="C103" s="6">
        <f>'Adj Close Prices'!C104/'Adj Close Prices'!C103-1</f>
        <v>9.3959731543622471E-3</v>
      </c>
      <c r="D103" s="6">
        <f>'Adj Close Prices'!D104/'Adj Close Prices'!D103-1</f>
        <v>4.5992115637318864E-3</v>
      </c>
      <c r="E103" s="6">
        <f>'Adj Close Prices'!E104/'Adj Close Prices'!E103-1</f>
        <v>1.1588604538870007E-2</v>
      </c>
      <c r="F103" s="6">
        <f>'Adj Close Prices'!F104/'Adj Close Prices'!F103-1</f>
        <v>4.5085662759247747E-4</v>
      </c>
      <c r="G103" s="6">
        <f>'Adj Close Prices'!G104/'Adj Close Prices'!G103-1</f>
        <v>7.2657929992052672E-3</v>
      </c>
    </row>
    <row r="104" spans="1:7" x14ac:dyDescent="0.45">
      <c r="A104" s="2">
        <f>'Adj Close Prices'!A105</f>
        <v>45224</v>
      </c>
      <c r="B104" s="6">
        <f>'Adj Close Prices'!B105/'Adj Close Prices'!B104-1</f>
        <v>-1.4207995336863122E-2</v>
      </c>
      <c r="C104" s="6">
        <f>'Adj Close Prices'!C105/'Adj Close Prices'!C104-1</f>
        <v>-4.65425531914887E-3</v>
      </c>
      <c r="D104" s="6">
        <f>'Adj Close Prices'!D105/'Adj Close Prices'!D104-1</f>
        <v>-9.1563113145846087E-3</v>
      </c>
      <c r="E104" s="6">
        <f>'Adj Close Prices'!E105/'Adj Close Prices'!E104-1</f>
        <v>-1.0501193317422386E-2</v>
      </c>
      <c r="F104" s="6">
        <f>'Adj Close Prices'!F105/'Adj Close Prices'!F104-1</f>
        <v>-4.5065344749894987E-4</v>
      </c>
      <c r="G104" s="6">
        <f>'Adj Close Prices'!G105/'Adj Close Prices'!G104-1</f>
        <v>-1.4339629496305517E-2</v>
      </c>
    </row>
    <row r="105" spans="1:7" x14ac:dyDescent="0.45">
      <c r="A105" s="2">
        <f>'Adj Close Prices'!A106</f>
        <v>45225</v>
      </c>
      <c r="B105" s="6">
        <f>'Adj Close Prices'!B106/'Adj Close Prices'!B105-1</f>
        <v>-1.207223632018517E-2</v>
      </c>
      <c r="C105" s="6">
        <f>'Adj Close Prices'!C106/'Adj Close Prices'!C105-1</f>
        <v>-6.6800267201072572E-4</v>
      </c>
      <c r="D105" s="6">
        <f>'Adj Close Prices'!D106/'Adj Close Prices'!D105-1</f>
        <v>2.6402640264024946E-3</v>
      </c>
      <c r="E105" s="6">
        <f>'Adj Close Prices'!E106/'Adj Close Prices'!E105-1</f>
        <v>1.2059816690786374E-2</v>
      </c>
      <c r="F105" s="6">
        <f>'Adj Close Prices'!F106/'Adj Close Prices'!F105-1</f>
        <v>4.5085662759247747E-4</v>
      </c>
      <c r="G105" s="6">
        <f>'Adj Close Prices'!G106/'Adj Close Prices'!G105-1</f>
        <v>-1.183252000070445E-2</v>
      </c>
    </row>
    <row r="106" spans="1:7" x14ac:dyDescent="0.45">
      <c r="A106" s="2">
        <f>'Adj Close Prices'!A107</f>
        <v>45226</v>
      </c>
      <c r="B106" s="6">
        <f>'Adj Close Prices'!B107/'Adj Close Prices'!B106-1</f>
        <v>-4.5886431083069779E-3</v>
      </c>
      <c r="C106" s="6">
        <f>'Adj Close Prices'!C107/'Adj Close Prices'!C106-1</f>
        <v>-1.2032085561497374E-2</v>
      </c>
      <c r="D106" s="6">
        <f>'Adj Close Prices'!D107/'Adj Close Prices'!D106-1</f>
        <v>-1.3166556945358732E-2</v>
      </c>
      <c r="E106" s="6">
        <f>'Adj Close Prices'!E107/'Adj Close Prices'!E106-1</f>
        <v>-1.096282173498575E-2</v>
      </c>
      <c r="F106" s="6">
        <f>'Adj Close Prices'!F107/'Adj Close Prices'!F106-1</f>
        <v>6.7598017124814724E-4</v>
      </c>
      <c r="G106" s="6">
        <f>'Adj Close Prices'!G107/'Adj Close Prices'!G106-1</f>
        <v>-4.8002794372095092E-3</v>
      </c>
    </row>
    <row r="107" spans="1:7" x14ac:dyDescent="0.45">
      <c r="A107" s="2">
        <f>'Adj Close Prices'!A108</f>
        <v>45229</v>
      </c>
      <c r="B107" s="6">
        <f>'Adj Close Prices'!B108/'Adj Close Prices'!B107-1</f>
        <v>1.1900288112238533E-2</v>
      </c>
      <c r="C107" s="6">
        <f>'Adj Close Prices'!C108/'Adj Close Prices'!C107-1</f>
        <v>1.7591339648173276E-2</v>
      </c>
      <c r="D107" s="6">
        <f>'Adj Close Prices'!D108/'Adj Close Prices'!D107-1</f>
        <v>1.5343562374916742E-2</v>
      </c>
      <c r="E107" s="6">
        <f>'Adj Close Prices'!E108/'Adj Close Prices'!E107-1</f>
        <v>1.0602409638554189E-2</v>
      </c>
      <c r="F107" s="6">
        <f>'Adj Close Prices'!F108/'Adj Close Prices'!F107-1</f>
        <v>-2.2517451024539614E-4</v>
      </c>
      <c r="G107" s="6">
        <f>'Adj Close Prices'!G108/'Adj Close Prices'!G107-1</f>
        <v>1.2010020609951821E-2</v>
      </c>
    </row>
    <row r="108" spans="1:7" x14ac:dyDescent="0.45">
      <c r="A108" s="2">
        <f>'Adj Close Prices'!A109</f>
        <v>45230</v>
      </c>
      <c r="B108" s="6">
        <f>'Adj Close Prices'!B109/'Adj Close Prices'!B108-1</f>
        <v>5.9420648675414522E-3</v>
      </c>
      <c r="C108" s="6">
        <f>'Adj Close Prices'!C109/'Adj Close Prices'!C108-1</f>
        <v>-1.3297872340425343E-3</v>
      </c>
      <c r="D108" s="6">
        <f>'Adj Close Prices'!D109/'Adj Close Prices'!D108-1</f>
        <v>3.2851511169513792E-3</v>
      </c>
      <c r="E108" s="6">
        <f>'Adj Close Prices'!E109/'Adj Close Prices'!E108-1</f>
        <v>4.768717215068996E-4</v>
      </c>
      <c r="F108" s="6">
        <f>'Adj Close Prices'!F109/'Adj Close Prices'!F108-1</f>
        <v>0</v>
      </c>
      <c r="G108" s="6">
        <f>'Adj Close Prices'!G109/'Adj Close Prices'!G108-1</f>
        <v>6.4749572012932077E-3</v>
      </c>
    </row>
    <row r="109" spans="1:7" x14ac:dyDescent="0.45">
      <c r="A109" s="2">
        <f>'Adj Close Prices'!A110</f>
        <v>45231</v>
      </c>
      <c r="B109" s="6">
        <f>'Adj Close Prices'!B110/'Adj Close Prices'!B109-1</f>
        <v>1.0952498154073398E-2</v>
      </c>
      <c r="C109" s="6">
        <f>'Adj Close Prices'!C110/'Adj Close Prices'!C109-1</f>
        <v>1.1984021304926706E-2</v>
      </c>
      <c r="D109" s="6">
        <f>'Adj Close Prices'!D110/'Adj Close Prices'!D109-1</f>
        <v>1.7681728880157177E-2</v>
      </c>
      <c r="E109" s="6">
        <f>'Adj Close Prices'!E110/'Adj Close Prices'!E109-1</f>
        <v>8.5795996186843748E-3</v>
      </c>
      <c r="F109" s="6">
        <f>'Adj Close Prices'!F110/'Adj Close Prices'!F109-1</f>
        <v>4.5045045045055687E-4</v>
      </c>
      <c r="G109" s="6">
        <f>'Adj Close Prices'!G110/'Adj Close Prices'!G109-1</f>
        <v>1.050599983337297E-2</v>
      </c>
    </row>
    <row r="110" spans="1:7" x14ac:dyDescent="0.45">
      <c r="A110" s="2">
        <f>'Adj Close Prices'!A111</f>
        <v>45232</v>
      </c>
      <c r="B110" s="6">
        <f>'Adj Close Prices'!B111/'Adj Close Prices'!B110-1</f>
        <v>1.925745587340244E-2</v>
      </c>
      <c r="C110" s="6">
        <f>'Adj Close Prices'!C111/'Adj Close Prices'!C110-1</f>
        <v>2.1052631578947434E-2</v>
      </c>
      <c r="D110" s="6">
        <f>'Adj Close Prices'!D111/'Adj Close Prices'!D110-1</f>
        <v>2.5740025740025763E-2</v>
      </c>
      <c r="E110" s="6">
        <f>'Adj Close Prices'!E111/'Adj Close Prices'!E110-1</f>
        <v>5.6710775047259521E-3</v>
      </c>
      <c r="F110" s="6">
        <f>'Adj Close Prices'!F111/'Adj Close Prices'!F110-1</f>
        <v>4.5024763619982977E-4</v>
      </c>
      <c r="G110" s="6">
        <f>'Adj Close Prices'!G111/'Adj Close Prices'!G110-1</f>
        <v>1.8858558951970528E-2</v>
      </c>
    </row>
    <row r="111" spans="1:7" x14ac:dyDescent="0.45">
      <c r="A111" s="2">
        <f>'Adj Close Prices'!A112</f>
        <v>45233</v>
      </c>
      <c r="B111" s="6">
        <f>'Adj Close Prices'!B112/'Adj Close Prices'!B111-1</f>
        <v>8.9571489991879805E-3</v>
      </c>
      <c r="C111" s="6">
        <f>'Adj Close Prices'!C112/'Adj Close Prices'!C111-1</f>
        <v>3.221649484536071E-3</v>
      </c>
      <c r="D111" s="6">
        <f>'Adj Close Prices'!D112/'Adj Close Prices'!D111-1</f>
        <v>2.0075282308657627E-2</v>
      </c>
      <c r="E111" s="6">
        <f>'Adj Close Prices'!E112/'Adj Close Prices'!E111-1</f>
        <v>1.3627819548872155E-2</v>
      </c>
      <c r="F111" s="6">
        <f>'Adj Close Prices'!F112/'Adj Close Prices'!F111-1</f>
        <v>6.7506750675061511E-4</v>
      </c>
      <c r="G111" s="6">
        <f>'Adj Close Prices'!G112/'Adj Close Prices'!G111-1</f>
        <v>9.3937282521765475E-3</v>
      </c>
    </row>
    <row r="112" spans="1:7" x14ac:dyDescent="0.45">
      <c r="A112" s="2">
        <f>'Adj Close Prices'!A113</f>
        <v>45236</v>
      </c>
      <c r="B112" s="6">
        <f>'Adj Close Prices'!B113/'Adj Close Prices'!B112-1</f>
        <v>2.4147155607110449E-3</v>
      </c>
      <c r="C112" s="6">
        <f>'Adj Close Prices'!C113/'Adj Close Prices'!C112-1</f>
        <v>-5.7803468208091902E-3</v>
      </c>
      <c r="D112" s="6">
        <f>'Adj Close Prices'!D113/'Adj Close Prices'!D112-1</f>
        <v>-7.9950799507996217E-3</v>
      </c>
      <c r="E112" s="6">
        <f>'Adj Close Prices'!E113/'Adj Close Prices'!E112-1</f>
        <v>-6.026889197960128E-3</v>
      </c>
      <c r="F112" s="6">
        <f>'Adj Close Prices'!F113/'Adj Close Prices'!F112-1</f>
        <v>-2.2487069934784554E-4</v>
      </c>
      <c r="G112" s="6">
        <f>'Adj Close Prices'!G113/'Adj Close Prices'!G112-1</f>
        <v>1.7529931764110884E-3</v>
      </c>
    </row>
    <row r="113" spans="1:7" x14ac:dyDescent="0.45">
      <c r="A113" s="2">
        <f>'Adj Close Prices'!A114</f>
        <v>45237</v>
      </c>
      <c r="B113" s="6">
        <f>'Adj Close Prices'!B114/'Adj Close Prices'!B113-1</f>
        <v>2.6450653000495983E-3</v>
      </c>
      <c r="C113" s="6">
        <f>'Adj Close Prices'!C114/'Adj Close Prices'!C113-1</f>
        <v>-1.2919896640826156E-3</v>
      </c>
      <c r="D113" s="6">
        <f>'Adj Close Prices'!D114/'Adj Close Prices'!D113-1</f>
        <v>-8.0595164290141463E-3</v>
      </c>
      <c r="E113" s="6">
        <f>'Adj Close Prices'!E114/'Adj Close Prices'!E113-1</f>
        <v>4.6641791044765846E-4</v>
      </c>
      <c r="F113" s="6">
        <f>'Adj Close Prices'!F114/'Adj Close Prices'!F113-1</f>
        <v>4.4984255510560622E-4</v>
      </c>
      <c r="G113" s="6">
        <f>'Adj Close Prices'!G114/'Adj Close Prices'!G113-1</f>
        <v>2.8401183827693188E-3</v>
      </c>
    </row>
    <row r="114" spans="1:7" x14ac:dyDescent="0.45">
      <c r="A114" s="2">
        <f>'Adj Close Prices'!A115</f>
        <v>45238</v>
      </c>
      <c r="B114" s="6">
        <f>'Adj Close Prices'!B115/'Adj Close Prices'!B114-1</f>
        <v>8.244023083263663E-4</v>
      </c>
      <c r="C114" s="6">
        <f>'Adj Close Prices'!C115/'Adj Close Prices'!C114-1</f>
        <v>6.4683053040104355E-4</v>
      </c>
      <c r="D114" s="6">
        <f>'Adj Close Prices'!D115/'Adj Close Prices'!D114-1</f>
        <v>4.3750000000000178E-3</v>
      </c>
      <c r="E114" s="6">
        <f>'Adj Close Prices'!E115/'Adj Close Prices'!E114-1</f>
        <v>-8.3916083916083517E-3</v>
      </c>
      <c r="F114" s="6">
        <f>'Adj Close Prices'!F115/'Adj Close Prices'!F114-1</f>
        <v>2.2482014388502947E-4</v>
      </c>
      <c r="G114" s="6">
        <f>'Adj Close Prices'!G115/'Adj Close Prices'!G114-1</f>
        <v>1.0049173713997384E-3</v>
      </c>
    </row>
    <row r="115" spans="1:7" x14ac:dyDescent="0.45">
      <c r="A115" s="2">
        <f>'Adj Close Prices'!A116</f>
        <v>45239</v>
      </c>
      <c r="B115" s="6">
        <f>'Adj Close Prices'!B116/'Adj Close Prices'!B115-1</f>
        <v>-7.531183807954811E-3</v>
      </c>
      <c r="C115" s="6">
        <f>'Adj Close Prices'!C116/'Adj Close Prices'!C115-1</f>
        <v>-3.2320620555915669E-3</v>
      </c>
      <c r="D115" s="6">
        <f>'Adj Close Prices'!D116/'Adj Close Prices'!D115-1</f>
        <v>4.9782202862476144E-3</v>
      </c>
      <c r="E115" s="6">
        <f>'Adj Close Prices'!E116/'Adj Close Prices'!E115-1</f>
        <v>-2.3507287259050269E-3</v>
      </c>
      <c r="F115" s="6">
        <f>'Adj Close Prices'!F116/'Adj Close Prices'!F115-1</f>
        <v>0</v>
      </c>
      <c r="G115" s="6">
        <f>'Adj Close Prices'!G116/'Adj Close Prices'!G115-1</f>
        <v>-8.0838398682129275E-3</v>
      </c>
    </row>
    <row r="116" spans="1:7" x14ac:dyDescent="0.45">
      <c r="A116" s="2">
        <f>'Adj Close Prices'!A117</f>
        <v>45240</v>
      </c>
      <c r="B116" s="6">
        <f>'Adj Close Prices'!B117/'Adj Close Prices'!B116-1</f>
        <v>1.5650936684847183E-2</v>
      </c>
      <c r="C116" s="6">
        <f>'Adj Close Prices'!C117/'Adj Close Prices'!C116-1</f>
        <v>7.1335927367055518E-3</v>
      </c>
      <c r="D116" s="6">
        <f>'Adj Close Prices'!D117/'Adj Close Prices'!D116-1</f>
        <v>7.4303405572755388E-3</v>
      </c>
      <c r="E116" s="6">
        <f>'Adj Close Prices'!E117/'Adj Close Prices'!E116-1</f>
        <v>7.0688030160226401E-3</v>
      </c>
      <c r="F116" s="6">
        <f>'Adj Close Prices'!F117/'Adj Close Prices'!F116-1</f>
        <v>2.2476961114858973E-4</v>
      </c>
      <c r="G116" s="6">
        <f>'Adj Close Prices'!G117/'Adj Close Prices'!G116-1</f>
        <v>1.561643954095171E-2</v>
      </c>
    </row>
    <row r="117" spans="1:7" x14ac:dyDescent="0.45">
      <c r="A117" s="2">
        <f>'Adj Close Prices'!A118</f>
        <v>45243</v>
      </c>
      <c r="B117" s="6">
        <f>'Adj Close Prices'!B118/'Adj Close Prices'!B117-1</f>
        <v>-1.167406023815043E-3</v>
      </c>
      <c r="C117" s="6">
        <f>'Adj Close Prices'!C118/'Adj Close Prices'!C117-1</f>
        <v>0</v>
      </c>
      <c r="D117" s="6">
        <f>'Adj Close Prices'!D118/'Adj Close Prices'!D117-1</f>
        <v>9.2194222495391998E-3</v>
      </c>
      <c r="E117" s="6">
        <f>'Adj Close Prices'!E118/'Adj Close Prices'!E117-1</f>
        <v>-4.2115114646701368E-3</v>
      </c>
      <c r="F117" s="6">
        <f>'Adj Close Prices'!F118/'Adj Close Prices'!F117-1</f>
        <v>4.4943820224729869E-4</v>
      </c>
      <c r="G117" s="6">
        <f>'Adj Close Prices'!G118/'Adj Close Prices'!G117-1</f>
        <v>-8.3583900484629492E-4</v>
      </c>
    </row>
    <row r="118" spans="1:7" x14ac:dyDescent="0.45">
      <c r="A118" s="2">
        <f>'Adj Close Prices'!A119</f>
        <v>45244</v>
      </c>
      <c r="B118" s="6">
        <f>'Adj Close Prices'!B119/'Adj Close Prices'!B118-1</f>
        <v>1.9611968209443553E-2</v>
      </c>
      <c r="C118" s="6">
        <f>'Adj Close Prices'!C119/'Adj Close Prices'!C118-1</f>
        <v>7.726980038635034E-3</v>
      </c>
      <c r="D118" s="6">
        <f>'Adj Close Prices'!D119/'Adj Close Prices'!D118-1</f>
        <v>1.0353227771010776E-2</v>
      </c>
      <c r="E118" s="6">
        <f>'Adj Close Prices'!E119/'Adj Close Prices'!E118-1</f>
        <v>2.1146616541353414E-2</v>
      </c>
      <c r="F118" s="6">
        <f>'Adj Close Prices'!F119/'Adj Close Prices'!F118-1</f>
        <v>1.123090745732247E-3</v>
      </c>
      <c r="G118" s="6">
        <f>'Adj Close Prices'!G119/'Adj Close Prices'!G118-1</f>
        <v>1.9075019849033703E-2</v>
      </c>
    </row>
    <row r="119" spans="1:7" x14ac:dyDescent="0.45">
      <c r="A119" s="2">
        <f>'Adj Close Prices'!A120</f>
        <v>45245</v>
      </c>
      <c r="B119" s="6">
        <f>'Adj Close Prices'!B120/'Adj Close Prices'!B119-1</f>
        <v>2.0174694513859226E-3</v>
      </c>
      <c r="C119" s="6">
        <f>'Adj Close Prices'!C120/'Adj Close Prices'!C119-1</f>
        <v>-3.1948881789137795E-3</v>
      </c>
      <c r="D119" s="6">
        <f>'Adj Close Prices'!D120/'Adj Close Prices'!D119-1</f>
        <v>-5.4249547920434127E-3</v>
      </c>
      <c r="E119" s="6">
        <f>'Adj Close Prices'!E120/'Adj Close Prices'!E119-1</f>
        <v>-5.5223193741371635E-3</v>
      </c>
      <c r="F119" s="6">
        <f>'Adj Close Prices'!F120/'Adj Close Prices'!F119-1</f>
        <v>2.2436616558207945E-4</v>
      </c>
      <c r="G119" s="6">
        <f>'Adj Close Prices'!G120/'Adj Close Prices'!G119-1</f>
        <v>1.5970104056315382E-3</v>
      </c>
    </row>
    <row r="120" spans="1:7" x14ac:dyDescent="0.45">
      <c r="A120" s="2">
        <f>'Adj Close Prices'!A121</f>
        <v>45246</v>
      </c>
      <c r="B120" s="6">
        <f>'Adj Close Prices'!B121/'Adj Close Prices'!B120-1</f>
        <v>1.2355000343196032E-3</v>
      </c>
      <c r="C120" s="6">
        <f>'Adj Close Prices'!C121/'Adj Close Prices'!C120-1</f>
        <v>-3.2051282051280827E-3</v>
      </c>
      <c r="D120" s="6">
        <f>'Adj Close Prices'!D121/'Adj Close Prices'!D120-1</f>
        <v>-4.8484848484847687E-3</v>
      </c>
      <c r="E120" s="6">
        <f>'Adj Close Prices'!E121/'Adj Close Prices'!E120-1</f>
        <v>-6.0157334567328968E-3</v>
      </c>
      <c r="F120" s="6">
        <f>'Adj Close Prices'!F121/'Adj Close Prices'!F120-1</f>
        <v>4.4863167339626031E-4</v>
      </c>
      <c r="G120" s="6">
        <f>'Adj Close Prices'!G121/'Adj Close Prices'!G120-1</f>
        <v>1.1904270473233058E-3</v>
      </c>
    </row>
    <row r="121" spans="1:7" x14ac:dyDescent="0.45">
      <c r="A121" s="2">
        <f>'Adj Close Prices'!A122</f>
        <v>45247</v>
      </c>
      <c r="B121" s="6">
        <f>'Adj Close Prices'!B122/'Adj Close Prices'!B121-1</f>
        <v>1.0740156760584707E-3</v>
      </c>
      <c r="C121" s="6">
        <f>'Adj Close Prices'!C122/'Adj Close Prices'!C121-1</f>
        <v>1.2861736334404128E-3</v>
      </c>
      <c r="D121" s="6">
        <f>'Adj Close Prices'!D122/'Adj Close Prices'!D121-1</f>
        <v>4.872107186357999E-3</v>
      </c>
      <c r="E121" s="6">
        <f>'Adj Close Prices'!E122/'Adj Close Prices'!E121-1</f>
        <v>1.1173184357541777E-2</v>
      </c>
      <c r="F121" s="6">
        <f>'Adj Close Prices'!F122/'Adj Close Prices'!F121-1</f>
        <v>-2.2421524663673864E-4</v>
      </c>
      <c r="G121" s="6">
        <f>'Adj Close Prices'!G122/'Adj Close Prices'!G121-1</f>
        <v>1.2820501360015779E-3</v>
      </c>
    </row>
    <row r="122" spans="1:7" x14ac:dyDescent="0.45">
      <c r="A122" s="2">
        <f>'Adj Close Prices'!A123</f>
        <v>45250</v>
      </c>
      <c r="B122" s="6">
        <f>'Adj Close Prices'!B123/'Adj Close Prices'!B122-1</f>
        <v>8.0350620891163071E-3</v>
      </c>
      <c r="C122" s="6">
        <f>'Adj Close Prices'!C123/'Adj Close Prices'!C122-1</f>
        <v>3.8535645472062008E-3</v>
      </c>
      <c r="D122" s="6">
        <f>'Adj Close Prices'!D123/'Adj Close Prices'!D122-1</f>
        <v>1.2121212121212199E-3</v>
      </c>
      <c r="E122" s="6">
        <f>'Adj Close Prices'!E123/'Adj Close Prices'!E122-1</f>
        <v>-2.7624309392264568E-3</v>
      </c>
      <c r="F122" s="6">
        <f>'Adj Close Prices'!F123/'Adj Close Prices'!F122-1</f>
        <v>2.2426553038790153E-4</v>
      </c>
      <c r="G122" s="6">
        <f>'Adj Close Prices'!G123/'Adj Close Prices'!G122-1</f>
        <v>7.3902773696605806E-3</v>
      </c>
    </row>
    <row r="123" spans="1:7" x14ac:dyDescent="0.45">
      <c r="A123" s="2">
        <f>'Adj Close Prices'!A124</f>
        <v>45251</v>
      </c>
      <c r="B123" s="6">
        <f>'Adj Close Prices'!B124/'Adj Close Prices'!B123-1</f>
        <v>-2.3097826086957429E-3</v>
      </c>
      <c r="C123" s="6">
        <f>'Adj Close Prices'!C124/'Adj Close Prices'!C123-1</f>
        <v>6.3979526551505295E-4</v>
      </c>
      <c r="D123" s="6">
        <f>'Adj Close Prices'!D124/'Adj Close Prices'!D123-1</f>
        <v>0</v>
      </c>
      <c r="E123" s="6">
        <f>'Adj Close Prices'!E124/'Adj Close Prices'!E123-1</f>
        <v>1.8467220683286989E-3</v>
      </c>
      <c r="F123" s="6">
        <f>'Adj Close Prices'!F124/'Adj Close Prices'!F123-1</f>
        <v>2.2421524663673864E-4</v>
      </c>
      <c r="G123" s="6">
        <f>'Adj Close Prices'!G124/'Adj Close Prices'!G123-1</f>
        <v>-2.0209307870712179E-3</v>
      </c>
    </row>
    <row r="124" spans="1:7" x14ac:dyDescent="0.45">
      <c r="A124" s="2">
        <f>'Adj Close Prices'!A125</f>
        <v>45252</v>
      </c>
      <c r="B124" s="6">
        <f>'Adj Close Prices'!B125/'Adj Close Prices'!B124-1</f>
        <v>3.8131553860820677E-3</v>
      </c>
      <c r="C124" s="6">
        <f>'Adj Close Prices'!C125/'Adj Close Prices'!C124-1</f>
        <v>5.1150895140665842E-3</v>
      </c>
      <c r="D124" s="6">
        <f>'Adj Close Prices'!D125/'Adj Close Prices'!D124-1</f>
        <v>4.237288135593209E-3</v>
      </c>
      <c r="E124" s="6">
        <f>'Adj Close Prices'!E125/'Adj Close Prices'!E124-1</f>
        <v>-2.7649769585252892E-3</v>
      </c>
      <c r="F124" s="6">
        <f>'Adj Close Prices'!F125/'Adj Close Prices'!F124-1</f>
        <v>6.7249495628796119E-4</v>
      </c>
      <c r="G124" s="6">
        <f>'Adj Close Prices'!G125/'Adj Close Prices'!G124-1</f>
        <v>4.0611301518154175E-3</v>
      </c>
    </row>
    <row r="125" spans="1:7" x14ac:dyDescent="0.45">
      <c r="A125" s="2">
        <f>'Adj Close Prices'!A126</f>
        <v>45254</v>
      </c>
      <c r="B125" s="6">
        <f>'Adj Close Prices'!B126/'Adj Close Prices'!B125-1</f>
        <v>7.4616741283395349E-4</v>
      </c>
      <c r="C125" s="6">
        <f>'Adj Close Prices'!C126/'Adj Close Prices'!C125-1</f>
        <v>2.5445292620864812E-3</v>
      </c>
      <c r="D125" s="6">
        <f>'Adj Close Prices'!D126/'Adj Close Prices'!D125-1</f>
        <v>6.0277275467157665E-4</v>
      </c>
      <c r="E125" s="6">
        <f>'Adj Close Prices'!E126/'Adj Close Prices'!E125-1</f>
        <v>1.4325323475046225E-2</v>
      </c>
      <c r="F125" s="6">
        <f>'Adj Close Prices'!F126/'Adj Close Prices'!F125-1</f>
        <v>-2.2401433691754402E-4</v>
      </c>
      <c r="G125" s="6">
        <f>'Adj Close Prices'!G126/'Adj Close Prices'!G125-1</f>
        <v>5.968722273035354E-4</v>
      </c>
    </row>
    <row r="126" spans="1:7" x14ac:dyDescent="0.45">
      <c r="A126" s="2">
        <f>'Adj Close Prices'!A127</f>
        <v>45257</v>
      </c>
      <c r="B126" s="6">
        <f>'Adj Close Prices'!B127/'Adj Close Prices'!B126-1</f>
        <v>-1.8753247926974748E-3</v>
      </c>
      <c r="C126" s="6">
        <f>'Adj Close Prices'!C127/'Adj Close Prices'!C126-1</f>
        <v>-2.5380710659897998E-3</v>
      </c>
      <c r="D126" s="6">
        <f>'Adj Close Prices'!D127/'Adj Close Prices'!D126-1</f>
        <v>0</v>
      </c>
      <c r="E126" s="6">
        <f>'Adj Close Prices'!E127/'Adj Close Prices'!E126-1</f>
        <v>-5.0113895216400417E-3</v>
      </c>
      <c r="F126" s="6">
        <f>'Adj Close Prices'!F127/'Adj Close Prices'!F126-1</f>
        <v>8.9625812233928848E-4</v>
      </c>
      <c r="G126" s="6">
        <f>'Adj Close Prices'!G127/'Adj Close Prices'!G126-1</f>
        <v>-1.9541557139113319E-3</v>
      </c>
    </row>
    <row r="127" spans="1:7" x14ac:dyDescent="0.45">
      <c r="A127" s="2">
        <f>'Adj Close Prices'!A128</f>
        <v>45258</v>
      </c>
      <c r="B127" s="6">
        <f>'Adj Close Prices'!B128/'Adj Close Prices'!B127-1</f>
        <v>8.6019558131100737E-4</v>
      </c>
      <c r="C127" s="6">
        <f>'Adj Close Prices'!C128/'Adj Close Prices'!C127-1</f>
        <v>-4.4529262086514532E-3</v>
      </c>
      <c r="D127" s="6">
        <f>'Adj Close Prices'!D128/'Adj Close Prices'!D127-1</f>
        <v>-8.4337349397590744E-3</v>
      </c>
      <c r="E127" s="6">
        <f>'Adj Close Prices'!E128/'Adj Close Prices'!E127-1</f>
        <v>-1.3736263736264798E-3</v>
      </c>
      <c r="F127" s="6">
        <f>'Adj Close Prices'!F128/'Adj Close Prices'!F127-1</f>
        <v>4.4772778150869996E-4</v>
      </c>
      <c r="G127" s="6">
        <f>'Adj Close Prices'!G128/'Adj Close Prices'!G127-1</f>
        <v>9.8011832367017604E-4</v>
      </c>
    </row>
    <row r="128" spans="1:7" x14ac:dyDescent="0.45">
      <c r="A128" s="2">
        <f>'Adj Close Prices'!A129</f>
        <v>45259</v>
      </c>
      <c r="B128" s="6">
        <f>'Adj Close Prices'!B129/'Adj Close Prices'!B128-1</f>
        <v>-4.5234541095573455E-4</v>
      </c>
      <c r="C128" s="6">
        <f>'Adj Close Prices'!C129/'Adj Close Prices'!C128-1</f>
        <v>6.3897763578268929E-4</v>
      </c>
      <c r="D128" s="6">
        <f>'Adj Close Prices'!D129/'Adj Close Prices'!D128-1</f>
        <v>-4.2527339003645137E-3</v>
      </c>
      <c r="E128" s="6">
        <f>'Adj Close Prices'!E129/'Adj Close Prices'!E128-1</f>
        <v>-6.4190738193488084E-3</v>
      </c>
      <c r="F128" s="6">
        <f>'Adj Close Prices'!F129/'Adj Close Prices'!F128-1</f>
        <v>4.4752741105402727E-4</v>
      </c>
      <c r="G128" s="6">
        <f>'Adj Close Prices'!G129/'Adj Close Prices'!G128-1</f>
        <v>-9.4624894729089526E-4</v>
      </c>
    </row>
    <row r="129" spans="1:7" x14ac:dyDescent="0.45">
      <c r="A129" s="2">
        <f>'Adj Close Prices'!A130</f>
        <v>45260</v>
      </c>
      <c r="B129" s="6">
        <f>'Adj Close Prices'!B130/'Adj Close Prices'!B129-1</f>
        <v>3.6204009594063002E-3</v>
      </c>
      <c r="C129" s="6">
        <f>'Adj Close Prices'!C130/'Adj Close Prices'!C129-1</f>
        <v>2.5542784163472554E-3</v>
      </c>
      <c r="D129" s="6">
        <f>'Adj Close Prices'!D130/'Adj Close Prices'!D129-1</f>
        <v>9.7620500305064528E-3</v>
      </c>
      <c r="E129" s="6">
        <f>'Adj Close Prices'!E130/'Adj Close Prices'!E129-1</f>
        <v>3.6917397323488199E-3</v>
      </c>
      <c r="F129" s="6">
        <f>'Adj Close Prices'!F130/'Adj Close Prices'!F129-1</f>
        <v>2.236636099306466E-4</v>
      </c>
      <c r="G129" s="6">
        <f>'Adj Close Prices'!G130/'Adj Close Prices'!G129-1</f>
        <v>3.7840714144734555E-3</v>
      </c>
    </row>
    <row r="130" spans="1:7" x14ac:dyDescent="0.45">
      <c r="A130" s="2">
        <f>'Adj Close Prices'!A131</f>
        <v>45261</v>
      </c>
      <c r="B130" s="6">
        <f>'Adj Close Prices'!B131/'Adj Close Prices'!B130-1</f>
        <v>5.9070207873022085E-3</v>
      </c>
      <c r="C130" s="6">
        <f>'Adj Close Prices'!C131/'Adj Close Prices'!C130-1</f>
        <v>5.0955414012738842E-3</v>
      </c>
      <c r="D130" s="6">
        <f>'Adj Close Prices'!D131/'Adj Close Prices'!D130-1</f>
        <v>1.8126888217522286E-3</v>
      </c>
      <c r="E130" s="6">
        <f>'Adj Close Prices'!E131/'Adj Close Prices'!E130-1</f>
        <v>-3.6781609195400966E-3</v>
      </c>
      <c r="F130" s="6">
        <f>'Adj Close Prices'!F131/'Adj Close Prices'!F130-1</f>
        <v>8.944543828264262E-4</v>
      </c>
      <c r="G130" s="6">
        <f>'Adj Close Prices'!G131/'Adj Close Prices'!G130-1</f>
        <v>5.8737425401176324E-3</v>
      </c>
    </row>
    <row r="131" spans="1:7" x14ac:dyDescent="0.45">
      <c r="A131" s="2">
        <f>'Adj Close Prices'!A132</f>
        <v>45264</v>
      </c>
      <c r="B131" s="6">
        <f>'Adj Close Prices'!B132/'Adj Close Prices'!B131-1</f>
        <v>-4.9533799533800771E-3</v>
      </c>
      <c r="C131" s="6">
        <f>'Adj Close Prices'!C132/'Adj Close Prices'!C131-1</f>
        <v>-3.1685678073509749E-3</v>
      </c>
      <c r="D131" s="6">
        <f>'Adj Close Prices'!D132/'Adj Close Prices'!D131-1</f>
        <v>-1.8094089264172331E-3</v>
      </c>
      <c r="E131" s="6">
        <f>'Adj Close Prices'!E132/'Adj Close Prices'!E131-1</f>
        <v>-1.1998154130133942E-2</v>
      </c>
      <c r="F131" s="6">
        <f>'Adj Close Prices'!F132/'Adj Close Prices'!F131-1</f>
        <v>0</v>
      </c>
      <c r="G131" s="6">
        <f>'Adj Close Prices'!G132/'Adj Close Prices'!G131-1</f>
        <v>-5.4106382122774965E-3</v>
      </c>
    </row>
    <row r="132" spans="1:7" x14ac:dyDescent="0.45">
      <c r="A132" s="2">
        <f>'Adj Close Prices'!A133</f>
        <v>45265</v>
      </c>
      <c r="B132" s="6">
        <f>'Adj Close Prices'!B133/'Adj Close Prices'!B132-1</f>
        <v>-2.2525059128275515E-4</v>
      </c>
      <c r="C132" s="6">
        <f>'Adj Close Prices'!C133/'Adj Close Prices'!C132-1</f>
        <v>-3.8143674507311598E-3</v>
      </c>
      <c r="D132" s="6">
        <f>'Adj Close Prices'!D133/'Adj Close Prices'!D132-1</f>
        <v>-4.8338368580062019E-3</v>
      </c>
      <c r="E132" s="6">
        <f>'Adj Close Prices'!E133/'Adj Close Prices'!E132-1</f>
        <v>-1.3078000934143019E-2</v>
      </c>
      <c r="F132" s="6">
        <f>'Adj Close Prices'!F133/'Adj Close Prices'!F132-1</f>
        <v>6.7024128686332674E-4</v>
      </c>
      <c r="G132" s="6">
        <f>'Adj Close Prices'!G133/'Adj Close Prices'!G132-1</f>
        <v>-5.6895642450283113E-4</v>
      </c>
    </row>
    <row r="133" spans="1:7" x14ac:dyDescent="0.45">
      <c r="A133" s="2">
        <f>'Adj Close Prices'!A134</f>
        <v>45266</v>
      </c>
      <c r="B133" s="6">
        <f>'Adj Close Prices'!B134/'Adj Close Prices'!B133-1</f>
        <v>-4.1230145319365308E-3</v>
      </c>
      <c r="C133" s="6">
        <f>'Adj Close Prices'!C134/'Adj Close Prices'!C133-1</f>
        <v>-3.8289725590300305E-3</v>
      </c>
      <c r="D133" s="6">
        <f>'Adj Close Prices'!D134/'Adj Close Prices'!D133-1</f>
        <v>-1.8214936247721303E-3</v>
      </c>
      <c r="E133" s="6">
        <f>'Adj Close Prices'!E134/'Adj Close Prices'!E133-1</f>
        <v>-8.9919545669663314E-3</v>
      </c>
      <c r="F133" s="6">
        <f>'Adj Close Prices'!F134/'Adj Close Prices'!F133-1</f>
        <v>0</v>
      </c>
      <c r="G133" s="6">
        <f>'Adj Close Prices'!G134/'Adj Close Prices'!G133-1</f>
        <v>-3.901759733051291E-3</v>
      </c>
    </row>
    <row r="134" spans="1:7" x14ac:dyDescent="0.45">
      <c r="A134" s="2">
        <f>'Adj Close Prices'!A135</f>
        <v>45267</v>
      </c>
      <c r="B134" s="6">
        <f>'Adj Close Prices'!B135/'Adj Close Prices'!B134-1</f>
        <v>7.6693362291300193E-3</v>
      </c>
      <c r="C134" s="6">
        <f>'Adj Close Prices'!C135/'Adj Close Prices'!C134-1</f>
        <v>1.2171684817424699E-2</v>
      </c>
      <c r="D134" s="6">
        <f>'Adj Close Prices'!D135/'Adj Close Prices'!D134-1</f>
        <v>7.9075425790753329E-3</v>
      </c>
      <c r="E134" s="6">
        <f>'Adj Close Prices'!E135/'Adj Close Prices'!E134-1</f>
        <v>9.5510983763131829E-3</v>
      </c>
      <c r="F134" s="6">
        <f>'Adj Close Prices'!F135/'Adj Close Prices'!F134-1</f>
        <v>2.2326412145567964E-4</v>
      </c>
      <c r="G134" s="6">
        <f>'Adj Close Prices'!G135/'Adj Close Prices'!G134-1</f>
        <v>7.9637750447865141E-3</v>
      </c>
    </row>
    <row r="135" spans="1:7" x14ac:dyDescent="0.45">
      <c r="A135" s="2">
        <f>'Adj Close Prices'!A136</f>
        <v>45268</v>
      </c>
      <c r="B135" s="6">
        <f>'Adj Close Prices'!B136/'Adj Close Prices'!B135-1</f>
        <v>4.3330863698614053E-3</v>
      </c>
      <c r="C135" s="6">
        <f>'Adj Close Prices'!C136/'Adj Close Prices'!C135-1</f>
        <v>6.9620253164557333E-3</v>
      </c>
      <c r="D135" s="6">
        <f>'Adj Close Prices'!D136/'Adj Close Prices'!D135-1</f>
        <v>7.2420036210019134E-3</v>
      </c>
      <c r="E135" s="6">
        <f>'Adj Close Prices'!E136/'Adj Close Prices'!E135-1</f>
        <v>9.4607379375590828E-3</v>
      </c>
      <c r="F135" s="6">
        <f>'Adj Close Prices'!F136/'Adj Close Prices'!F135-1</f>
        <v>0</v>
      </c>
      <c r="G135" s="6">
        <f>'Adj Close Prices'!G136/'Adj Close Prices'!G135-1</f>
        <v>4.0954470317822178E-3</v>
      </c>
    </row>
    <row r="136" spans="1:7" x14ac:dyDescent="0.45">
      <c r="A136" s="2">
        <f>'Adj Close Prices'!A137</f>
        <v>45271</v>
      </c>
      <c r="B136" s="6">
        <f>'Adj Close Prices'!B137/'Adj Close Prices'!B136-1</f>
        <v>3.8896588724459669E-3</v>
      </c>
      <c r="C136" s="6">
        <f>'Adj Close Prices'!C137/'Adj Close Prices'!C136-1</f>
        <v>-1.2570710245128902E-3</v>
      </c>
      <c r="D136" s="6">
        <f>'Adj Close Prices'!D137/'Adj Close Prices'!D136-1</f>
        <v>-2.3966446974237332E-3</v>
      </c>
      <c r="E136" s="6">
        <f>'Adj Close Prices'!E137/'Adj Close Prices'!E136-1</f>
        <v>1.405810684161235E-3</v>
      </c>
      <c r="F136" s="6">
        <f>'Adj Close Prices'!F137/'Adj Close Prices'!F136-1</f>
        <v>0</v>
      </c>
      <c r="G136" s="6">
        <f>'Adj Close Prices'!G137/'Adj Close Prices'!G136-1</f>
        <v>3.9245410871435737E-3</v>
      </c>
    </row>
    <row r="137" spans="1:7" x14ac:dyDescent="0.45">
      <c r="A137" s="2">
        <f>'Adj Close Prices'!A138</f>
        <v>45272</v>
      </c>
      <c r="B137" s="6">
        <f>'Adj Close Prices'!B138/'Adj Close Prices'!B137-1</f>
        <v>4.9434399216174985E-3</v>
      </c>
      <c r="C137" s="6">
        <f>'Adj Close Prices'!C138/'Adj Close Prices'!C137-1</f>
        <v>3.1466331025802319E-3</v>
      </c>
      <c r="D137" s="6">
        <f>'Adj Close Prices'!D138/'Adj Close Prices'!D137-1</f>
        <v>9.6096096096096595E-3</v>
      </c>
      <c r="E137" s="6">
        <f>'Adj Close Prices'!E138/'Adj Close Prices'!E137-1</f>
        <v>5.6153486195600344E-3</v>
      </c>
      <c r="F137" s="6">
        <f>'Adj Close Prices'!F138/'Adj Close Prices'!F137-1</f>
        <v>2.2321428571436819E-4</v>
      </c>
      <c r="G137" s="6">
        <f>'Adj Close Prices'!G138/'Adj Close Prices'!G137-1</f>
        <v>4.5993124828280774E-3</v>
      </c>
    </row>
    <row r="138" spans="1:7" x14ac:dyDescent="0.45">
      <c r="A138" s="2">
        <f>'Adj Close Prices'!A139</f>
        <v>45273</v>
      </c>
      <c r="B138" s="6">
        <f>'Adj Close Prices'!B139/'Adj Close Prices'!B138-1</f>
        <v>1.3715931752714461E-2</v>
      </c>
      <c r="C138" s="6">
        <f>'Adj Close Prices'!C139/'Adj Close Prices'!C138-1</f>
        <v>4.3914680050189947E-3</v>
      </c>
      <c r="D138" s="6">
        <f>'Adj Close Prices'!D139/'Adj Close Prices'!D138-1</f>
        <v>9.5181439619274055E-3</v>
      </c>
      <c r="E138" s="6">
        <f>'Adj Close Prices'!E139/'Adj Close Prices'!E138-1</f>
        <v>4.6533271288984324E-4</v>
      </c>
      <c r="F138" s="6">
        <f>'Adj Close Prices'!F139/'Adj Close Prices'!F138-1</f>
        <v>1.5621513055121827E-3</v>
      </c>
      <c r="G138" s="6">
        <f>'Adj Close Prices'!G139/'Adj Close Prices'!G138-1</f>
        <v>1.3650782028946873E-2</v>
      </c>
    </row>
    <row r="139" spans="1:7" x14ac:dyDescent="0.45">
      <c r="A139" s="2">
        <f>'Adj Close Prices'!A140</f>
        <v>45274</v>
      </c>
      <c r="B139" s="6">
        <f>'Adj Close Prices'!B140/'Adj Close Prices'!B139-1</f>
        <v>3.1257513825440064E-3</v>
      </c>
      <c r="C139" s="6">
        <f>'Adj Close Prices'!C140/'Adj Close Prices'!C139-1</f>
        <v>6.2460961898791467E-4</v>
      </c>
      <c r="D139" s="6">
        <f>'Adj Close Prices'!D140/'Adj Close Prices'!D139-1</f>
        <v>1.4142604596346642E-2</v>
      </c>
      <c r="E139" s="6">
        <f>'Adj Close Prices'!E140/'Adj Close Prices'!E139-1</f>
        <v>-5.1162790697674154E-3</v>
      </c>
      <c r="F139" s="6">
        <f>'Adj Close Prices'!F140/'Adj Close Prices'!F139-1</f>
        <v>4.4563279857379179E-4</v>
      </c>
      <c r="G139" s="6">
        <f>'Adj Close Prices'!G140/'Adj Close Prices'!G139-1</f>
        <v>2.647076319076902E-3</v>
      </c>
    </row>
    <row r="140" spans="1:7" x14ac:dyDescent="0.45">
      <c r="A140" s="2">
        <f>'Adj Close Prices'!A141</f>
        <v>45275</v>
      </c>
      <c r="B140" s="6">
        <f>'Adj Close Prices'!B141/'Adj Close Prices'!B140-1</f>
        <v>-1.699642639240051E-3</v>
      </c>
      <c r="C140" s="6">
        <f>'Adj Close Prices'!C141/'Adj Close Prices'!C140-1</f>
        <v>-8.1148564294630798E-3</v>
      </c>
      <c r="D140" s="6">
        <f>'Adj Close Prices'!D141/'Adj Close Prices'!D140-1</f>
        <v>-7.5537478210344622E-3</v>
      </c>
      <c r="E140" s="6">
        <f>'Adj Close Prices'!E141/'Adj Close Prices'!E140-1</f>
        <v>-2.8050490883591017E-3</v>
      </c>
      <c r="F140" s="6">
        <f>'Adj Close Prices'!F141/'Adj Close Prices'!F140-1</f>
        <v>0</v>
      </c>
      <c r="G140" s="6">
        <f>'Adj Close Prices'!G141/'Adj Close Prices'!G140-1</f>
        <v>-7.6278620373959605E-5</v>
      </c>
    </row>
    <row r="141" spans="1:7" x14ac:dyDescent="0.45">
      <c r="A141" s="2">
        <f>'Adj Close Prices'!A142</f>
        <v>45278</v>
      </c>
      <c r="B141" s="6">
        <f>'Adj Close Prices'!B142/'Adj Close Prices'!B141-1</f>
        <v>5.5659841969704082E-3</v>
      </c>
      <c r="C141" s="6">
        <f>'Adj Close Prices'!C142/'Adj Close Prices'!C141-1</f>
        <v>8.1812460667085585E-3</v>
      </c>
      <c r="D141" s="6">
        <f>'Adj Close Prices'!D142/'Adj Close Prices'!D141-1</f>
        <v>-2.3419203747072626E-3</v>
      </c>
      <c r="E141" s="6">
        <f>'Adj Close Prices'!E142/'Adj Close Prices'!E141-1</f>
        <v>2.812939521800395E-3</v>
      </c>
      <c r="F141" s="6">
        <f>'Adj Close Prices'!F142/'Adj Close Prices'!F141-1</f>
        <v>0</v>
      </c>
      <c r="G141" s="6">
        <f>'Adj Close Prices'!G142/'Adj Close Prices'!G141-1</f>
        <v>4.5325670985212341E-3</v>
      </c>
    </row>
    <row r="142" spans="1:7" x14ac:dyDescent="0.45">
      <c r="A142" s="2">
        <f>'Adj Close Prices'!A143</f>
        <v>45279</v>
      </c>
      <c r="B142" s="6">
        <f>'Adj Close Prices'!B143/'Adj Close Prices'!B142-1</f>
        <v>5.773947773991317E-3</v>
      </c>
      <c r="C142" s="6">
        <f>'Adj Close Prices'!C143/'Adj Close Prices'!C142-1</f>
        <v>-1.2484394506866447E-3</v>
      </c>
      <c r="D142" s="6">
        <f>'Adj Close Prices'!D143/'Adj Close Prices'!D142-1</f>
        <v>7.0422535211267512E-3</v>
      </c>
      <c r="E142" s="6">
        <f>'Adj Close Prices'!E143/'Adj Close Prices'!E142-1</f>
        <v>1.3090229079008919E-2</v>
      </c>
      <c r="F142" s="6">
        <f>'Adj Close Prices'!F143/'Adj Close Prices'!F142-1</f>
        <v>4.4543429844101645E-4</v>
      </c>
      <c r="G142" s="6">
        <f>'Adj Close Prices'!G143/'Adj Close Prices'!G142-1</f>
        <v>5.8621642545093611E-3</v>
      </c>
    </row>
    <row r="143" spans="1:7" x14ac:dyDescent="0.45">
      <c r="A143" s="2">
        <f>'Adj Close Prices'!A144</f>
        <v>45280</v>
      </c>
      <c r="B143" s="6">
        <f>'Adj Close Prices'!B144/'Adj Close Prices'!B143-1</f>
        <v>-1.4330419769073122E-2</v>
      </c>
      <c r="C143" s="6">
        <f>'Adj Close Prices'!C144/'Adj Close Prices'!C143-1</f>
        <v>-8.7500000000000355E-3</v>
      </c>
      <c r="D143" s="6">
        <f>'Adj Close Prices'!D144/'Adj Close Prices'!D143-1</f>
        <v>-8.7412587412586396E-3</v>
      </c>
      <c r="E143" s="6">
        <f>'Adj Close Prices'!E144/'Adj Close Prices'!E143-1</f>
        <v>-9.2293493308722718E-3</v>
      </c>
      <c r="F143" s="6">
        <f>'Adj Close Prices'!F144/'Adj Close Prices'!F143-1</f>
        <v>6.6785396260016228E-4</v>
      </c>
      <c r="G143" s="6">
        <f>'Adj Close Prices'!G144/'Adj Close Prices'!G143-1</f>
        <v>-1.4684293971092721E-2</v>
      </c>
    </row>
    <row r="144" spans="1:7" x14ac:dyDescent="0.45">
      <c r="A144" s="2">
        <f>'Adj Close Prices'!A145</f>
        <v>45281</v>
      </c>
      <c r="B144" s="6">
        <f>'Adj Close Prices'!B145/'Adj Close Prices'!B144-1</f>
        <v>1.0137724157561756E-2</v>
      </c>
      <c r="C144" s="6">
        <f>'Adj Close Prices'!C145/'Adj Close Prices'!C144-1</f>
        <v>3.7831021437579881E-3</v>
      </c>
      <c r="D144" s="6">
        <f>'Adj Close Prices'!D145/'Adj Close Prices'!D144-1</f>
        <v>5.2910052910053462E-3</v>
      </c>
      <c r="E144" s="6">
        <f>'Adj Close Prices'!E145/'Adj Close Prices'!E144-1</f>
        <v>0</v>
      </c>
      <c r="F144" s="6">
        <f>'Adj Close Prices'!F145/'Adj Close Prices'!F144-1</f>
        <v>4.4493882091201087E-4</v>
      </c>
      <c r="G144" s="6">
        <f>'Adj Close Prices'!G145/'Adj Close Prices'!G144-1</f>
        <v>1.030576756897128E-2</v>
      </c>
    </row>
    <row r="145" spans="1:7" x14ac:dyDescent="0.45">
      <c r="A145" s="2">
        <f>'Adj Close Prices'!A146</f>
        <v>45282</v>
      </c>
      <c r="B145" s="6">
        <f>'Adj Close Prices'!B146/'Adj Close Prices'!B145-1</f>
        <v>1.9291628733690835E-3</v>
      </c>
      <c r="C145" s="6">
        <f>'Adj Close Prices'!C146/'Adj Close Prices'!C145-1</f>
        <v>6.9095477386935666E-3</v>
      </c>
      <c r="D145" s="6">
        <f>'Adj Close Prices'!D146/'Adj Close Prices'!D145-1</f>
        <v>5.8479532163742132E-3</v>
      </c>
      <c r="E145" s="6">
        <f>'Adj Close Prices'!E146/'Adj Close Prices'!E145-1</f>
        <v>4.6576618537494952E-3</v>
      </c>
      <c r="F145" s="6">
        <f>'Adj Close Prices'!F146/'Adj Close Prices'!F145-1</f>
        <v>2.2237046920170478E-4</v>
      </c>
      <c r="G145" s="6">
        <f>'Adj Close Prices'!G146/'Adj Close Prices'!G145-1</f>
        <v>1.6600797175336801E-3</v>
      </c>
    </row>
    <row r="146" spans="1:7" x14ac:dyDescent="0.45">
      <c r="A146" s="2">
        <f>'Adj Close Prices'!A147</f>
        <v>45286</v>
      </c>
      <c r="B146" s="6">
        <f>'Adj Close Prices'!B147/'Adj Close Prices'!B146-1</f>
        <v>4.3052160179997134E-3</v>
      </c>
      <c r="C146" s="6">
        <f>'Adj Close Prices'!C147/'Adj Close Prices'!C146-1</f>
        <v>9.3574547723018764E-3</v>
      </c>
      <c r="D146" s="6">
        <f>'Adj Close Prices'!D147/'Adj Close Prices'!D146-1</f>
        <v>8.1395348837209891E-3</v>
      </c>
      <c r="E146" s="6">
        <f>'Adj Close Prices'!E147/'Adj Close Prices'!E146-1</f>
        <v>9.2721372276309832E-3</v>
      </c>
      <c r="F146" s="6">
        <f>'Adj Close Prices'!F147/'Adj Close Prices'!F146-1</f>
        <v>2.2232103156971661E-4</v>
      </c>
      <c r="G146" s="6">
        <f>'Adj Close Prices'!G147/'Adj Close Prices'!G146-1</f>
        <v>4.2274493967995319E-3</v>
      </c>
    </row>
    <row r="147" spans="1:7" x14ac:dyDescent="0.45">
      <c r="A147" s="2">
        <f>'Adj Close Prices'!A148</f>
        <v>45287</v>
      </c>
      <c r="B147" s="6">
        <f>'Adj Close Prices'!B148/'Adj Close Prices'!B147-1</f>
        <v>1.8956529231830554E-3</v>
      </c>
      <c r="C147" s="6">
        <f>'Adj Close Prices'!C148/'Adj Close Prices'!C147-1</f>
        <v>5.5624227441284368E-3</v>
      </c>
      <c r="D147" s="6">
        <f>'Adj Close Prices'!D148/'Adj Close Prices'!D147-1</f>
        <v>1.1534025374855705E-2</v>
      </c>
      <c r="E147" s="6">
        <f>'Adj Close Prices'!E148/'Adj Close Prices'!E147-1</f>
        <v>8.2682590721174787E-3</v>
      </c>
      <c r="F147" s="6">
        <f>'Adj Close Prices'!F148/'Adj Close Prices'!F147-1</f>
        <v>4.4454323182918642E-4</v>
      </c>
      <c r="G147" s="6">
        <f>'Adj Close Prices'!G148/'Adj Close Prices'!G147-1</f>
        <v>1.4346330899692727E-3</v>
      </c>
    </row>
    <row r="148" spans="1:7" x14ac:dyDescent="0.45">
      <c r="A148" s="2">
        <f>'Adj Close Prices'!A149</f>
        <v>45288</v>
      </c>
      <c r="B148" s="6">
        <f>'Adj Close Prices'!B149/'Adj Close Prices'!B148-1</f>
        <v>4.5151580305313743E-4</v>
      </c>
      <c r="C148" s="6">
        <f>'Adj Close Prices'!C149/'Adj Close Prices'!C148-1</f>
        <v>1.2292562999385304E-3</v>
      </c>
      <c r="D148" s="6">
        <f>'Adj Close Prices'!D149/'Adj Close Prices'!D148-1</f>
        <v>9.6921322690992628E-3</v>
      </c>
      <c r="E148" s="6">
        <f>'Adj Close Prices'!E149/'Adj Close Prices'!E148-1</f>
        <v>-4.5558086560363309E-3</v>
      </c>
      <c r="F148" s="6">
        <f>'Adj Close Prices'!F149/'Adj Close Prices'!F148-1</f>
        <v>4.4434570095530646E-4</v>
      </c>
      <c r="G148" s="6">
        <f>'Adj Close Prices'!G149/'Adj Close Prices'!G148-1</f>
        <v>3.7016975524872819E-4</v>
      </c>
    </row>
    <row r="149" spans="1:7" x14ac:dyDescent="0.45">
      <c r="A149" s="2">
        <f>'Adj Close Prices'!A150</f>
        <v>45289</v>
      </c>
      <c r="B149" s="6">
        <f>'Adj Close Prices'!B150/'Adj Close Prices'!B149-1</f>
        <v>-2.8583095140873871E-3</v>
      </c>
      <c r="C149" s="6">
        <f>'Adj Close Prices'!C150/'Adj Close Prices'!C149-1</f>
        <v>-2.4554941682013443E-3</v>
      </c>
      <c r="D149" s="6">
        <f>'Adj Close Prices'!D150/'Adj Close Prices'!D149-1</f>
        <v>-1.5810276679841917E-2</v>
      </c>
      <c r="E149" s="6">
        <f>'Adj Close Prices'!E150/'Adj Close Prices'!E149-1</f>
        <v>-3.2036613272311554E-3</v>
      </c>
      <c r="F149" s="6">
        <f>'Adj Close Prices'!F150/'Adj Close Prices'!F149-1</f>
        <v>2.2207417277364527E-4</v>
      </c>
      <c r="G149" s="6">
        <f>'Adj Close Prices'!G150/'Adj Close Prices'!G149-1</f>
        <v>-2.8306462402997168E-3</v>
      </c>
    </row>
    <row r="150" spans="1:7" x14ac:dyDescent="0.45">
      <c r="A150" s="2">
        <f>'Adj Close Prices'!A151</f>
        <v>45293</v>
      </c>
      <c r="B150" s="6">
        <f>'Adj Close Prices'!B151/'Adj Close Prices'!B150-1</f>
        <v>-5.7330057330058359E-3</v>
      </c>
      <c r="C150" s="6">
        <f>'Adj Close Prices'!C151/'Adj Close Prices'!C150-1</f>
        <v>0</v>
      </c>
      <c r="D150" s="6">
        <f>'Adj Close Prices'!D151/'Adj Close Prices'!D150-1</f>
        <v>-5.737234652896106E-4</v>
      </c>
      <c r="E150" s="6">
        <f>'Adj Close Prices'!E151/'Adj Close Prices'!E150-1</f>
        <v>8.2644628099173278E-3</v>
      </c>
      <c r="F150" s="6">
        <f>'Adj Close Prices'!F151/'Adj Close Prices'!F150-1</f>
        <v>0</v>
      </c>
      <c r="G150" s="6">
        <f>'Adj Close Prices'!G151/'Adj Close Prices'!G150-1</f>
        <v>-5.6605909656968212E-3</v>
      </c>
    </row>
    <row r="151" spans="1:7" x14ac:dyDescent="0.45">
      <c r="A151" s="2">
        <f>'Adj Close Prices'!A152</f>
        <v>45294</v>
      </c>
      <c r="B151" s="6">
        <f>'Adj Close Prices'!B152/'Adj Close Prices'!B151-1</f>
        <v>-8.1722015087141164E-3</v>
      </c>
      <c r="C151" s="6">
        <f>'Adj Close Prices'!C152/'Adj Close Prices'!C151-1</f>
        <v>0</v>
      </c>
      <c r="D151" s="6">
        <f>'Adj Close Prices'!D152/'Adj Close Prices'!D151-1</f>
        <v>-7.4626865671643117E-3</v>
      </c>
      <c r="E151" s="6">
        <f>'Adj Close Prices'!E152/'Adj Close Prices'!E151-1</f>
        <v>3.1876138433515333E-3</v>
      </c>
      <c r="F151" s="6">
        <f>'Adj Close Prices'!F152/'Adj Close Prices'!F151-1</f>
        <v>2.2202486678501998E-4</v>
      </c>
      <c r="G151" s="6">
        <f>'Adj Close Prices'!G152/'Adj Close Prices'!G151-1</f>
        <v>-8.0121109382181865E-3</v>
      </c>
    </row>
    <row r="152" spans="1:7" x14ac:dyDescent="0.45">
      <c r="A152" s="2">
        <f>'Adj Close Prices'!A153</f>
        <v>45295</v>
      </c>
      <c r="B152" s="6">
        <f>'Adj Close Prices'!B153/'Adj Close Prices'!B152-1</f>
        <v>-3.0816304229046576E-3</v>
      </c>
      <c r="C152" s="6">
        <f>'Adj Close Prices'!C153/'Adj Close Prices'!C152-1</f>
        <v>2.2769230769230875E-2</v>
      </c>
      <c r="D152" s="6">
        <f>'Adj Close Prices'!D153/'Adj Close Prices'!D152-1</f>
        <v>1.7351069982648903E-2</v>
      </c>
      <c r="E152" s="6">
        <f>'Adj Close Prices'!E153/'Adj Close Prices'!E152-1</f>
        <v>2.6781661370858023E-2</v>
      </c>
      <c r="F152" s="6">
        <f>'Adj Close Prices'!F153/'Adj Close Prices'!F152-1</f>
        <v>0</v>
      </c>
      <c r="G152" s="6">
        <f>'Adj Close Prices'!G153/'Adj Close Prices'!G152-1</f>
        <v>-3.4283989610655041E-3</v>
      </c>
    </row>
    <row r="153" spans="1:7" x14ac:dyDescent="0.45">
      <c r="A153" s="2">
        <f>'Adj Close Prices'!A154</f>
        <v>45296</v>
      </c>
      <c r="B153" s="6">
        <f>'Adj Close Prices'!B154/'Adj Close Prices'!B153-1</f>
        <v>1.2057701582848246E-3</v>
      </c>
      <c r="C153" s="6">
        <f>'Adj Close Prices'!C154/'Adj Close Prices'!C153-1</f>
        <v>-3.6101083032492598E-3</v>
      </c>
      <c r="D153" s="6">
        <f>'Adj Close Prices'!D154/'Adj Close Prices'!D153-1</f>
        <v>-3.4110289937463456E-3</v>
      </c>
      <c r="E153" s="6">
        <f>'Adj Close Prices'!E154/'Adj Close Prices'!E153-1</f>
        <v>-9.2838196286472163E-3</v>
      </c>
      <c r="F153" s="6">
        <f>'Adj Close Prices'!F154/'Adj Close Prices'!F153-1</f>
        <v>0</v>
      </c>
      <c r="G153" s="6">
        <f>'Adj Close Prices'!G154/'Adj Close Prices'!G153-1</f>
        <v>1.8214042728352808E-3</v>
      </c>
    </row>
    <row r="154" spans="1:7" x14ac:dyDescent="0.45">
      <c r="A154" s="2">
        <f>'Adj Close Prices'!A155</f>
        <v>45299</v>
      </c>
      <c r="B154" s="6">
        <f>'Adj Close Prices'!B155/'Adj Close Prices'!B154-1</f>
        <v>1.3751122205434729E-2</v>
      </c>
      <c r="C154" s="6">
        <f>'Adj Close Prices'!C155/'Adj Close Prices'!C154-1</f>
        <v>-1.2077294685990392E-3</v>
      </c>
      <c r="D154" s="6">
        <f>'Adj Close Prices'!D155/'Adj Close Prices'!D154-1</f>
        <v>5.7045065601823985E-3</v>
      </c>
      <c r="E154" s="6">
        <f>'Adj Close Prices'!E155/'Adj Close Prices'!E154-1</f>
        <v>9.3708165997323789E-3</v>
      </c>
      <c r="F154" s="6">
        <f>'Adj Close Prices'!F155/'Adj Close Prices'!F154-1</f>
        <v>2.2197558268599593E-4</v>
      </c>
      <c r="G154" s="6">
        <f>'Adj Close Prices'!G155/'Adj Close Prices'!G154-1</f>
        <v>1.4118959471859149E-2</v>
      </c>
    </row>
    <row r="155" spans="1:7" x14ac:dyDescent="0.45">
      <c r="A155" s="2">
        <f>'Adj Close Prices'!A156</f>
        <v>45300</v>
      </c>
      <c r="B155" s="6">
        <f>'Adj Close Prices'!B156/'Adj Close Prices'!B155-1</f>
        <v>-9.2878588245459692E-4</v>
      </c>
      <c r="C155" s="6">
        <f>'Adj Close Prices'!C156/'Adj Close Prices'!C155-1</f>
        <v>-3.6275695284159193E-3</v>
      </c>
      <c r="D155" s="6">
        <f>'Adj Close Prices'!D156/'Adj Close Prices'!D155-1</f>
        <v>-6.8065796937037959E-3</v>
      </c>
      <c r="E155" s="6">
        <f>'Adj Close Prices'!E156/'Adj Close Prices'!E155-1</f>
        <v>-7.0733863837312283E-3</v>
      </c>
      <c r="F155" s="6">
        <f>'Adj Close Prices'!F156/'Adj Close Prices'!F155-1</f>
        <v>4.4385264092317023E-4</v>
      </c>
      <c r="G155" s="6">
        <f>'Adj Close Prices'!G156/'Adj Close Prices'!G155-1</f>
        <v>-1.4778893892160028E-3</v>
      </c>
    </row>
    <row r="156" spans="1:7" x14ac:dyDescent="0.45">
      <c r="A156" s="2">
        <f>'Adj Close Prices'!A157</f>
        <v>45301</v>
      </c>
      <c r="B156" s="6">
        <f>'Adj Close Prices'!B157/'Adj Close Prices'!B156-1</f>
        <v>5.5995157175594557E-3</v>
      </c>
      <c r="C156" s="6">
        <f>'Adj Close Prices'!C157/'Adj Close Prices'!C156-1</f>
        <v>4.8543689320388328E-3</v>
      </c>
      <c r="D156" s="6">
        <f>'Adj Close Prices'!D157/'Adj Close Prices'!D156-1</f>
        <v>1.7133066818959541E-3</v>
      </c>
      <c r="E156" s="6">
        <f>'Adj Close Prices'!E157/'Adj Close Prices'!E156-1</f>
        <v>-2.6714158504007601E-3</v>
      </c>
      <c r="F156" s="6">
        <f>'Adj Close Prices'!F157/'Adj Close Prices'!F156-1</f>
        <v>0</v>
      </c>
      <c r="G156" s="6">
        <f>'Adj Close Prices'!G157/'Adj Close Prices'!G156-1</f>
        <v>5.665918919543822E-3</v>
      </c>
    </row>
    <row r="157" spans="1:7" x14ac:dyDescent="0.45">
      <c r="A157" s="2">
        <f>'Adj Close Prices'!A158</f>
        <v>45302</v>
      </c>
      <c r="B157" s="6">
        <f>'Adj Close Prices'!B158/'Adj Close Prices'!B157-1</f>
        <v>-5.3748414421772583E-4</v>
      </c>
      <c r="C157" s="6">
        <f>'Adj Close Prices'!C158/'Adj Close Prices'!C157-1</f>
        <v>-5.4347826086956763E-3</v>
      </c>
      <c r="D157" s="6">
        <f>'Adj Close Prices'!D158/'Adj Close Prices'!D157-1</f>
        <v>-6.2713797035347518E-3</v>
      </c>
      <c r="E157" s="6">
        <f>'Adj Close Prices'!E158/'Adj Close Prices'!E157-1</f>
        <v>-8.4821428571427715E-3</v>
      </c>
      <c r="F157" s="6">
        <f>'Adj Close Prices'!F158/'Adj Close Prices'!F157-1</f>
        <v>1.1091393078972445E-3</v>
      </c>
      <c r="G157" s="6">
        <f>'Adj Close Prices'!G158/'Adj Close Prices'!G157-1</f>
        <v>-6.7524344303082628E-4</v>
      </c>
    </row>
    <row r="158" spans="1:7" x14ac:dyDescent="0.45">
      <c r="A158" s="2">
        <f>'Adj Close Prices'!A159</f>
        <v>45303</v>
      </c>
      <c r="B158" s="6">
        <f>'Adj Close Prices'!B159/'Adj Close Prices'!B158-1</f>
        <v>8.6043710204775081E-4</v>
      </c>
      <c r="C158" s="6">
        <f>'Adj Close Prices'!C159/'Adj Close Prices'!C158-1</f>
        <v>4.8573163327263469E-3</v>
      </c>
      <c r="D158" s="6">
        <f>'Adj Close Prices'!D159/'Adj Close Prices'!D158-1</f>
        <v>6.3109581181870489E-3</v>
      </c>
      <c r="E158" s="6">
        <f>'Adj Close Prices'!E159/'Adj Close Prices'!E158-1</f>
        <v>3.6019810895993043E-3</v>
      </c>
      <c r="F158" s="6">
        <f>'Adj Close Prices'!F159/'Adj Close Prices'!F158-1</f>
        <v>6.6474628849966244E-4</v>
      </c>
      <c r="G158" s="6">
        <f>'Adj Close Prices'!G159/'Adj Close Prices'!G158-1</f>
        <v>7.5519378774679957E-4</v>
      </c>
    </row>
    <row r="159" spans="1:7" x14ac:dyDescent="0.45">
      <c r="A159" s="2">
        <f>'Adj Close Prices'!A160</f>
        <v>45307</v>
      </c>
      <c r="B159" s="6">
        <f>'Adj Close Prices'!B160/'Adj Close Prices'!B159-1</f>
        <v>-3.4817744154056474E-3</v>
      </c>
      <c r="C159" s="6">
        <f>'Adj Close Prices'!C160/'Adj Close Prices'!C159-1</f>
        <v>-1.0876132930513593E-2</v>
      </c>
      <c r="D159" s="6">
        <f>'Adj Close Prices'!D160/'Adj Close Prices'!D159-1</f>
        <v>-6.841505131128689E-3</v>
      </c>
      <c r="E159" s="6">
        <f>'Adj Close Prices'!E160/'Adj Close Prices'!E159-1</f>
        <v>-8.9726334679227637E-3</v>
      </c>
      <c r="F159" s="6">
        <f>'Adj Close Prices'!F160/'Adj Close Prices'!F159-1</f>
        <v>0</v>
      </c>
      <c r="G159" s="6">
        <f>'Adj Close Prices'!G160/'Adj Close Prices'!G159-1</f>
        <v>-3.7313120840162251E-3</v>
      </c>
    </row>
    <row r="160" spans="1:7" x14ac:dyDescent="0.45">
      <c r="A160" s="2">
        <f>'Adj Close Prices'!A161</f>
        <v>45308</v>
      </c>
      <c r="B160" s="6">
        <f>'Adj Close Prices'!B161/'Adj Close Prices'!B160-1</f>
        <v>-5.6075572617867442E-3</v>
      </c>
      <c r="C160" s="6">
        <f>'Adj Close Prices'!C161/'Adj Close Prices'!C160-1</f>
        <v>0</v>
      </c>
      <c r="D160" s="6">
        <f>'Adj Close Prices'!D161/'Adj Close Prices'!D160-1</f>
        <v>1.7221584385762601E-3</v>
      </c>
      <c r="E160" s="6">
        <f>'Adj Close Prices'!E161/'Adj Close Prices'!E160-1</f>
        <v>7.2430964237211182E-3</v>
      </c>
      <c r="F160" s="6">
        <f>'Adj Close Prices'!F161/'Adj Close Prices'!F160-1</f>
        <v>-4.4286979627983225E-4</v>
      </c>
      <c r="G160" s="6">
        <f>'Adj Close Prices'!G161/'Adj Close Prices'!G160-1</f>
        <v>-5.6168812775518884E-3</v>
      </c>
    </row>
    <row r="161" spans="1:7" x14ac:dyDescent="0.45">
      <c r="A161" s="2">
        <f>'Adj Close Prices'!A162</f>
        <v>45309</v>
      </c>
      <c r="B161" s="6">
        <f>'Adj Close Prices'!B162/'Adj Close Prices'!B161-1</f>
        <v>8.5672146792175052E-3</v>
      </c>
      <c r="C161" s="6">
        <f>'Adj Close Prices'!C162/'Adj Close Prices'!C161-1</f>
        <v>4.8869883934024028E-3</v>
      </c>
      <c r="D161" s="6">
        <f>'Adj Close Prices'!D162/'Adj Close Prices'!D161-1</f>
        <v>4.5845272206304077E-3</v>
      </c>
      <c r="E161" s="6">
        <f>'Adj Close Prices'!E162/'Adj Close Prices'!E161-1</f>
        <v>1.348314606741674E-3</v>
      </c>
      <c r="F161" s="6">
        <f>'Adj Close Prices'!F162/'Adj Close Prices'!F161-1</f>
        <v>6.6459902525473069E-4</v>
      </c>
      <c r="G161" s="6">
        <f>'Adj Close Prices'!G162/'Adj Close Prices'!G161-1</f>
        <v>8.8052464329573255E-3</v>
      </c>
    </row>
    <row r="162" spans="1:7" x14ac:dyDescent="0.45">
      <c r="A162" s="2">
        <f>'Adj Close Prices'!A163</f>
        <v>45310</v>
      </c>
      <c r="B162" s="6">
        <f>'Adj Close Prices'!B163/'Adj Close Prices'!B162-1</f>
        <v>1.2515859873981183E-2</v>
      </c>
      <c r="C162" s="6">
        <f>'Adj Close Prices'!C163/'Adj Close Prices'!C162-1</f>
        <v>4.2553191489362874E-3</v>
      </c>
      <c r="D162" s="6">
        <f>'Adj Close Prices'!D163/'Adj Close Prices'!D162-1</f>
        <v>2.8522532800911993E-3</v>
      </c>
      <c r="E162" s="6">
        <f>'Adj Close Prices'!E163/'Adj Close Prices'!E162-1</f>
        <v>-8.9766606822261341E-4</v>
      </c>
      <c r="F162" s="6">
        <f>'Adj Close Prices'!F163/'Adj Close Prices'!F162-1</f>
        <v>0</v>
      </c>
      <c r="G162" s="6">
        <f>'Adj Close Prices'!G163/'Adj Close Prices'!G162-1</f>
        <v>1.2313452347336717E-2</v>
      </c>
    </row>
    <row r="163" spans="1:7" x14ac:dyDescent="0.45">
      <c r="A163" s="2">
        <f>'Adj Close Prices'!A164</f>
        <v>45313</v>
      </c>
      <c r="B163" s="6">
        <f>'Adj Close Prices'!B164/'Adj Close Prices'!B163-1</f>
        <v>2.1663870186692247E-3</v>
      </c>
      <c r="C163" s="6">
        <f>'Adj Close Prices'!C164/'Adj Close Prices'!C163-1</f>
        <v>1.210653753026536E-3</v>
      </c>
      <c r="D163" s="6">
        <f>'Adj Close Prices'!D164/'Adj Close Prices'!D163-1</f>
        <v>1.2514220705347023E-2</v>
      </c>
      <c r="E163" s="6">
        <f>'Adj Close Prices'!E164/'Adj Close Prices'!E163-1</f>
        <v>9.4339622641508303E-3</v>
      </c>
      <c r="F163" s="6">
        <f>'Adj Close Prices'!F164/'Adj Close Prices'!F163-1</f>
        <v>2.2138587558107048E-4</v>
      </c>
      <c r="G163" s="6">
        <f>'Adj Close Prices'!G164/'Adj Close Prices'!G163-1</f>
        <v>2.1942964821004551E-3</v>
      </c>
    </row>
    <row r="164" spans="1:7" x14ac:dyDescent="0.45">
      <c r="A164" s="2">
        <f>'Adj Close Prices'!A165</f>
        <v>45314</v>
      </c>
      <c r="B164" s="6">
        <f>'Adj Close Prices'!B165/'Adj Close Prices'!B164-1</f>
        <v>3.1153968422168443E-3</v>
      </c>
      <c r="C164" s="6">
        <f>'Adj Close Prices'!C165/'Adj Close Prices'!C164-1</f>
        <v>1.8137847642081262E-3</v>
      </c>
      <c r="D164" s="6">
        <f>'Adj Close Prices'!D165/'Adj Close Prices'!D164-1</f>
        <v>3.9325842696629199E-3</v>
      </c>
      <c r="E164" s="6">
        <f>'Adj Close Prices'!E165/'Adj Close Prices'!E164-1</f>
        <v>8.9007565643073328E-4</v>
      </c>
      <c r="F164" s="6">
        <f>'Adj Close Prices'!F165/'Adj Close Prices'!F164-1</f>
        <v>2.213368747232547E-4</v>
      </c>
      <c r="G164" s="6">
        <f>'Adj Close Prices'!G165/'Adj Close Prices'!G164-1</f>
        <v>2.9213844517199661E-3</v>
      </c>
    </row>
    <row r="165" spans="1:7" x14ac:dyDescent="0.45">
      <c r="A165" s="2">
        <f>'Adj Close Prices'!A166</f>
        <v>45315</v>
      </c>
      <c r="B165" s="6">
        <f>'Adj Close Prices'!B166/'Adj Close Prices'!B165-1</f>
        <v>7.6058480520591054E-4</v>
      </c>
      <c r="C165" s="6">
        <f>'Adj Close Prices'!C166/'Adj Close Prices'!C165-1</f>
        <v>-4.8280024140012756E-3</v>
      </c>
      <c r="D165" s="6">
        <f>'Adj Close Prices'!D166/'Adj Close Prices'!D165-1</f>
        <v>-5.0363738108561984E-3</v>
      </c>
      <c r="E165" s="6">
        <f>'Adj Close Prices'!E166/'Adj Close Prices'!E165-1</f>
        <v>-1.7785682525566227E-3</v>
      </c>
      <c r="F165" s="6">
        <f>'Adj Close Prices'!F166/'Adj Close Prices'!F165-1</f>
        <v>0</v>
      </c>
      <c r="G165" s="6">
        <f>'Adj Close Prices'!G166/'Adj Close Prices'!G165-1</f>
        <v>8.0787565704132369E-4</v>
      </c>
    </row>
    <row r="166" spans="1:7" x14ac:dyDescent="0.45">
      <c r="A166" s="2">
        <f>'Adj Close Prices'!A167</f>
        <v>45316</v>
      </c>
      <c r="B166" s="6">
        <f>'Adj Close Prices'!B167/'Adj Close Prices'!B166-1</f>
        <v>5.5733828745143654E-3</v>
      </c>
      <c r="C166" s="6">
        <f>'Adj Close Prices'!C167/'Adj Close Prices'!C166-1</f>
        <v>7.8835657974531959E-3</v>
      </c>
      <c r="D166" s="6">
        <f>'Adj Close Prices'!D167/'Adj Close Prices'!D166-1</f>
        <v>1.1248593925758943E-3</v>
      </c>
      <c r="E166" s="6">
        <f>'Adj Close Prices'!E167/'Adj Close Prices'!E166-1</f>
        <v>-4.8997772828507369E-3</v>
      </c>
      <c r="F166" s="6">
        <f>'Adj Close Prices'!F167/'Adj Close Prices'!F166-1</f>
        <v>8.8515158220836554E-4</v>
      </c>
      <c r="G166" s="6">
        <f>'Adj Close Prices'!G167/'Adj Close Prices'!G166-1</f>
        <v>5.2644119181519677E-3</v>
      </c>
    </row>
    <row r="167" spans="1:7" x14ac:dyDescent="0.45">
      <c r="A167" s="2">
        <f>'Adj Close Prices'!A168</f>
        <v>45317</v>
      </c>
      <c r="B167" s="6">
        <f>'Adj Close Prices'!B168/'Adj Close Prices'!B167-1</f>
        <v>-1.0287201881088448E-3</v>
      </c>
      <c r="C167" s="6">
        <f>'Adj Close Prices'!C168/'Adj Close Prices'!C167-1</f>
        <v>3.6101083032489267E-3</v>
      </c>
      <c r="D167" s="6">
        <f>'Adj Close Prices'!D168/'Adj Close Prices'!D167-1</f>
        <v>8.9887640449437534E-3</v>
      </c>
      <c r="E167" s="6">
        <f>'Adj Close Prices'!E168/'Adj Close Prices'!E167-1</f>
        <v>9.4001790510296335E-3</v>
      </c>
      <c r="F167" s="6">
        <f>'Adj Close Prices'!F168/'Adj Close Prices'!F167-1</f>
        <v>0</v>
      </c>
      <c r="G167" s="6">
        <f>'Adj Close Prices'!G168/'Adj Close Prices'!G167-1</f>
        <v>-6.5588240702718625E-4</v>
      </c>
    </row>
    <row r="168" spans="1:7" x14ac:dyDescent="0.45">
      <c r="A168" s="2">
        <f>'Adj Close Prices'!A169</f>
        <v>45320</v>
      </c>
      <c r="B168" s="6">
        <f>'Adj Close Prices'!B169/'Adj Close Prices'!B168-1</f>
        <v>7.8599499821365715E-3</v>
      </c>
      <c r="C168" s="6">
        <f>'Adj Close Prices'!C169/'Adj Close Prices'!C168-1</f>
        <v>-1.7985611510792365E-3</v>
      </c>
      <c r="D168" s="6">
        <f>'Adj Close Prices'!D169/'Adj Close Prices'!D168-1</f>
        <v>-1.0579064587973308E-2</v>
      </c>
      <c r="E168" s="6">
        <f>'Adj Close Prices'!E169/'Adj Close Prices'!E168-1</f>
        <v>4.8780487804878092E-3</v>
      </c>
      <c r="F168" s="6">
        <f>'Adj Close Prices'!F169/'Adj Close Prices'!F168-1</f>
        <v>2.2109219544552694E-4</v>
      </c>
      <c r="G168" s="6">
        <f>'Adj Close Prices'!G169/'Adj Close Prices'!G168-1</f>
        <v>7.5608878420594383E-3</v>
      </c>
    </row>
    <row r="169" spans="1:7" x14ac:dyDescent="0.45">
      <c r="A169" s="2">
        <f>'Adj Close Prices'!A170</f>
        <v>45321</v>
      </c>
      <c r="B169" s="6">
        <f>'Adj Close Prices'!B170/'Adj Close Prices'!B169-1</f>
        <v>-7.5067247742777177E-4</v>
      </c>
      <c r="C169" s="6">
        <f>'Adj Close Prices'!C170/'Adj Close Prices'!C169-1</f>
        <v>4.2042042042043093E-3</v>
      </c>
      <c r="D169" s="6">
        <f>'Adj Close Prices'!D170/'Adj Close Prices'!D169-1</f>
        <v>3.3764772087787609E-3</v>
      </c>
      <c r="E169" s="6">
        <f>'Adj Close Prices'!E170/'Adj Close Prices'!E169-1</f>
        <v>5.295675198587757E-3</v>
      </c>
      <c r="F169" s="6">
        <f>'Adj Close Prices'!F170/'Adj Close Prices'!F169-1</f>
        <v>2.210433244915766E-4</v>
      </c>
      <c r="G169" s="6">
        <f>'Adj Close Prices'!G170/'Adj Close Prices'!G169-1</f>
        <v>-6.0471515481108629E-4</v>
      </c>
    </row>
    <row r="170" spans="1:7" x14ac:dyDescent="0.45">
      <c r="A170" s="2">
        <f>'Adj Close Prices'!A171</f>
        <v>45322</v>
      </c>
      <c r="B170" s="6">
        <f>'Adj Close Prices'!B171/'Adj Close Prices'!B170-1</f>
        <v>-1.6422862628075352E-2</v>
      </c>
      <c r="C170" s="6">
        <f>'Adj Close Prices'!C171/'Adj Close Prices'!C170-1</f>
        <v>-1.8540669856459302E-2</v>
      </c>
      <c r="D170" s="6">
        <f>'Adj Close Prices'!D171/'Adj Close Prices'!D170-1</f>
        <v>-1.9629837352776125E-2</v>
      </c>
      <c r="E170" s="6">
        <f>'Adj Close Prices'!E171/'Adj Close Prices'!E170-1</f>
        <v>-1.0096575943810415E-2</v>
      </c>
      <c r="F170" s="6">
        <f>'Adj Close Prices'!F171/'Adj Close Prices'!F170-1</f>
        <v>4.4198895027625085E-4</v>
      </c>
      <c r="G170" s="6">
        <f>'Adj Close Prices'!G171/'Adj Close Prices'!G170-1</f>
        <v>-1.6101653617491385E-2</v>
      </c>
    </row>
    <row r="171" spans="1:7" x14ac:dyDescent="0.45">
      <c r="A171" s="2">
        <f>'Adj Close Prices'!A172</f>
        <v>45323</v>
      </c>
      <c r="B171" s="6">
        <f>'Adj Close Prices'!B172/'Adj Close Prices'!B171-1</f>
        <v>1.326006704289906E-2</v>
      </c>
      <c r="C171" s="6">
        <f>'Adj Close Prices'!C172/'Adj Close Prices'!C171-1</f>
        <v>-7.3126142595978383E-3</v>
      </c>
      <c r="D171" s="6">
        <f>'Adj Close Prices'!D172/'Adj Close Prices'!D171-1</f>
        <v>-9.7254004576660114E-3</v>
      </c>
      <c r="E171" s="6">
        <f>'Adj Close Prices'!E172/'Adj Close Prices'!E171-1</f>
        <v>-6.2084257206208582E-3</v>
      </c>
      <c r="F171" s="6">
        <f>'Adj Close Prices'!F172/'Adj Close Prices'!F171-1</f>
        <v>4.417936823502E-4</v>
      </c>
      <c r="G171" s="6">
        <f>'Adj Close Prices'!G172/'Adj Close Prices'!G171-1</f>
        <v>1.2489526710499854E-2</v>
      </c>
    </row>
    <row r="172" spans="1:7" x14ac:dyDescent="0.45">
      <c r="A172" s="2">
        <f>'Adj Close Prices'!A173</f>
        <v>45324</v>
      </c>
      <c r="B172" s="6">
        <f>'Adj Close Prices'!B173/'Adj Close Prices'!B172-1</f>
        <v>1.0322661697271807E-2</v>
      </c>
      <c r="C172" s="6">
        <f>'Adj Close Prices'!C173/'Adj Close Prices'!C172-1</f>
        <v>4.9109883364029105E-3</v>
      </c>
      <c r="D172" s="6">
        <f>'Adj Close Prices'!D173/'Adj Close Prices'!D172-1</f>
        <v>1.1554015020218689E-3</v>
      </c>
      <c r="E172" s="6">
        <f>'Adj Close Prices'!E173/'Adj Close Prices'!E172-1</f>
        <v>6.2472110664881786E-3</v>
      </c>
      <c r="F172" s="6">
        <f>'Adj Close Prices'!F173/'Adj Close Prices'!F172-1</f>
        <v>0</v>
      </c>
      <c r="G172" s="6">
        <f>'Adj Close Prices'!G173/'Adj Close Prices'!G172-1</f>
        <v>1.0688560142513959E-2</v>
      </c>
    </row>
    <row r="173" spans="1:7" x14ac:dyDescent="0.45">
      <c r="A173" s="2">
        <f>'Adj Close Prices'!A174</f>
        <v>45327</v>
      </c>
      <c r="B173" s="6">
        <f>'Adj Close Prices'!B174/'Adj Close Prices'!B173-1</f>
        <v>-3.3366492580617635E-3</v>
      </c>
      <c r="C173" s="6">
        <f>'Adj Close Prices'!C174/'Adj Close Prices'!C173-1</f>
        <v>-1.0384850335980578E-2</v>
      </c>
      <c r="D173" s="6">
        <f>'Adj Close Prices'!D174/'Adj Close Prices'!D173-1</f>
        <v>-1.7311021350258082E-3</v>
      </c>
      <c r="E173" s="6">
        <f>'Adj Close Prices'!E174/'Adj Close Prices'!E173-1</f>
        <v>-1.6407982261640863E-2</v>
      </c>
      <c r="F173" s="6">
        <f>'Adj Close Prices'!F174/'Adj Close Prices'!F173-1</f>
        <v>-2.2079929344220872E-4</v>
      </c>
      <c r="G173" s="6">
        <f>'Adj Close Prices'!G174/'Adj Close Prices'!G173-1</f>
        <v>-3.1863704014424288E-3</v>
      </c>
    </row>
    <row r="174" spans="1:7" x14ac:dyDescent="0.45">
      <c r="A174" s="2">
        <f>'Adj Close Prices'!A175</f>
        <v>45328</v>
      </c>
      <c r="B174" s="6">
        <f>'Adj Close Prices'!B175/'Adj Close Prices'!B174-1</f>
        <v>2.7032085005509465E-3</v>
      </c>
      <c r="C174" s="6">
        <f>'Adj Close Prices'!C175/'Adj Close Prices'!C174-1</f>
        <v>-1.2345679012345512E-3</v>
      </c>
      <c r="D174" s="6">
        <f>'Adj Close Prices'!D175/'Adj Close Prices'!D174-1</f>
        <v>-2.3121387283236983E-3</v>
      </c>
      <c r="E174" s="6">
        <f>'Adj Close Prices'!E175/'Adj Close Prices'!E174-1</f>
        <v>-6.3119927862940184E-3</v>
      </c>
      <c r="F174" s="6">
        <f>'Adj Close Prices'!F175/'Adj Close Prices'!F174-1</f>
        <v>2.2084805653710404E-4</v>
      </c>
      <c r="G174" s="6">
        <f>'Adj Close Prices'!G175/'Adj Close Prices'!G174-1</f>
        <v>2.3104219858298691E-3</v>
      </c>
    </row>
    <row r="175" spans="1:7" x14ac:dyDescent="0.45">
      <c r="A175" s="2">
        <f>'Adj Close Prices'!A176</f>
        <v>45329</v>
      </c>
      <c r="B175" s="6">
        <f>'Adj Close Prices'!B176/'Adj Close Prices'!B175-1</f>
        <v>8.1085004458638643E-3</v>
      </c>
      <c r="C175" s="6">
        <f>'Adj Close Prices'!C176/'Adj Close Prices'!C175-1</f>
        <v>1.2360939431396822E-2</v>
      </c>
      <c r="D175" s="6">
        <f>'Adj Close Prices'!D176/'Adj Close Prices'!D175-1</f>
        <v>1.7381228273463112E-3</v>
      </c>
      <c r="E175" s="6">
        <f>'Adj Close Prices'!E176/'Adj Close Prices'!E175-1</f>
        <v>1.2704174228675091E-2</v>
      </c>
      <c r="F175" s="6">
        <f>'Adj Close Prices'!F176/'Adj Close Prices'!F175-1</f>
        <v>0</v>
      </c>
      <c r="G175" s="6">
        <f>'Adj Close Prices'!G176/'Adj Close Prices'!G175-1</f>
        <v>8.2373885802868863E-3</v>
      </c>
    </row>
    <row r="176" spans="1:7" x14ac:dyDescent="0.45">
      <c r="A176" s="2">
        <f>'Adj Close Prices'!A177</f>
        <v>45330</v>
      </c>
      <c r="B176" s="6">
        <f>'Adj Close Prices'!B177/'Adj Close Prices'!B176-1</f>
        <v>6.5827367728132913E-4</v>
      </c>
      <c r="C176" s="6">
        <f>'Adj Close Prices'!C177/'Adj Close Prices'!C176-1</f>
        <v>-8.5470085470086277E-3</v>
      </c>
      <c r="D176" s="6">
        <f>'Adj Close Prices'!D177/'Adj Close Prices'!D176-1</f>
        <v>-5.2053209947946488E-3</v>
      </c>
      <c r="E176" s="6">
        <f>'Adj Close Prices'!E177/'Adj Close Prices'!E176-1</f>
        <v>4.0322580645160144E-3</v>
      </c>
      <c r="F176" s="6">
        <f>'Adj Close Prices'!F177/'Adj Close Prices'!F176-1</f>
        <v>2.2079929344220872E-4</v>
      </c>
      <c r="G176" s="6">
        <f>'Adj Close Prices'!G177/'Adj Close Prices'!G176-1</f>
        <v>5.745688231348911E-4</v>
      </c>
    </row>
    <row r="177" spans="1:7" x14ac:dyDescent="0.45">
      <c r="A177" s="2">
        <f>'Adj Close Prices'!A178</f>
        <v>45331</v>
      </c>
      <c r="B177" s="6">
        <f>'Adj Close Prices'!B178/'Adj Close Prices'!B177-1</f>
        <v>5.7972206233039003E-3</v>
      </c>
      <c r="C177" s="6">
        <f>'Adj Close Prices'!C178/'Adj Close Prices'!C177-1</f>
        <v>2.4630541871923928E-3</v>
      </c>
      <c r="D177" s="6">
        <f>'Adj Close Prices'!D178/'Adj Close Prices'!D177-1</f>
        <v>5.2325581395349374E-3</v>
      </c>
      <c r="E177" s="6">
        <f>'Adj Close Prices'!E178/'Adj Close Prices'!E177-1</f>
        <v>-1.7849174475680352E-3</v>
      </c>
      <c r="F177" s="6">
        <f>'Adj Close Prices'!F178/'Adj Close Prices'!F177-1</f>
        <v>2.2075055187653625E-4</v>
      </c>
      <c r="G177" s="6">
        <f>'Adj Close Prices'!G178/'Adj Close Prices'!G177-1</f>
        <v>5.7423888337548856E-3</v>
      </c>
    </row>
    <row r="178" spans="1:7" x14ac:dyDescent="0.45">
      <c r="A178" s="2">
        <f>'Adj Close Prices'!A179</f>
        <v>45334</v>
      </c>
      <c r="B178" s="6">
        <f>'Adj Close Prices'!B179/'Adj Close Prices'!B178-1</f>
        <v>-5.3141478968232736E-4</v>
      </c>
      <c r="C178" s="6">
        <f>'Adj Close Prices'!C179/'Adj Close Prices'!C178-1</f>
        <v>6.142506142505999E-3</v>
      </c>
      <c r="D178" s="6">
        <f>'Adj Close Prices'!D179/'Adj Close Prices'!D178-1</f>
        <v>1.2145748987854255E-2</v>
      </c>
      <c r="E178" s="6">
        <f>'Adj Close Prices'!E179/'Adj Close Prices'!E178-1</f>
        <v>6.7054090299507596E-3</v>
      </c>
      <c r="F178" s="6">
        <f>'Adj Close Prices'!F179/'Adj Close Prices'!F178-1</f>
        <v>2.2070183182520964E-4</v>
      </c>
      <c r="G178" s="6">
        <f>'Adj Close Prices'!G179/'Adj Close Prices'!G178-1</f>
        <v>-9.5292661868218165E-4</v>
      </c>
    </row>
    <row r="179" spans="1:7" x14ac:dyDescent="0.45">
      <c r="A179" s="2">
        <f>'Adj Close Prices'!A180</f>
        <v>45335</v>
      </c>
      <c r="B179" s="6">
        <f>'Adj Close Prices'!B180/'Adj Close Prices'!B179-1</f>
        <v>-1.3435582822085901E-2</v>
      </c>
      <c r="C179" s="6">
        <f>'Adj Close Prices'!C180/'Adj Close Prices'!C179-1</f>
        <v>1.831501831501825E-3</v>
      </c>
      <c r="D179" s="6">
        <f>'Adj Close Prices'!D180/'Adj Close Prices'!D179-1</f>
        <v>-1.2000000000000011E-2</v>
      </c>
      <c r="E179" s="6">
        <f>'Adj Close Prices'!E180/'Adj Close Prices'!E179-1</f>
        <v>5.7726465364120738E-3</v>
      </c>
      <c r="F179" s="6">
        <f>'Adj Close Prices'!F180/'Adj Close Prices'!F179-1</f>
        <v>-4.4130626654903526E-4</v>
      </c>
      <c r="G179" s="6">
        <f>'Adj Close Prices'!G180/'Adj Close Prices'!G179-1</f>
        <v>-1.3674298014867081E-2</v>
      </c>
    </row>
    <row r="180" spans="1:7" x14ac:dyDescent="0.45">
      <c r="A180" s="2">
        <f>'Adj Close Prices'!A181</f>
        <v>45336</v>
      </c>
      <c r="B180" s="6">
        <f>'Adj Close Prices'!B181/'Adj Close Prices'!B180-1</f>
        <v>8.9339386024915868E-3</v>
      </c>
      <c r="C180" s="6">
        <f>'Adj Close Prices'!C181/'Adj Close Prices'!C180-1</f>
        <v>6.0938452163328272E-4</v>
      </c>
      <c r="D180" s="6">
        <f>'Adj Close Prices'!D181/'Adj Close Prices'!D180-1</f>
        <v>-4.6269519953729965E-3</v>
      </c>
      <c r="E180" s="6">
        <f>'Adj Close Prices'!E181/'Adj Close Prices'!E180-1</f>
        <v>5.7395143487859457E-3</v>
      </c>
      <c r="F180" s="6">
        <f>'Adj Close Prices'!F181/'Adj Close Prices'!F180-1</f>
        <v>2.2075055187653625E-4</v>
      </c>
      <c r="G180" s="6">
        <f>'Adj Close Prices'!G181/'Adj Close Prices'!G180-1</f>
        <v>9.5837808590879536E-3</v>
      </c>
    </row>
    <row r="181" spans="1:7" x14ac:dyDescent="0.45">
      <c r="A181" s="2">
        <f>'Adj Close Prices'!A182</f>
        <v>45337</v>
      </c>
      <c r="B181" s="6">
        <f>'Adj Close Prices'!B182/'Adj Close Prices'!B181-1</f>
        <v>6.574351810001211E-3</v>
      </c>
      <c r="C181" s="6">
        <f>'Adj Close Prices'!C182/'Adj Close Prices'!C181-1</f>
        <v>-3.0450669914738882E-3</v>
      </c>
      <c r="D181" s="6">
        <f>'Adj Close Prices'!D182/'Adj Close Prices'!D181-1</f>
        <v>1.9174898314933131E-2</v>
      </c>
      <c r="E181" s="6">
        <f>'Adj Close Prices'!E182/'Adj Close Prices'!E181-1</f>
        <v>1.1852502194907855E-2</v>
      </c>
      <c r="F181" s="6">
        <f>'Adj Close Prices'!F182/'Adj Close Prices'!F181-1</f>
        <v>6.6210549547562891E-4</v>
      </c>
      <c r="G181" s="6">
        <f>'Adj Close Prices'!G182/'Adj Close Prices'!G181-1</f>
        <v>5.8172670243550328E-3</v>
      </c>
    </row>
    <row r="182" spans="1:7" x14ac:dyDescent="0.45">
      <c r="A182" s="2">
        <f>'Adj Close Prices'!A183</f>
        <v>45338</v>
      </c>
      <c r="B182" s="6">
        <f>'Adj Close Prices'!B183/'Adj Close Prices'!B182-1</f>
        <v>-4.7556843695145679E-3</v>
      </c>
      <c r="C182" s="6">
        <f>'Adj Close Prices'!C183/'Adj Close Prices'!C182-1</f>
        <v>-1.2217470983506562E-3</v>
      </c>
      <c r="D182" s="6">
        <f>'Adj Close Prices'!D183/'Adj Close Prices'!D182-1</f>
        <v>0</v>
      </c>
      <c r="E182" s="6">
        <f>'Adj Close Prices'!E183/'Adj Close Prices'!E182-1</f>
        <v>3.9045553145335976E-3</v>
      </c>
      <c r="F182" s="6">
        <f>'Adj Close Prices'!F183/'Adj Close Prices'!F182-1</f>
        <v>-2.2055580061763891E-4</v>
      </c>
      <c r="G182" s="6">
        <f>'Adj Close Prices'!G183/'Adj Close Prices'!G182-1</f>
        <v>-4.8034483032852737E-3</v>
      </c>
    </row>
    <row r="183" spans="1:7" x14ac:dyDescent="0.45">
      <c r="A183" s="2">
        <f>'Adj Close Prices'!A184</f>
        <v>45342</v>
      </c>
      <c r="B183" s="6">
        <f>'Adj Close Prices'!B184/'Adj Close Prices'!B183-1</f>
        <v>-5.5577203092636029E-3</v>
      </c>
      <c r="C183" s="6">
        <f>'Adj Close Prices'!C184/'Adj Close Prices'!C183-1</f>
        <v>-1.8348623853211565E-3</v>
      </c>
      <c r="D183" s="6">
        <f>'Adj Close Prices'!D184/'Adj Close Prices'!D183-1</f>
        <v>-2.8506271379703518E-3</v>
      </c>
      <c r="E183" s="6">
        <f>'Adj Close Prices'!E184/'Adj Close Prices'!E183-1</f>
        <v>-9.0751944684529517E-3</v>
      </c>
      <c r="F183" s="6">
        <f>'Adj Close Prices'!F184/'Adj Close Prices'!F183-1</f>
        <v>6.6181336863002649E-4</v>
      </c>
      <c r="G183" s="6">
        <f>'Adj Close Prices'!G184/'Adj Close Prices'!G183-1</f>
        <v>-6.0013265249042602E-3</v>
      </c>
    </row>
    <row r="184" spans="1:7" x14ac:dyDescent="0.45">
      <c r="A184" s="2">
        <f>'Adj Close Prices'!A185</f>
        <v>45343</v>
      </c>
      <c r="B184" s="6">
        <f>'Adj Close Prices'!B185/'Adj Close Prices'!B184-1</f>
        <v>9.0740358836871593E-4</v>
      </c>
      <c r="C184" s="6">
        <f>'Adj Close Prices'!C185/'Adj Close Prices'!C184-1</f>
        <v>-4.2892156862744946E-3</v>
      </c>
      <c r="D184" s="6">
        <f>'Adj Close Prices'!D185/'Adj Close Prices'!D184-1</f>
        <v>2.8587764436820429E-3</v>
      </c>
      <c r="E184" s="6">
        <f>'Adj Close Prices'!E185/'Adj Close Prices'!E184-1</f>
        <v>5.2333187963367056E-3</v>
      </c>
      <c r="F184" s="6">
        <f>'Adj Close Prices'!F185/'Adj Close Prices'!F184-1</f>
        <v>2.2045855379193569E-4</v>
      </c>
      <c r="G184" s="6">
        <f>'Adj Close Prices'!G185/'Adj Close Prices'!G184-1</f>
        <v>1.2641894716531876E-3</v>
      </c>
    </row>
    <row r="185" spans="1:7" x14ac:dyDescent="0.45">
      <c r="A185" s="2">
        <f>'Adj Close Prices'!A186</f>
        <v>45344</v>
      </c>
      <c r="B185" s="6">
        <f>'Adj Close Prices'!B186/'Adj Close Prices'!B185-1</f>
        <v>2.089257015700352E-2</v>
      </c>
      <c r="C185" s="6">
        <f>'Adj Close Prices'!C186/'Adj Close Prices'!C185-1</f>
        <v>4.3076923076923457E-3</v>
      </c>
      <c r="D185" s="6">
        <f>'Adj Close Prices'!D186/'Adj Close Prices'!D185-1</f>
        <v>3.9908779931585592E-3</v>
      </c>
      <c r="E185" s="6">
        <f>'Adj Close Prices'!E186/'Adj Close Prices'!E185-1</f>
        <v>9.9783080260302803E-3</v>
      </c>
      <c r="F185" s="6">
        <f>'Adj Close Prices'!F186/'Adj Close Prices'!F185-1</f>
        <v>0</v>
      </c>
      <c r="G185" s="6">
        <f>'Adj Close Prices'!G186/'Adj Close Prices'!G185-1</f>
        <v>2.1118830304648339E-2</v>
      </c>
    </row>
    <row r="186" spans="1:7" x14ac:dyDescent="0.45">
      <c r="A186" s="2">
        <f>'Adj Close Prices'!A187</f>
        <v>45345</v>
      </c>
      <c r="B186" s="6">
        <f>'Adj Close Prices'!B187/'Adj Close Prices'!B186-1</f>
        <v>5.6510858157743371E-4</v>
      </c>
      <c r="C186" s="6">
        <f>'Adj Close Prices'!C187/'Adj Close Prices'!C186-1</f>
        <v>0</v>
      </c>
      <c r="D186" s="6">
        <f>'Adj Close Prices'!D187/'Adj Close Prices'!D186-1</f>
        <v>2.8392958546281655E-3</v>
      </c>
      <c r="E186" s="6">
        <f>'Adj Close Prices'!E187/'Adj Close Prices'!E186-1</f>
        <v>7.7319587628865705E-3</v>
      </c>
      <c r="F186" s="6">
        <f>'Adj Close Prices'!F187/'Adj Close Prices'!F186-1</f>
        <v>2.2040996253047673E-4</v>
      </c>
      <c r="G186" s="6">
        <f>'Adj Close Prices'!G187/'Adj Close Prices'!G186-1</f>
        <v>3.4794437607854611E-4</v>
      </c>
    </row>
    <row r="187" spans="1:7" x14ac:dyDescent="0.45">
      <c r="A187" s="2">
        <f>'Adj Close Prices'!A188</f>
        <v>45348</v>
      </c>
      <c r="B187" s="6">
        <f>'Adj Close Prices'!B188/'Adj Close Prices'!B187-1</f>
        <v>-3.7719864450540541E-3</v>
      </c>
      <c r="C187" s="6">
        <f>'Adj Close Prices'!C188/'Adj Close Prices'!C187-1</f>
        <v>-2.450980392156854E-3</v>
      </c>
      <c r="D187" s="6">
        <f>'Adj Close Prices'!D188/'Adj Close Prices'!D187-1</f>
        <v>-3.3975084937711841E-3</v>
      </c>
      <c r="E187" s="6">
        <f>'Adj Close Prices'!E188/'Adj Close Prices'!E187-1</f>
        <v>-1.2787723785167016E-3</v>
      </c>
      <c r="F187" s="6">
        <f>'Adj Close Prices'!F188/'Adj Close Prices'!F187-1</f>
        <v>0</v>
      </c>
      <c r="G187" s="6">
        <f>'Adj Close Prices'!G188/'Adj Close Prices'!G187-1</f>
        <v>-3.7828246007400868E-3</v>
      </c>
    </row>
    <row r="188" spans="1:7" x14ac:dyDescent="0.45">
      <c r="A188" s="2">
        <f>'Adj Close Prices'!A189</f>
        <v>45349</v>
      </c>
      <c r="B188" s="6">
        <f>'Adj Close Prices'!B189/'Adj Close Prices'!B188-1</f>
        <v>1.7817732693514721E-3</v>
      </c>
      <c r="C188" s="6">
        <f>'Adj Close Prices'!C189/'Adj Close Prices'!C188-1</f>
        <v>7.9852579852579542E-3</v>
      </c>
      <c r="D188" s="6">
        <f>'Adj Close Prices'!D189/'Adj Close Prices'!D188-1</f>
        <v>7.3863636363635798E-3</v>
      </c>
      <c r="E188" s="6">
        <f>'Adj Close Prices'!E189/'Adj Close Prices'!E188-1</f>
        <v>6.8288518992745129E-3</v>
      </c>
      <c r="F188" s="6">
        <f>'Adj Close Prices'!F189/'Adj Close Prices'!F188-1</f>
        <v>2.2036139268388766E-4</v>
      </c>
      <c r="G188" s="6">
        <f>'Adj Close Prices'!G189/'Adj Close Prices'!G188-1</f>
        <v>1.7023240767406467E-3</v>
      </c>
    </row>
    <row r="189" spans="1:7" x14ac:dyDescent="0.45">
      <c r="A189" s="2">
        <f>'Adj Close Prices'!A190</f>
        <v>45350</v>
      </c>
      <c r="B189" s="6">
        <f>'Adj Close Prices'!B190/'Adj Close Prices'!B189-1</f>
        <v>-1.2531075044970308E-3</v>
      </c>
      <c r="C189" s="6">
        <f>'Adj Close Prices'!C190/'Adj Close Prices'!C189-1</f>
        <v>-3.0469226081657474E-3</v>
      </c>
      <c r="D189" s="6">
        <f>'Adj Close Prices'!D190/'Adj Close Prices'!D189-1</f>
        <v>-6.2041737168639921E-3</v>
      </c>
      <c r="E189" s="6">
        <f>'Adj Close Prices'!E190/'Adj Close Prices'!E189-1</f>
        <v>-1.0173802458668835E-2</v>
      </c>
      <c r="F189" s="6">
        <f>'Adj Close Prices'!F190/'Adj Close Prices'!F189-1</f>
        <v>4.4062568847746952E-4</v>
      </c>
      <c r="G189" s="6">
        <f>'Adj Close Prices'!G190/'Adj Close Prices'!G189-1</f>
        <v>-1.654139187935777E-3</v>
      </c>
    </row>
    <row r="190" spans="1:7" x14ac:dyDescent="0.45">
      <c r="A190" s="2">
        <f>'Adj Close Prices'!A191</f>
        <v>45351</v>
      </c>
      <c r="B190" s="6">
        <f>'Adj Close Prices'!B191/'Adj Close Prices'!B190-1</f>
        <v>3.4807244763737089E-3</v>
      </c>
      <c r="C190" s="6">
        <f>'Adj Close Prices'!C191/'Adj Close Prices'!C190-1</f>
        <v>3.0562347188265448E-3</v>
      </c>
      <c r="D190" s="6">
        <f>'Adj Close Prices'!D191/'Adj Close Prices'!D190-1</f>
        <v>3.4052213393869213E-3</v>
      </c>
      <c r="E190" s="6">
        <f>'Adj Close Prices'!E191/'Adj Close Prices'!E190-1</f>
        <v>-8.5653104925065282E-4</v>
      </c>
      <c r="F190" s="6">
        <f>'Adj Close Prices'!F191/'Adj Close Prices'!F190-1</f>
        <v>2.2021581149545E-4</v>
      </c>
      <c r="G190" s="6">
        <f>'Adj Close Prices'!G191/'Adj Close Prices'!G190-1</f>
        <v>5.2290340587441975E-3</v>
      </c>
    </row>
    <row r="191" spans="1:7" x14ac:dyDescent="0.45">
      <c r="A191" s="2">
        <f>'Adj Close Prices'!A192</f>
        <v>45352</v>
      </c>
      <c r="B191" s="6">
        <f>'Adj Close Prices'!B192/'Adj Close Prices'!B191-1</f>
        <v>9.6799564401961469E-3</v>
      </c>
      <c r="C191" s="6">
        <f>'Adj Close Prices'!C192/'Adj Close Prices'!C191-1</f>
        <v>0</v>
      </c>
      <c r="D191" s="6">
        <f>'Adj Close Prices'!D192/'Adj Close Prices'!D191-1</f>
        <v>-3.4502262443438902E-2</v>
      </c>
      <c r="E191" s="6">
        <f>'Adj Close Prices'!E192/'Adj Close Prices'!E191-1</f>
        <v>1.7145306472354793E-3</v>
      </c>
      <c r="F191" s="6">
        <f>'Adj Close Prices'!F192/'Adj Close Prices'!F191-1</f>
        <v>2.2016732716867438E-4</v>
      </c>
      <c r="G191" s="6">
        <f>'Adj Close Prices'!G192/'Adj Close Prices'!G191-1</f>
        <v>8.0038773379798034E-3</v>
      </c>
    </row>
    <row r="192" spans="1:7" x14ac:dyDescent="0.45">
      <c r="A192" s="2">
        <f>'Adj Close Prices'!A193</f>
        <v>45355</v>
      </c>
      <c r="B192" s="6">
        <f>'Adj Close Prices'!B193/'Adj Close Prices'!B192-1</f>
        <v>-1.1983941518365349E-3</v>
      </c>
      <c r="C192" s="6">
        <f>'Adj Close Prices'!C193/'Adj Close Prices'!C192-1</f>
        <v>4.8750761730651515E-3</v>
      </c>
      <c r="D192" s="6">
        <f>'Adj Close Prices'!D193/'Adj Close Prices'!D192-1</f>
        <v>-2.3432923257176164E-3</v>
      </c>
      <c r="E192" s="6">
        <f>'Adj Close Prices'!E193/'Adj Close Prices'!E192-1</f>
        <v>1.2836970474967568E-3</v>
      </c>
      <c r="F192" s="6">
        <f>'Adj Close Prices'!F193/'Adj Close Prices'!F192-1</f>
        <v>0</v>
      </c>
      <c r="G192" s="6">
        <f>'Adj Close Prices'!G193/'Adj Close Prices'!G192-1</f>
        <v>-1.1932872240402181E-3</v>
      </c>
    </row>
    <row r="193" spans="1:7" x14ac:dyDescent="0.45">
      <c r="A193" s="2">
        <f>'Adj Close Prices'!A194</f>
        <v>45356</v>
      </c>
      <c r="B193" s="6">
        <f>'Adj Close Prices'!B194/'Adj Close Prices'!B193-1</f>
        <v>-1.0098586197932358E-2</v>
      </c>
      <c r="C193" s="6">
        <f>'Adj Close Prices'!C194/'Adj Close Prices'!C193-1</f>
        <v>-4.8514251061247959E-3</v>
      </c>
      <c r="D193" s="6">
        <f>'Adj Close Prices'!D194/'Adj Close Prices'!D193-1</f>
        <v>-7.6335877862596657E-3</v>
      </c>
      <c r="E193" s="6">
        <f>'Adj Close Prices'!E194/'Adj Close Prices'!E193-1</f>
        <v>8.5470085470107371E-4</v>
      </c>
      <c r="F193" s="6">
        <f>'Adj Close Prices'!F194/'Adj Close Prices'!F193-1</f>
        <v>4.4023772837342712E-4</v>
      </c>
      <c r="G193" s="6">
        <f>'Adj Close Prices'!G194/'Adj Close Prices'!G193-1</f>
        <v>-1.019306403894793E-2</v>
      </c>
    </row>
    <row r="194" spans="1:7" x14ac:dyDescent="0.45">
      <c r="A194" s="2">
        <f>'Adj Close Prices'!A195</f>
        <v>45357</v>
      </c>
      <c r="B194" s="6">
        <f>'Adj Close Prices'!B195/'Adj Close Prices'!B194-1</f>
        <v>5.4139226697911269E-3</v>
      </c>
      <c r="C194" s="6">
        <f>'Adj Close Prices'!C195/'Adj Close Prices'!C194-1</f>
        <v>7.921998781230899E-3</v>
      </c>
      <c r="D194" s="6">
        <f>'Adj Close Prices'!D195/'Adj Close Prices'!D194-1</f>
        <v>7.692307692307887E-3</v>
      </c>
      <c r="E194" s="6">
        <f>'Adj Close Prices'!E195/'Adj Close Prices'!E194-1</f>
        <v>1.0247651579846195E-2</v>
      </c>
      <c r="F194" s="6">
        <f>'Adj Close Prices'!F195/'Adj Close Prices'!F194-1</f>
        <v>2.2002200220017087E-4</v>
      </c>
      <c r="G194" s="6">
        <f>'Adj Close Prices'!G195/'Adj Close Prices'!G194-1</f>
        <v>5.1450782099144998E-3</v>
      </c>
    </row>
    <row r="195" spans="1:7" x14ac:dyDescent="0.45">
      <c r="A195" s="2">
        <f>'Adj Close Prices'!A196</f>
        <v>45358</v>
      </c>
      <c r="B195" s="6">
        <f>'Adj Close Prices'!B196/'Adj Close Prices'!B195-1</f>
        <v>9.9457504520794604E-3</v>
      </c>
      <c r="C195" s="6">
        <f>'Adj Close Prices'!C196/'Adj Close Prices'!C195-1</f>
        <v>3.6275695284160303E-3</v>
      </c>
      <c r="D195" s="6">
        <f>'Adj Close Prices'!D196/'Adj Close Prices'!D195-1</f>
        <v>-4.1103934233704953E-3</v>
      </c>
      <c r="E195" s="6">
        <f>'Adj Close Prices'!E196/'Adj Close Prices'!E195-1</f>
        <v>5.9171597633136397E-3</v>
      </c>
      <c r="F195" s="6">
        <f>'Adj Close Prices'!F196/'Adj Close Prices'!F195-1</f>
        <v>4.3994720633522277E-4</v>
      </c>
      <c r="G195" s="6">
        <f>'Adj Close Prices'!G196/'Adj Close Prices'!G195-1</f>
        <v>1.0300170232939054E-2</v>
      </c>
    </row>
    <row r="196" spans="1:7" x14ac:dyDescent="0.45">
      <c r="A196" s="2">
        <f>'Adj Close Prices'!A197</f>
        <v>45359</v>
      </c>
      <c r="B196" s="6">
        <f>'Adj Close Prices'!B197/'Adj Close Prices'!B196-1</f>
        <v>-6.0678404456380175E-3</v>
      </c>
      <c r="C196" s="6">
        <f>'Adj Close Prices'!C197/'Adj Close Prices'!C196-1</f>
        <v>2.4096385542167198E-3</v>
      </c>
      <c r="D196" s="6">
        <f>'Adj Close Prices'!D197/'Adj Close Prices'!D196-1</f>
        <v>5.8962264150941301E-3</v>
      </c>
      <c r="E196" s="6">
        <f>'Adj Close Prices'!E197/'Adj Close Prices'!E196-1</f>
        <v>6.302521008403339E-3</v>
      </c>
      <c r="F196" s="6">
        <f>'Adj Close Prices'!F197/'Adj Close Prices'!F196-1</f>
        <v>4.3975373790683392E-4</v>
      </c>
      <c r="G196" s="6">
        <f>'Adj Close Prices'!G197/'Adj Close Prices'!G196-1</f>
        <v>-6.5285466373234957E-3</v>
      </c>
    </row>
    <row r="197" spans="1:7" x14ac:dyDescent="0.45">
      <c r="A197" s="2">
        <f>'Adj Close Prices'!A198</f>
        <v>45362</v>
      </c>
      <c r="B197" s="6">
        <f>'Adj Close Prices'!B198/'Adj Close Prices'!B197-1</f>
        <v>-5.0040032025622239E-4</v>
      </c>
      <c r="C197" s="6">
        <f>'Adj Close Prices'!C198/'Adj Close Prices'!C197-1</f>
        <v>1.8028846153845812E-3</v>
      </c>
      <c r="D197" s="6">
        <f>'Adj Close Prices'!D198/'Adj Close Prices'!D197-1</f>
        <v>1.1723329425556983E-2</v>
      </c>
      <c r="E197" s="6">
        <f>'Adj Close Prices'!E198/'Adj Close Prices'!E197-1</f>
        <v>2.9227557411273253E-3</v>
      </c>
      <c r="F197" s="6">
        <f>'Adj Close Prices'!F198/'Adj Close Prices'!F197-1</f>
        <v>-2.1978021978019679E-4</v>
      </c>
      <c r="G197" s="6">
        <f>'Adj Close Prices'!G198/'Adj Close Prices'!G197-1</f>
        <v>-1.1222402648096708E-3</v>
      </c>
    </row>
    <row r="198" spans="1:7" x14ac:dyDescent="0.45">
      <c r="A198" s="2">
        <f>'Adj Close Prices'!A199</f>
        <v>45363</v>
      </c>
      <c r="B198" s="6">
        <f>'Adj Close Prices'!B199/'Adj Close Prices'!B198-1</f>
        <v>1.0433563632722409E-2</v>
      </c>
      <c r="C198" s="6">
        <f>'Adj Close Prices'!C199/'Adj Close Prices'!C198-1</f>
        <v>8.9982003599278215E-3</v>
      </c>
      <c r="D198" s="6">
        <f>'Adj Close Prices'!D199/'Adj Close Prices'!D198-1</f>
        <v>5.7937427578214074E-3</v>
      </c>
      <c r="E198" s="6">
        <f>'Adj Close Prices'!E199/'Adj Close Prices'!E198-1</f>
        <v>9.1590341382181695E-3</v>
      </c>
      <c r="F198" s="6">
        <f>'Adj Close Prices'!F199/'Adj Close Prices'!F198-1</f>
        <v>0</v>
      </c>
      <c r="G198" s="6">
        <f>'Adj Close Prices'!G199/'Adj Close Prices'!G198-1</f>
        <v>1.120570230542417E-2</v>
      </c>
    </row>
    <row r="199" spans="1:7" x14ac:dyDescent="0.45">
      <c r="A199" s="2">
        <f>'Adj Close Prices'!A200</f>
        <v>45364</v>
      </c>
      <c r="B199" s="6">
        <f>'Adj Close Prices'!B200/'Adj Close Prices'!B199-1</f>
        <v>-1.6053591247819909E-3</v>
      </c>
      <c r="C199" s="6">
        <f>'Adj Close Prices'!C200/'Adj Close Prices'!C199-1</f>
        <v>2.3781212841853527E-3</v>
      </c>
      <c r="D199" s="6">
        <f>'Adj Close Prices'!D200/'Adj Close Prices'!D199-1</f>
        <v>-5.7603686635943063E-3</v>
      </c>
      <c r="E199" s="6">
        <f>'Adj Close Prices'!E200/'Adj Close Prices'!E199-1</f>
        <v>4.537953795379579E-3</v>
      </c>
      <c r="F199" s="6">
        <f>'Adj Close Prices'!F200/'Adj Close Prices'!F199-1</f>
        <v>-2.198285337438044E-4</v>
      </c>
      <c r="G199" s="6">
        <f>'Adj Close Prices'!G200/'Adj Close Prices'!G199-1</f>
        <v>-1.9283980770121723E-3</v>
      </c>
    </row>
    <row r="200" spans="1:7" x14ac:dyDescent="0.45">
      <c r="A200" s="2">
        <f>'Adj Close Prices'!A201</f>
        <v>45365</v>
      </c>
      <c r="B200" s="6">
        <f>'Adj Close Prices'!B201/'Adj Close Prices'!B200-1</f>
        <v>-2.1637717121587574E-3</v>
      </c>
      <c r="C200" s="6">
        <f>'Adj Close Prices'!C201/'Adj Close Prices'!C200-1</f>
        <v>-1.4827995255041526E-2</v>
      </c>
      <c r="D200" s="6">
        <f>'Adj Close Prices'!D201/'Adj Close Prices'!D200-1</f>
        <v>-1.5063731170336103E-2</v>
      </c>
      <c r="E200" s="6">
        <f>'Adj Close Prices'!E201/'Adj Close Prices'!E200-1</f>
        <v>-2.4229979466119045E-2</v>
      </c>
      <c r="F200" s="6">
        <f>'Adj Close Prices'!F201/'Adj Close Prices'!F200-1</f>
        <v>6.5963060686025088E-4</v>
      </c>
      <c r="G200" s="6">
        <f>'Adj Close Prices'!G201/'Adj Close Prices'!G200-1</f>
        <v>-2.871082028149341E-3</v>
      </c>
    </row>
    <row r="201" spans="1:7" x14ac:dyDescent="0.45">
      <c r="A201" s="2">
        <f>'Adj Close Prices'!A202</f>
        <v>45366</v>
      </c>
      <c r="B201" s="6">
        <f>'Adj Close Prices'!B202/'Adj Close Prices'!B201-1</f>
        <v>-8.1367126884972496E-3</v>
      </c>
      <c r="C201" s="6">
        <f>'Adj Close Prices'!C202/'Adj Close Prices'!C201-1</f>
        <v>9.6327513546057286E-3</v>
      </c>
      <c r="D201" s="6">
        <f>'Adj Close Prices'!D202/'Adj Close Prices'!D201-1</f>
        <v>1.0000000000000009E-2</v>
      </c>
      <c r="E201" s="6">
        <f>'Adj Close Prices'!E202/'Adj Close Prices'!E201-1</f>
        <v>7.9966329966330019E-3</v>
      </c>
      <c r="F201" s="6">
        <f>'Adj Close Prices'!F202/'Adj Close Prices'!F201-1</f>
        <v>0</v>
      </c>
      <c r="G201" s="6">
        <f>'Adj Close Prices'!G202/'Adj Close Prices'!G201-1</f>
        <v>-6.4790203612485886E-3</v>
      </c>
    </row>
    <row r="202" spans="1:7" x14ac:dyDescent="0.45">
      <c r="A202" s="2">
        <f>'Adj Close Prices'!A203</f>
        <v>45369</v>
      </c>
      <c r="B202" s="6">
        <f>'Adj Close Prices'!B203/'Adj Close Prices'!B202-1</f>
        <v>7.0401347854864849E-3</v>
      </c>
      <c r="C202" s="6">
        <f>'Adj Close Prices'!C203/'Adj Close Prices'!C202-1</f>
        <v>-6.5593321407274585E-3</v>
      </c>
      <c r="D202" s="6">
        <f>'Adj Close Prices'!D203/'Adj Close Prices'!D202-1</f>
        <v>-2.9120559114735878E-3</v>
      </c>
      <c r="E202" s="6">
        <f>'Adj Close Prices'!E203/'Adj Close Prices'!E202-1</f>
        <v>4.1753653444676075E-3</v>
      </c>
      <c r="F202" s="6">
        <f>'Adj Close Prices'!F203/'Adj Close Prices'!F202-1</f>
        <v>2.1973192704916045E-4</v>
      </c>
      <c r="G202" s="6">
        <f>'Adj Close Prices'!G203/'Adj Close Prices'!G202-1</f>
        <v>6.3180316976412243E-3</v>
      </c>
    </row>
    <row r="203" spans="1:7" x14ac:dyDescent="0.45">
      <c r="A203" s="2">
        <f>'Adj Close Prices'!A204</f>
        <v>45370</v>
      </c>
      <c r="B203" s="6">
        <f>'Adj Close Prices'!B204/'Adj Close Prices'!B203-1</f>
        <v>5.7958891013385472E-3</v>
      </c>
      <c r="C203" s="6">
        <f>'Adj Close Prices'!C204/'Adj Close Prices'!C203-1</f>
        <v>-5.4021608643457508E-3</v>
      </c>
      <c r="D203" s="6">
        <f>'Adj Close Prices'!D204/'Adj Close Prices'!D203-1</f>
        <v>4.0887850467290487E-3</v>
      </c>
      <c r="E203" s="6">
        <f>'Adj Close Prices'!E204/'Adj Close Prices'!E203-1</f>
        <v>0</v>
      </c>
      <c r="F203" s="6">
        <f>'Adj Close Prices'!F204/'Adj Close Prices'!F203-1</f>
        <v>6.5905096660801021E-4</v>
      </c>
      <c r="G203" s="6">
        <f>'Adj Close Prices'!G204/'Adj Close Prices'!G203-1</f>
        <v>5.6491689371445108E-3</v>
      </c>
    </row>
    <row r="204" spans="1:7" x14ac:dyDescent="0.45">
      <c r="A204" s="2">
        <f>'Adj Close Prices'!A205</f>
        <v>45371</v>
      </c>
      <c r="B204" s="6">
        <f>'Adj Close Prices'!B205/'Adj Close Prices'!B204-1</f>
        <v>9.2873126200518907E-3</v>
      </c>
      <c r="C204" s="6">
        <f>'Adj Close Prices'!C205/'Adj Close Prices'!C204-1</f>
        <v>0</v>
      </c>
      <c r="D204" s="6">
        <f>'Adj Close Prices'!D205/'Adj Close Prices'!D204-1</f>
        <v>1.7452006980800405E-3</v>
      </c>
      <c r="E204" s="6">
        <f>'Adj Close Prices'!E205/'Adj Close Prices'!E204-1</f>
        <v>4.1580041580040472E-3</v>
      </c>
      <c r="F204" s="6">
        <f>'Adj Close Prices'!F205/'Adj Close Prices'!F204-1</f>
        <v>2.1953896816695462E-4</v>
      </c>
      <c r="G204" s="6">
        <f>'Adj Close Prices'!G205/'Adj Close Prices'!G204-1</f>
        <v>8.9040884268092313E-3</v>
      </c>
    </row>
    <row r="205" spans="1:7" x14ac:dyDescent="0.45">
      <c r="A205" s="2">
        <f>'Adj Close Prices'!A206</f>
        <v>45372</v>
      </c>
      <c r="B205" s="6">
        <f>'Adj Close Prices'!B206/'Adj Close Prices'!B205-1</f>
        <v>3.0999843038768127E-3</v>
      </c>
      <c r="C205" s="6">
        <f>'Adj Close Prices'!C206/'Adj Close Prices'!C205-1</f>
        <v>5.4315027157514351E-3</v>
      </c>
      <c r="D205" s="6">
        <f>'Adj Close Prices'!D206/'Adj Close Prices'!D205-1</f>
        <v>5.807200929152323E-3</v>
      </c>
      <c r="E205" s="6">
        <f>'Adj Close Prices'!E206/'Adj Close Prices'!E205-1</f>
        <v>9.1097308488614637E-3</v>
      </c>
      <c r="F205" s="6">
        <f>'Adj Close Prices'!F206/'Adj Close Prices'!F205-1</f>
        <v>4.3898156277433209E-4</v>
      </c>
      <c r="G205" s="6">
        <f>'Adj Close Prices'!G206/'Adj Close Prices'!G205-1</f>
        <v>3.2365928304971536E-3</v>
      </c>
    </row>
    <row r="206" spans="1:7" x14ac:dyDescent="0.45">
      <c r="A206" s="2">
        <f>'Adj Close Prices'!A207</f>
        <v>45373</v>
      </c>
      <c r="B206" s="6">
        <f>'Adj Close Prices'!B207/'Adj Close Prices'!B206-1</f>
        <v>-1.3300473340375207E-3</v>
      </c>
      <c r="C206" s="6">
        <f>'Adj Close Prices'!C207/'Adj Close Prices'!C206-1</f>
        <v>-3.0012004801921455E-3</v>
      </c>
      <c r="D206" s="6">
        <f>'Adj Close Prices'!D207/'Adj Close Prices'!D206-1</f>
        <v>-4.6189376443419583E-3</v>
      </c>
      <c r="E206" s="6">
        <f>'Adj Close Prices'!E207/'Adj Close Prices'!E206-1</f>
        <v>0</v>
      </c>
      <c r="F206" s="6">
        <f>'Adj Close Prices'!F207/'Adj Close Prices'!F206-1</f>
        <v>0</v>
      </c>
      <c r="G206" s="6">
        <f>'Adj Close Prices'!G207/'Adj Close Prices'!G206-1</f>
        <v>-1.4060753137437043E-3</v>
      </c>
    </row>
    <row r="207" spans="1:7" x14ac:dyDescent="0.45">
      <c r="A207" s="2">
        <f>'Adj Close Prices'!A208</f>
        <v>45376</v>
      </c>
      <c r="B207" s="6">
        <f>'Adj Close Prices'!B208/'Adj Close Prices'!B207-1</f>
        <v>-3.1336910964001596E-3</v>
      </c>
      <c r="C207" s="6">
        <f>'Adj Close Prices'!C208/'Adj Close Prices'!C207-1</f>
        <v>6.0204695966286081E-3</v>
      </c>
      <c r="D207" s="6">
        <f>'Adj Close Prices'!D208/'Adj Close Prices'!D207-1</f>
        <v>2.9002320185615993E-3</v>
      </c>
      <c r="E207" s="6">
        <f>'Adj Close Prices'!E208/'Adj Close Prices'!E207-1</f>
        <v>1.3541239228559654E-2</v>
      </c>
      <c r="F207" s="6">
        <f>'Adj Close Prices'!F208/'Adj Close Prices'!F207-1</f>
        <v>2.1939447125940426E-4</v>
      </c>
      <c r="G207" s="6">
        <f>'Adj Close Prices'!G208/'Adj Close Prices'!G207-1</f>
        <v>-3.0549256138030501E-3</v>
      </c>
    </row>
    <row r="208" spans="1:7" x14ac:dyDescent="0.45">
      <c r="A208" s="2">
        <f>'Adj Close Prices'!A209</f>
        <v>45377</v>
      </c>
      <c r="B208" s="6">
        <f>'Adj Close Prices'!B209/'Adj Close Prices'!B208-1</f>
        <v>-2.1022437030924213E-3</v>
      </c>
      <c r="C208" s="6">
        <f>'Adj Close Prices'!C209/'Adj Close Prices'!C208-1</f>
        <v>5.9844404548172747E-3</v>
      </c>
      <c r="D208" s="6">
        <f>'Adj Close Prices'!D209/'Adj Close Prices'!D208-1</f>
        <v>5.7836899942163011E-3</v>
      </c>
      <c r="E208" s="6">
        <f>'Adj Close Prices'!E209/'Adj Close Prices'!E208-1</f>
        <v>2.4291497975710286E-3</v>
      </c>
      <c r="F208" s="6">
        <f>'Adj Close Prices'!F209/'Adj Close Prices'!F208-1</f>
        <v>4.3869269576646275E-4</v>
      </c>
      <c r="G208" s="6">
        <f>'Adj Close Prices'!G209/'Adj Close Prices'!G208-1</f>
        <v>-2.7998267595216175E-3</v>
      </c>
    </row>
    <row r="209" spans="1:7" x14ac:dyDescent="0.45">
      <c r="A209" s="2">
        <f>'Adj Close Prices'!A210</f>
        <v>45378</v>
      </c>
      <c r="B209" s="6">
        <f>'Adj Close Prices'!B210/'Adj Close Prices'!B209-1</f>
        <v>8.7023291528027791E-3</v>
      </c>
      <c r="C209" s="6">
        <f>'Adj Close Prices'!C210/'Adj Close Prices'!C209-1</f>
        <v>1.1897679952409534E-2</v>
      </c>
      <c r="D209" s="6">
        <f>'Adj Close Prices'!D210/'Adj Close Prices'!D209-1</f>
        <v>1.0925819436457651E-2</v>
      </c>
      <c r="E209" s="6">
        <f>'Adj Close Prices'!E210/'Adj Close Prices'!E209-1</f>
        <v>5.2504038772211992E-3</v>
      </c>
      <c r="F209" s="6">
        <f>'Adj Close Prices'!F210/'Adj Close Prices'!F209-1</f>
        <v>4.3850032887537971E-4</v>
      </c>
      <c r="G209" s="6">
        <f>'Adj Close Prices'!G210/'Adj Close Prices'!G209-1</f>
        <v>8.6306132136206859E-3</v>
      </c>
    </row>
    <row r="210" spans="1:7" x14ac:dyDescent="0.45">
      <c r="A210" s="2">
        <f>'Adj Close Prices'!A211</f>
        <v>45379</v>
      </c>
      <c r="B210" s="6">
        <f>'Adj Close Prices'!B211/'Adj Close Prices'!B210-1</f>
        <v>1.9518669607476724E-5</v>
      </c>
      <c r="C210" s="6">
        <f>'Adj Close Prices'!C211/'Adj Close Prices'!C210-1</f>
        <v>1.7048794826572511E-2</v>
      </c>
      <c r="D210" s="6">
        <f>'Adj Close Prices'!D211/'Adj Close Prices'!D210-1</f>
        <v>9.1012514220705221E-3</v>
      </c>
      <c r="E210" s="6">
        <f>'Adj Close Prices'!E211/'Adj Close Prices'!E210-1</f>
        <v>1.0847730012053081E-2</v>
      </c>
      <c r="F210" s="6">
        <f>'Adj Close Prices'!F211/'Adj Close Prices'!F210-1</f>
        <v>-2.1915406530803594E-4</v>
      </c>
      <c r="G210" s="6">
        <f>'Adj Close Prices'!G211/'Adj Close Prices'!G210-1</f>
        <v>1.1165137335000797E-3</v>
      </c>
    </row>
    <row r="211" spans="1:7" x14ac:dyDescent="0.45">
      <c r="A211" s="2">
        <f>'Adj Close Prices'!A212</f>
        <v>45383</v>
      </c>
      <c r="B211" s="6">
        <f>'Adj Close Prices'!B212/'Adj Close Prices'!B211-1</f>
        <v>-1.6200179568256479E-3</v>
      </c>
      <c r="C211" s="6">
        <f>'Adj Close Prices'!C212/'Adj Close Prices'!C211-1</f>
        <v>-2.0809248554913284E-2</v>
      </c>
      <c r="D211" s="6">
        <f>'Adj Close Prices'!D212/'Adj Close Prices'!D211-1</f>
        <v>-1.2401352874858995E-2</v>
      </c>
      <c r="E211" s="6">
        <f>'Adj Close Prices'!E212/'Adj Close Prices'!E211-1</f>
        <v>-1.152623211446735E-2</v>
      </c>
      <c r="F211" s="6">
        <f>'Adj Close Prices'!F212/'Adj Close Prices'!F211-1</f>
        <v>0</v>
      </c>
      <c r="G211" s="6">
        <f>'Adj Close Prices'!G212/'Adj Close Prices'!G211-1</f>
        <v>-2.0097671639064396E-3</v>
      </c>
    </row>
    <row r="212" spans="1:7" x14ac:dyDescent="0.45">
      <c r="A212" s="2">
        <f>'Adj Close Prices'!A213</f>
        <v>45384</v>
      </c>
      <c r="B212" s="6">
        <f>'Adj Close Prices'!B213/'Adj Close Prices'!B212-1</f>
        <v>-6.5296866141424381E-3</v>
      </c>
      <c r="C212" s="6">
        <f>'Adj Close Prices'!C213/'Adj Close Prices'!C212-1</f>
        <v>7.0838252656433287E-3</v>
      </c>
      <c r="D212" s="6">
        <f>'Adj Close Prices'!D213/'Adj Close Prices'!D212-1</f>
        <v>-7.4200913242008504E-3</v>
      </c>
      <c r="E212" s="6">
        <f>'Adj Close Prices'!E213/'Adj Close Prices'!E212-1</f>
        <v>-6.0313630880579616E-3</v>
      </c>
      <c r="F212" s="6">
        <f>'Adj Close Prices'!F213/'Adj Close Prices'!F212-1</f>
        <v>4.3840420868046515E-4</v>
      </c>
      <c r="G212" s="6">
        <f>'Adj Close Prices'!G213/'Adj Close Prices'!G212-1</f>
        <v>-7.2428667869360863E-3</v>
      </c>
    </row>
    <row r="213" spans="1:7" x14ac:dyDescent="0.45">
      <c r="A213" s="2">
        <f>'Adj Close Prices'!A214</f>
        <v>45385</v>
      </c>
      <c r="B213" s="6">
        <f>'Adj Close Prices'!B214/'Adj Close Prices'!B213-1</f>
        <v>1.1019934273963639E-3</v>
      </c>
      <c r="C213" s="6">
        <f>'Adj Close Prices'!C214/'Adj Close Prices'!C213-1</f>
        <v>-2.9308323563890237E-3</v>
      </c>
      <c r="D213" s="6">
        <f>'Adj Close Prices'!D214/'Adj Close Prices'!D213-1</f>
        <v>3.4502587694076325E-3</v>
      </c>
      <c r="E213" s="6">
        <f>'Adj Close Prices'!E214/'Adj Close Prices'!E213-1</f>
        <v>5.2588996763756057E-3</v>
      </c>
      <c r="F213" s="6">
        <f>'Adj Close Prices'!F214/'Adj Close Prices'!F213-1</f>
        <v>2.191060473268891E-4</v>
      </c>
      <c r="G213" s="6">
        <f>'Adj Close Prices'!G214/'Adj Close Prices'!G213-1</f>
        <v>1.0910907065195818E-3</v>
      </c>
    </row>
    <row r="214" spans="1:7" x14ac:dyDescent="0.45">
      <c r="A214" s="2">
        <f>'Adj Close Prices'!A215</f>
        <v>45386</v>
      </c>
      <c r="B214" s="6">
        <f>'Adj Close Prices'!B215/'Adj Close Prices'!B214-1</f>
        <v>-1.2285495252884582E-2</v>
      </c>
      <c r="C214" s="6">
        <f>'Adj Close Prices'!C215/'Adj Close Prices'!C214-1</f>
        <v>-5.8788947677836934E-3</v>
      </c>
      <c r="D214" s="6">
        <f>'Adj Close Prices'!D215/'Adj Close Prices'!D214-1</f>
        <v>-9.1690544412607045E-3</v>
      </c>
      <c r="E214" s="6">
        <f>'Adj Close Prices'!E215/'Adj Close Prices'!E214-1</f>
        <v>-2.4144869215292353E-3</v>
      </c>
      <c r="F214" s="6">
        <f>'Adj Close Prices'!F215/'Adj Close Prices'!F214-1</f>
        <v>6.5717415115007505E-4</v>
      </c>
      <c r="G214" s="6">
        <f>'Adj Close Prices'!G215/'Adj Close Prices'!G214-1</f>
        <v>-1.2334308104415603E-2</v>
      </c>
    </row>
    <row r="215" spans="1:7" x14ac:dyDescent="0.45">
      <c r="A215" s="2">
        <f>'Adj Close Prices'!A216</f>
        <v>45387</v>
      </c>
      <c r="B215" s="6">
        <f>'Adj Close Prices'!B216/'Adj Close Prices'!B215-1</f>
        <v>1.0428275752268679E-2</v>
      </c>
      <c r="C215" s="6">
        <f>'Adj Close Prices'!C216/'Adj Close Prices'!C215-1</f>
        <v>1.0644589000591287E-2</v>
      </c>
      <c r="D215" s="6">
        <f>'Adj Close Prices'!D216/'Adj Close Prices'!D215-1</f>
        <v>4.6269519953732186E-3</v>
      </c>
      <c r="E215" s="6">
        <f>'Adj Close Prices'!E216/'Adj Close Prices'!E215-1</f>
        <v>6.8576038725292054E-3</v>
      </c>
      <c r="F215" s="6">
        <f>'Adj Close Prices'!F216/'Adj Close Prices'!F215-1</f>
        <v>-2.189141856392407E-4</v>
      </c>
      <c r="G215" s="6">
        <f>'Adj Close Prices'!G216/'Adj Close Prices'!G215-1</f>
        <v>1.1103124028598144E-2</v>
      </c>
    </row>
    <row r="216" spans="1:7" x14ac:dyDescent="0.45">
      <c r="A216" s="2">
        <f>'Adj Close Prices'!A217</f>
        <v>45390</v>
      </c>
      <c r="B216" s="6">
        <f>'Adj Close Prices'!B217/'Adj Close Prices'!B216-1</f>
        <v>2.7574253525552983E-4</v>
      </c>
      <c r="C216" s="6">
        <f>'Adj Close Prices'!C217/'Adj Close Prices'!C216-1</f>
        <v>-5.8513750731425951E-4</v>
      </c>
      <c r="D216" s="6">
        <f>'Adj Close Prices'!D217/'Adj Close Prices'!D216-1</f>
        <v>-2.3028209556708035E-3</v>
      </c>
      <c r="E216" s="6">
        <f>'Adj Close Prices'!E217/'Adj Close Prices'!E216-1</f>
        <v>-2.4038461538462563E-3</v>
      </c>
      <c r="F216" s="6">
        <f>'Adj Close Prices'!F217/'Adj Close Prices'!F216-1</f>
        <v>0</v>
      </c>
      <c r="G216" s="6">
        <f>'Adj Close Prices'!G217/'Adj Close Prices'!G216-1</f>
        <v>-3.7852949936112434E-4</v>
      </c>
    </row>
    <row r="217" spans="1:7" x14ac:dyDescent="0.45">
      <c r="A217" s="2">
        <f>'Adj Close Prices'!A218</f>
        <v>45391</v>
      </c>
      <c r="B217" s="6">
        <f>'Adj Close Prices'!B218/'Adj Close Prices'!B217-1</f>
        <v>1.2404993502146411E-3</v>
      </c>
      <c r="C217" s="6">
        <f>'Adj Close Prices'!C218/'Adj Close Prices'!C217-1</f>
        <v>-1.1709601873536313E-3</v>
      </c>
      <c r="D217" s="6">
        <f>'Adj Close Prices'!D218/'Adj Close Prices'!D217-1</f>
        <v>1.1540680900175015E-3</v>
      </c>
      <c r="E217" s="6">
        <f>'Adj Close Prices'!E218/'Adj Close Prices'!E217-1</f>
        <v>-1.6064257028112205E-3</v>
      </c>
      <c r="F217" s="6">
        <f>'Adj Close Prices'!F218/'Adj Close Prices'!F217-1</f>
        <v>4.3792423910660183E-4</v>
      </c>
      <c r="G217" s="6">
        <f>'Adj Close Prices'!G218/'Adj Close Prices'!G217-1</f>
        <v>1.4493366497640991E-3</v>
      </c>
    </row>
    <row r="218" spans="1:7" x14ac:dyDescent="0.45">
      <c r="A218" s="2">
        <f>'Adj Close Prices'!A219</f>
        <v>45392</v>
      </c>
      <c r="B218" s="6">
        <f>'Adj Close Prices'!B219/'Adj Close Prices'!B218-1</f>
        <v>-9.6953725736985685E-3</v>
      </c>
      <c r="C218" s="6">
        <f>'Adj Close Prices'!C219/'Adj Close Prices'!C218-1</f>
        <v>-7.0339976553339678E-3</v>
      </c>
      <c r="D218" s="6">
        <f>'Adj Close Prices'!D219/'Adj Close Prices'!D218-1</f>
        <v>-3.4582132564843215E-3</v>
      </c>
      <c r="E218" s="6">
        <f>'Adj Close Prices'!E219/'Adj Close Prices'!E218-1</f>
        <v>1.2067578439260984E-3</v>
      </c>
      <c r="F218" s="6">
        <f>'Adj Close Prices'!F219/'Adj Close Prices'!F218-1</f>
        <v>-8.7546509082947477E-4</v>
      </c>
      <c r="G218" s="6">
        <f>'Adj Close Prices'!G219/'Adj Close Prices'!G218-1</f>
        <v>-9.4569590320006114E-3</v>
      </c>
    </row>
    <row r="219" spans="1:7" x14ac:dyDescent="0.45">
      <c r="A219" s="2">
        <f>'Adj Close Prices'!A220</f>
        <v>45393</v>
      </c>
      <c r="B219" s="6">
        <f>'Adj Close Prices'!B220/'Adj Close Prices'!B219-1</f>
        <v>7.4866947334975009E-3</v>
      </c>
      <c r="C219" s="6">
        <f>'Adj Close Prices'!C220/'Adj Close Prices'!C219-1</f>
        <v>6.4935064935065512E-3</v>
      </c>
      <c r="D219" s="6">
        <f>'Adj Close Prices'!D220/'Adj Close Prices'!D219-1</f>
        <v>5.2053209947946488E-3</v>
      </c>
      <c r="E219" s="6">
        <f>'Adj Close Prices'!E220/'Adj Close Prices'!E219-1</f>
        <v>3.6159100040176195E-3</v>
      </c>
      <c r="F219" s="6">
        <f>'Adj Close Prices'!F220/'Adj Close Prices'!F219-1</f>
        <v>4.381161007667167E-4</v>
      </c>
      <c r="G219" s="6">
        <f>'Adj Close Prices'!G220/'Adj Close Prices'!G219-1</f>
        <v>7.4409231395271558E-3</v>
      </c>
    </row>
    <row r="220" spans="1:7" x14ac:dyDescent="0.45">
      <c r="A220" s="2">
        <f>'Adj Close Prices'!A221</f>
        <v>45394</v>
      </c>
      <c r="B220" s="6">
        <f>'Adj Close Prices'!B221/'Adj Close Prices'!B220-1</f>
        <v>-1.3975124672303996E-2</v>
      </c>
      <c r="C220" s="6">
        <f>'Adj Close Prices'!C221/'Adj Close Prices'!C220-1</f>
        <v>-1.1730205278592365E-2</v>
      </c>
      <c r="D220" s="6">
        <f>'Adj Close Prices'!D221/'Adj Close Prices'!D220-1</f>
        <v>-1.1507479861910253E-2</v>
      </c>
      <c r="E220" s="6">
        <f>'Adj Close Prices'!E221/'Adj Close Prices'!E220-1</f>
        <v>-1.4011208967173783E-2</v>
      </c>
      <c r="F220" s="6">
        <f>'Adj Close Prices'!F221/'Adj Close Prices'!F220-1</f>
        <v>2.1896211955318989E-4</v>
      </c>
      <c r="G220" s="6">
        <f>'Adj Close Prices'!G221/'Adj Close Prices'!G220-1</f>
        <v>-1.4550735230474898E-2</v>
      </c>
    </row>
    <row r="221" spans="1:7" x14ac:dyDescent="0.45">
      <c r="A221" s="2">
        <f>'Adj Close Prices'!A222</f>
        <v>45397</v>
      </c>
      <c r="B221" s="6">
        <f>'Adj Close Prices'!B222/'Adj Close Prices'!B221-1</f>
        <v>-1.2394050855589311E-2</v>
      </c>
      <c r="C221" s="6">
        <f>'Adj Close Prices'!C222/'Adj Close Prices'!C221-1</f>
        <v>-2.3738872403562539E-3</v>
      </c>
      <c r="D221" s="6">
        <f>'Adj Close Prices'!D222/'Adj Close Prices'!D221-1</f>
        <v>-2.3282887077996639E-3</v>
      </c>
      <c r="E221" s="6">
        <f>'Adj Close Prices'!E222/'Adj Close Prices'!E221-1</f>
        <v>-1.2180267965894442E-3</v>
      </c>
      <c r="F221" s="6">
        <f>'Adj Close Prices'!F222/'Adj Close Prices'!F221-1</f>
        <v>2.189141856392407E-4</v>
      </c>
      <c r="G221" s="6">
        <f>'Adj Close Prices'!G222/'Adj Close Prices'!G221-1</f>
        <v>-1.2021313971190883E-2</v>
      </c>
    </row>
    <row r="222" spans="1:7" x14ac:dyDescent="0.45">
      <c r="A222" s="2">
        <f>'Adj Close Prices'!A223</f>
        <v>45398</v>
      </c>
      <c r="B222" s="6">
        <f>'Adj Close Prices'!B223/'Adj Close Prices'!B222-1</f>
        <v>-1.9229212209538327E-3</v>
      </c>
      <c r="C222" s="6">
        <f>'Adj Close Prices'!C223/'Adj Close Prices'!C222-1</f>
        <v>0</v>
      </c>
      <c r="D222" s="6">
        <f>'Adj Close Prices'!D223/'Adj Close Prices'!D222-1</f>
        <v>-7.5845974329054044E-3</v>
      </c>
      <c r="E222" s="6">
        <f>'Adj Close Prices'!E223/'Adj Close Prices'!E222-1</f>
        <v>8.9430894308941689E-3</v>
      </c>
      <c r="F222" s="6">
        <f>'Adj Close Prices'!F223/'Adj Close Prices'!F222-1</f>
        <v>2.1886627270739645E-4</v>
      </c>
      <c r="G222" s="6">
        <f>'Adj Close Prices'!G223/'Adj Close Prices'!G222-1</f>
        <v>-2.0565766000700814E-3</v>
      </c>
    </row>
    <row r="223" spans="1:7" x14ac:dyDescent="0.45">
      <c r="A223" s="2">
        <f>'Adj Close Prices'!A224</f>
        <v>45399</v>
      </c>
      <c r="B223" s="6">
        <f>'Adj Close Prices'!B224/'Adj Close Prices'!B223-1</f>
        <v>-5.8001581861322205E-3</v>
      </c>
      <c r="C223" s="6">
        <f>'Adj Close Prices'!C224/'Adj Close Prices'!C223-1</f>
        <v>4.7590719809638138E-3</v>
      </c>
      <c r="D223" s="6">
        <f>'Adj Close Prices'!D224/'Adj Close Prices'!D223-1</f>
        <v>8.2304526748968598E-3</v>
      </c>
      <c r="E223" s="6">
        <f>'Adj Close Prices'!E224/'Adj Close Prices'!E223-1</f>
        <v>4.0290088638195165E-3</v>
      </c>
      <c r="F223" s="6">
        <f>'Adj Close Prices'!F224/'Adj Close Prices'!F223-1</f>
        <v>4.3763676148778075E-4</v>
      </c>
      <c r="G223" s="6">
        <f>'Adj Close Prices'!G224/'Adj Close Prices'!G223-1</f>
        <v>-5.7766163835767381E-3</v>
      </c>
    </row>
    <row r="224" spans="1:7" x14ac:dyDescent="0.45">
      <c r="A224" s="2">
        <f>'Adj Close Prices'!A225</f>
        <v>45400</v>
      </c>
      <c r="B224" s="6">
        <f>'Adj Close Prices'!B225/'Adj Close Prices'!B224-1</f>
        <v>-2.3050404911979516E-3</v>
      </c>
      <c r="C224" s="6">
        <f>'Adj Close Prices'!C225/'Adj Close Prices'!C224-1</f>
        <v>4.1444641799881499E-3</v>
      </c>
      <c r="D224" s="6">
        <f>'Adj Close Prices'!D225/'Adj Close Prices'!D224-1</f>
        <v>5.2478134110787167E-3</v>
      </c>
      <c r="E224" s="6">
        <f>'Adj Close Prices'!E225/'Adj Close Prices'!E224-1</f>
        <v>1.0834670947030389E-2</v>
      </c>
      <c r="F224" s="6">
        <f>'Adj Close Prices'!F225/'Adj Close Prices'!F224-1</f>
        <v>0</v>
      </c>
      <c r="G224" s="6">
        <f>'Adj Close Prices'!G225/'Adj Close Prices'!G224-1</f>
        <v>-2.2121691204288751E-3</v>
      </c>
    </row>
    <row r="225" spans="1:7" x14ac:dyDescent="0.45">
      <c r="A225" s="2">
        <f>'Adj Close Prices'!A226</f>
        <v>45401</v>
      </c>
      <c r="B225" s="6">
        <f>'Adj Close Prices'!B226/'Adj Close Prices'!B225-1</f>
        <v>-8.6689838478838377E-3</v>
      </c>
      <c r="C225" s="6">
        <f>'Adj Close Prices'!C226/'Adj Close Prices'!C225-1</f>
        <v>8.8443396226414173E-3</v>
      </c>
      <c r="D225" s="6">
        <f>'Adj Close Prices'!D226/'Adj Close Prices'!D225-1</f>
        <v>4.0603248259860614E-3</v>
      </c>
      <c r="E225" s="6">
        <f>'Adj Close Prices'!E226/'Adj Close Prices'!E225-1</f>
        <v>3.9698292973400218E-3</v>
      </c>
      <c r="F225" s="6">
        <f>'Adj Close Prices'!F226/'Adj Close Prices'!F225-1</f>
        <v>0</v>
      </c>
      <c r="G225" s="6">
        <f>'Adj Close Prices'!G226/'Adj Close Prices'!G225-1</f>
        <v>-8.7545473956868181E-3</v>
      </c>
    </row>
    <row r="226" spans="1:7" x14ac:dyDescent="0.45">
      <c r="A226" s="2">
        <f>'Adj Close Prices'!A227</f>
        <v>45404</v>
      </c>
      <c r="B226" s="6">
        <f>'Adj Close Prices'!B227/'Adj Close Prices'!B226-1</f>
        <v>9.2191560450438637E-3</v>
      </c>
      <c r="C226" s="6">
        <f>'Adj Close Prices'!C227/'Adj Close Prices'!C226-1</f>
        <v>2.9222676797195923E-3</v>
      </c>
      <c r="D226" s="6">
        <f>'Adj Close Prices'!D227/'Adj Close Prices'!D226-1</f>
        <v>2.0219526285384148E-2</v>
      </c>
      <c r="E226" s="6">
        <f>'Adj Close Prices'!E227/'Adj Close Prices'!E226-1</f>
        <v>9.0945037564253983E-3</v>
      </c>
      <c r="F226" s="6">
        <f>'Adj Close Prices'!F227/'Adj Close Prices'!F226-1</f>
        <v>4.374453193352057E-4</v>
      </c>
      <c r="G226" s="6">
        <f>'Adj Close Prices'!G227/'Adj Close Prices'!G226-1</f>
        <v>8.7271804865478586E-3</v>
      </c>
    </row>
    <row r="227" spans="1:7" x14ac:dyDescent="0.45">
      <c r="A227" s="2">
        <f>'Adj Close Prices'!A228</f>
        <v>45405</v>
      </c>
      <c r="B227" s="6">
        <f>'Adj Close Prices'!B228/'Adj Close Prices'!B227-1</f>
        <v>1.2057302842662487E-2</v>
      </c>
      <c r="C227" s="6">
        <f>'Adj Close Prices'!C228/'Adj Close Prices'!C227-1</f>
        <v>4.0792540792540244E-3</v>
      </c>
      <c r="D227" s="6">
        <f>'Adj Close Prices'!D228/'Adj Close Prices'!D227-1</f>
        <v>-7.361268403170973E-3</v>
      </c>
      <c r="E227" s="6">
        <f>'Adj Close Prices'!E228/'Adj Close Prices'!E227-1</f>
        <v>9.4043887147337024E-3</v>
      </c>
      <c r="F227" s="6">
        <f>'Adj Close Prices'!F228/'Adj Close Prices'!F227-1</f>
        <v>2.1862702229991093E-4</v>
      </c>
      <c r="G227" s="6">
        <f>'Adj Close Prices'!G228/'Adj Close Prices'!G227-1</f>
        <v>1.1968650398456182E-2</v>
      </c>
    </row>
    <row r="228" spans="1:7" x14ac:dyDescent="0.45">
      <c r="A228" s="2">
        <f>'Adj Close Prices'!A229</f>
        <v>45406</v>
      </c>
      <c r="B228" s="6">
        <f>'Adj Close Prices'!B229/'Adj Close Prices'!B228-1</f>
        <v>-4.0385275528553866E-4</v>
      </c>
      <c r="C228" s="6">
        <f>'Adj Close Prices'!C229/'Adj Close Prices'!C228-1</f>
        <v>2.3215322112593029E-3</v>
      </c>
      <c r="D228" s="6">
        <f>'Adj Close Prices'!D229/'Adj Close Prices'!D228-1</f>
        <v>-1.7113519680548306E-3</v>
      </c>
      <c r="E228" s="6">
        <f>'Adj Close Prices'!E229/'Adj Close Prices'!E228-1</f>
        <v>-1.1645962732920179E-3</v>
      </c>
      <c r="F228" s="6">
        <f>'Adj Close Prices'!F229/'Adj Close Prices'!F228-1</f>
        <v>0</v>
      </c>
      <c r="G228" s="6">
        <f>'Adj Close Prices'!G229/'Adj Close Prices'!G228-1</f>
        <v>2.0904988798076118E-4</v>
      </c>
    </row>
    <row r="229" spans="1:7" x14ac:dyDescent="0.45">
      <c r="A229" s="2">
        <f>'Adj Close Prices'!A230</f>
        <v>45407</v>
      </c>
      <c r="B229" s="6">
        <f>'Adj Close Prices'!B230/'Adj Close Prices'!B229-1</f>
        <v>-4.2219663454740042E-3</v>
      </c>
      <c r="C229" s="6">
        <f>'Adj Close Prices'!C230/'Adj Close Prices'!C229-1</f>
        <v>-7.527504342790925E-3</v>
      </c>
      <c r="D229" s="6">
        <f>'Adj Close Prices'!D230/'Adj Close Prices'!D229-1</f>
        <v>-5.714285714286671E-4</v>
      </c>
      <c r="E229" s="6">
        <f>'Adj Close Prices'!E230/'Adj Close Prices'!E229-1</f>
        <v>-1.5546055188495611E-3</v>
      </c>
      <c r="F229" s="6">
        <f>'Adj Close Prices'!F230/'Adj Close Prices'!F229-1</f>
        <v>4.3715846994540897E-4</v>
      </c>
      <c r="G229" s="6">
        <f>'Adj Close Prices'!G230/'Adj Close Prices'!G229-1</f>
        <v>-4.5764469735508628E-3</v>
      </c>
    </row>
    <row r="230" spans="1:7" x14ac:dyDescent="0.45">
      <c r="A230" s="2">
        <f>'Adj Close Prices'!A231</f>
        <v>45408</v>
      </c>
      <c r="B230" s="6">
        <f>'Adj Close Prices'!B231/'Adj Close Prices'!B230-1</f>
        <v>9.7780662961008957E-3</v>
      </c>
      <c r="C230" s="6">
        <f>'Adj Close Prices'!C231/'Adj Close Prices'!C230-1</f>
        <v>7.001166861143604E-3</v>
      </c>
      <c r="D230" s="6">
        <f>'Adj Close Prices'!D231/'Adj Close Prices'!D230-1</f>
        <v>2.6300743281875372E-2</v>
      </c>
      <c r="E230" s="6">
        <f>'Adj Close Prices'!E231/'Adj Close Prices'!E230-1</f>
        <v>8.9528999610744009E-3</v>
      </c>
      <c r="F230" s="6">
        <f>'Adj Close Prices'!F231/'Adj Close Prices'!F230-1</f>
        <v>2.1848372296262575E-4</v>
      </c>
      <c r="G230" s="6">
        <f>'Adj Close Prices'!G231/'Adj Close Prices'!G230-1</f>
        <v>1.0209154961661193E-2</v>
      </c>
    </row>
    <row r="231" spans="1:7" x14ac:dyDescent="0.45">
      <c r="A231" s="2">
        <f>'Adj Close Prices'!A232</f>
        <v>45411</v>
      </c>
      <c r="B231" s="6">
        <f>'Adj Close Prices'!B232/'Adj Close Prices'!B231-1</f>
        <v>3.5559305689487619E-3</v>
      </c>
      <c r="C231" s="6">
        <f>'Adj Close Prices'!C232/'Adj Close Prices'!C231-1</f>
        <v>1.7381228273463112E-3</v>
      </c>
      <c r="D231" s="6">
        <f>'Adj Close Prices'!D232/'Adj Close Prices'!D231-1</f>
        <v>5.5710306406697718E-4</v>
      </c>
      <c r="E231" s="6">
        <f>'Adj Close Prices'!E232/'Adj Close Prices'!E231-1</f>
        <v>7.7160493827155285E-4</v>
      </c>
      <c r="F231" s="6">
        <f>'Adj Close Prices'!F232/'Adj Close Prices'!F231-1</f>
        <v>4.3687199650488395E-4</v>
      </c>
      <c r="G231" s="6">
        <f>'Adj Close Prices'!G232/'Adj Close Prices'!G231-1</f>
        <v>3.1784625339463801E-3</v>
      </c>
    </row>
    <row r="232" spans="1:7" x14ac:dyDescent="0.45">
      <c r="A232" s="2">
        <f>'Adj Close Prices'!A233</f>
        <v>45412</v>
      </c>
      <c r="B232" s="6">
        <f>'Adj Close Prices'!B233/'Adj Close Prices'!B232-1</f>
        <v>-1.5894941244770089E-2</v>
      </c>
      <c r="C232" s="6">
        <f>'Adj Close Prices'!C233/'Adj Close Prices'!C232-1</f>
        <v>-9.8322729901676453E-3</v>
      </c>
      <c r="D232" s="6">
        <f>'Adj Close Prices'!D233/'Adj Close Prices'!D232-1</f>
        <v>0</v>
      </c>
      <c r="E232" s="6">
        <f>'Adj Close Prices'!E233/'Adj Close Prices'!E232-1</f>
        <v>-1.3107170393215073E-2</v>
      </c>
      <c r="F232" s="6">
        <f>'Adj Close Prices'!F233/'Adj Close Prices'!F232-1</f>
        <v>0</v>
      </c>
      <c r="G232" s="6">
        <f>'Adj Close Prices'!G233/'Adj Close Prices'!G232-1</f>
        <v>-1.5726638729046782E-2</v>
      </c>
    </row>
    <row r="233" spans="1:7" x14ac:dyDescent="0.45">
      <c r="A233" s="2">
        <f>'Adj Close Prices'!A234</f>
        <v>45413</v>
      </c>
      <c r="B233" s="6">
        <f>'Adj Close Prices'!B234/'Adj Close Prices'!B233-1</f>
        <v>-3.1326918773774137E-3</v>
      </c>
      <c r="C233" s="6">
        <f>'Adj Close Prices'!C234/'Adj Close Prices'!C233-1</f>
        <v>1.1682242990654235E-2</v>
      </c>
      <c r="D233" s="6">
        <f>'Adj Close Prices'!D234/'Adj Close Prices'!D233-1</f>
        <v>3.8975501113585054E-3</v>
      </c>
      <c r="E233" s="6">
        <f>'Adj Close Prices'!E234/'Adj Close Prices'!E233-1</f>
        <v>1.4453124999999956E-2</v>
      </c>
      <c r="F233" s="6">
        <f>'Adj Close Prices'!F234/'Adj Close Prices'!F233-1</f>
        <v>2.1834061135383998E-4</v>
      </c>
      <c r="G233" s="6">
        <f>'Adj Close Prices'!G234/'Adj Close Prices'!G233-1</f>
        <v>-3.4354707389241401E-3</v>
      </c>
    </row>
    <row r="234" spans="1:7" x14ac:dyDescent="0.45">
      <c r="A234" s="2">
        <f>'Adj Close Prices'!A235</f>
        <v>45414</v>
      </c>
      <c r="B234" s="6">
        <f>'Adj Close Prices'!B235/'Adj Close Prices'!B234-1</f>
        <v>9.1419242934394074E-3</v>
      </c>
      <c r="C234" s="6">
        <f>'Adj Close Prices'!C235/'Adj Close Prices'!C234-1</f>
        <v>-1.501154734411092E-2</v>
      </c>
      <c r="D234" s="6">
        <f>'Adj Close Prices'!D235/'Adj Close Prices'!D234-1</f>
        <v>-4.1042706600111001E-2</v>
      </c>
      <c r="E234" s="6">
        <f>'Adj Close Prices'!E235/'Adj Close Prices'!E234-1</f>
        <v>-5.0057758952637421E-3</v>
      </c>
      <c r="F234" s="6">
        <f>'Adj Close Prices'!F235/'Adj Close Prices'!F234-1</f>
        <v>6.5487884741322056E-4</v>
      </c>
      <c r="G234" s="6">
        <f>'Adj Close Prices'!G235/'Adj Close Prices'!G234-1</f>
        <v>9.124422126574272E-3</v>
      </c>
    </row>
    <row r="235" spans="1:7" x14ac:dyDescent="0.45">
      <c r="A235" s="2">
        <f>'Adj Close Prices'!A236</f>
        <v>45415</v>
      </c>
      <c r="B235" s="6">
        <f>'Adj Close Prices'!B236/'Adj Close Prices'!B235-1</f>
        <v>1.2577598932319578E-2</v>
      </c>
      <c r="C235" s="6">
        <f>'Adj Close Prices'!C236/'Adj Close Prices'!C235-1</f>
        <v>3.5169988276670949E-3</v>
      </c>
      <c r="D235" s="6">
        <f>'Adj Close Prices'!D236/'Adj Close Prices'!D235-1</f>
        <v>5.7836899942163011E-3</v>
      </c>
      <c r="E235" s="6">
        <f>'Adj Close Prices'!E236/'Adj Close Prices'!E235-1</f>
        <v>7.3529411764705621E-3</v>
      </c>
      <c r="F235" s="6">
        <f>'Adj Close Prices'!F236/'Adj Close Prices'!F235-1</f>
        <v>6.544502617800152E-4</v>
      </c>
      <c r="G235" s="6">
        <f>'Adj Close Prices'!G236/'Adj Close Prices'!G235-1</f>
        <v>1.2560745153716635E-2</v>
      </c>
    </row>
    <row r="236" spans="1:7" x14ac:dyDescent="0.45">
      <c r="A236" s="2">
        <f>'Adj Close Prices'!A237</f>
        <v>45418</v>
      </c>
      <c r="B236" s="6">
        <f>'Adj Close Prices'!B237/'Adj Close Prices'!B236-1</f>
        <v>1.0424363454817787E-2</v>
      </c>
      <c r="C236" s="6">
        <f>'Adj Close Prices'!C237/'Adj Close Prices'!C236-1</f>
        <v>1.3434579439252303E-2</v>
      </c>
      <c r="D236" s="6">
        <f>'Adj Close Prices'!D237/'Adj Close Prices'!D236-1</f>
        <v>1.7251293847038163E-3</v>
      </c>
      <c r="E236" s="6">
        <f>'Adj Close Prices'!E237/'Adj Close Prices'!E236-1</f>
        <v>8.451786400307304E-3</v>
      </c>
      <c r="F236" s="6">
        <f>'Adj Close Prices'!F237/'Adj Close Prices'!F236-1</f>
        <v>0</v>
      </c>
      <c r="G236" s="6">
        <f>'Adj Close Prices'!G237/'Adj Close Prices'!G236-1</f>
        <v>1.0322165451070564E-2</v>
      </c>
    </row>
    <row r="237" spans="1:7" x14ac:dyDescent="0.45">
      <c r="A237" s="2">
        <f>'Adj Close Prices'!A238</f>
        <v>45419</v>
      </c>
      <c r="B237" s="6">
        <f>'Adj Close Prices'!B238/'Adj Close Prices'!B237-1</f>
        <v>1.2846611459176316E-3</v>
      </c>
      <c r="C237" s="6">
        <f>'Adj Close Prices'!C238/'Adj Close Prices'!C237-1</f>
        <v>-4.0345821325649123E-3</v>
      </c>
      <c r="D237" s="6">
        <f>'Adj Close Prices'!D238/'Adj Close Prices'!D237-1</f>
        <v>-5.7405281285882737E-4</v>
      </c>
      <c r="E237" s="6">
        <f>'Adj Close Prices'!E238/'Adj Close Prices'!E237-1</f>
        <v>-6.857142857142895E-3</v>
      </c>
      <c r="F237" s="6">
        <f>'Adj Close Prices'!F238/'Adj Close Prices'!F237-1</f>
        <v>2.1800741225219689E-4</v>
      </c>
      <c r="G237" s="6">
        <f>'Adj Close Prices'!G238/'Adj Close Prices'!G237-1</f>
        <v>1.3473004769599672E-3</v>
      </c>
    </row>
    <row r="238" spans="1:7" x14ac:dyDescent="0.45">
      <c r="A238" s="2">
        <f>'Adj Close Prices'!A239</f>
        <v>45420</v>
      </c>
      <c r="B238" s="6">
        <f>'Adj Close Prices'!B239/'Adj Close Prices'!B238-1</f>
        <v>-9.8693300698782238E-5</v>
      </c>
      <c r="C238" s="6">
        <f>'Adj Close Prices'!C239/'Adj Close Prices'!C238-1</f>
        <v>-1.1574074074073293E-3</v>
      </c>
      <c r="D238" s="6">
        <f>'Adj Close Prices'!D239/'Adj Close Prices'!D238-1</f>
        <v>8.6157380815621298E-3</v>
      </c>
      <c r="E238" s="6">
        <f>'Adj Close Prices'!E239/'Adj Close Prices'!E238-1</f>
        <v>-1.6877637130801704E-2</v>
      </c>
      <c r="F238" s="6">
        <f>'Adj Close Prices'!F239/'Adj Close Prices'!F238-1</f>
        <v>0</v>
      </c>
      <c r="G238" s="6">
        <f>'Adj Close Prices'!G239/'Adj Close Prices'!G238-1</f>
        <v>-9.6381640454223927E-6</v>
      </c>
    </row>
    <row r="239" spans="1:7" x14ac:dyDescent="0.45">
      <c r="A239" s="2">
        <f>'Adj Close Prices'!A240</f>
        <v>45421</v>
      </c>
      <c r="B239" s="6">
        <f>'Adj Close Prices'!B240/'Adj Close Prices'!B239-1</f>
        <v>5.4878891367433624E-3</v>
      </c>
      <c r="C239" s="6">
        <f>'Adj Close Prices'!C240/'Adj Close Prices'!C239-1</f>
        <v>6.9524913093856888E-3</v>
      </c>
      <c r="D239" s="6">
        <f>'Adj Close Prices'!D240/'Adj Close Prices'!D239-1</f>
        <v>6.8337129840547739E-3</v>
      </c>
      <c r="E239" s="6">
        <f>'Adj Close Prices'!E240/'Adj Close Prices'!E239-1</f>
        <v>4.6820132657043878E-3</v>
      </c>
      <c r="F239" s="6">
        <f>'Adj Close Prices'!F240/'Adj Close Prices'!F239-1</f>
        <v>4.3591979075841003E-4</v>
      </c>
      <c r="G239" s="6">
        <f>'Adj Close Prices'!G240/'Adj Close Prices'!G239-1</f>
        <v>5.0909273159767121E-3</v>
      </c>
    </row>
    <row r="240" spans="1:7" x14ac:dyDescent="0.45">
      <c r="A240" s="2">
        <f>'Adj Close Prices'!A241</f>
        <v>45422</v>
      </c>
      <c r="B240" s="6">
        <f>'Adj Close Prices'!B241/'Adj Close Prices'!B240-1</f>
        <v>1.3939334445862706E-3</v>
      </c>
      <c r="C240" s="6">
        <f>'Adj Close Prices'!C241/'Adj Close Prices'!C240-1</f>
        <v>8.6306098964328282E-3</v>
      </c>
      <c r="D240" s="6">
        <f>'Adj Close Prices'!D241/'Adj Close Prices'!D240-1</f>
        <v>1.3574660633484337E-2</v>
      </c>
      <c r="E240" s="6">
        <f>'Adj Close Prices'!E241/'Adj Close Prices'!E240-1</f>
        <v>-8.1553398058252791E-3</v>
      </c>
      <c r="F240" s="6">
        <f>'Adj Close Prices'!F241/'Adj Close Prices'!F240-1</f>
        <v>-2.178649237472019E-4</v>
      </c>
      <c r="G240" s="6">
        <f>'Adj Close Prices'!G241/'Adj Close Prices'!G240-1</f>
        <v>1.6532190783782319E-3</v>
      </c>
    </row>
    <row r="241" spans="1:7" x14ac:dyDescent="0.45">
      <c r="A241" s="2">
        <f>'Adj Close Prices'!A242</f>
        <v>45425</v>
      </c>
      <c r="B241" s="6">
        <f>'Adj Close Prices'!B242/'Adj Close Prices'!B241-1</f>
        <v>3.3329412226024147E-4</v>
      </c>
      <c r="C241" s="6">
        <f>'Adj Close Prices'!C242/'Adj Close Prices'!C241-1</f>
        <v>1.7113519680547196E-3</v>
      </c>
      <c r="D241" s="6">
        <f>'Adj Close Prices'!D242/'Adj Close Prices'!D241-1</f>
        <v>-4.4642857142858094E-3</v>
      </c>
      <c r="E241" s="6">
        <f>'Adj Close Prices'!E242/'Adj Close Prices'!E241-1</f>
        <v>-1.1746280344557603E-2</v>
      </c>
      <c r="F241" s="6">
        <f>'Adj Close Prices'!F242/'Adj Close Prices'!F241-1</f>
        <v>4.3582479843085054E-4</v>
      </c>
      <c r="G241" s="6">
        <f>'Adj Close Prices'!G242/'Adj Close Prices'!G241-1</f>
        <v>-2.4508442967130506E-4</v>
      </c>
    </row>
    <row r="242" spans="1:7" x14ac:dyDescent="0.45">
      <c r="A242" s="2">
        <f>'Adj Close Prices'!A243</f>
        <v>45426</v>
      </c>
      <c r="B242" s="6">
        <f>'Adj Close Prices'!B243/'Adj Close Prices'!B242-1</f>
        <v>4.5665680183444302E-3</v>
      </c>
      <c r="C242" s="6">
        <f>'Adj Close Prices'!C243/'Adj Close Prices'!C242-1</f>
        <v>5.1252847380409694E-3</v>
      </c>
      <c r="D242" s="6">
        <f>'Adj Close Prices'!D243/'Adj Close Prices'!D242-1</f>
        <v>5.6053811659193542E-3</v>
      </c>
      <c r="E242" s="6">
        <f>'Adj Close Prices'!E243/'Adj Close Prices'!E242-1</f>
        <v>-3.1695721077653616E-3</v>
      </c>
      <c r="F242" s="6">
        <f>'Adj Close Prices'!F243/'Adj Close Prices'!F242-1</f>
        <v>2.1781746896110121E-4</v>
      </c>
      <c r="G242" s="6">
        <f>'Adj Close Prices'!G243/'Adj Close Prices'!G242-1</f>
        <v>4.8416040877847788E-3</v>
      </c>
    </row>
    <row r="243" spans="1:7" x14ac:dyDescent="0.45">
      <c r="A243" s="2">
        <f>'Adj Close Prices'!A244</f>
        <v>45427</v>
      </c>
      <c r="B243" s="6">
        <f>'Adj Close Prices'!B244/'Adj Close Prices'!B243-1</f>
        <v>1.2408303418136368E-2</v>
      </c>
      <c r="C243" s="6">
        <f>'Adj Close Prices'!C244/'Adj Close Prices'!C243-1</f>
        <v>-3.3994334277619442E-3</v>
      </c>
      <c r="D243" s="6">
        <f>'Adj Close Prices'!D244/'Adj Close Prices'!D243-1</f>
        <v>-1.1148272017837413E-2</v>
      </c>
      <c r="E243" s="6">
        <f>'Adj Close Prices'!E244/'Adj Close Prices'!E243-1</f>
        <v>-1.8282988871224148E-2</v>
      </c>
      <c r="F243" s="6">
        <f>'Adj Close Prices'!F244/'Adj Close Prices'!F243-1</f>
        <v>6.5331010452962524E-4</v>
      </c>
      <c r="G243" s="6">
        <f>'Adj Close Prices'!G244/'Adj Close Prices'!G243-1</f>
        <v>1.1712146134039036E-2</v>
      </c>
    </row>
    <row r="244" spans="1:7" x14ac:dyDescent="0.45">
      <c r="A244" s="2">
        <f>'Adj Close Prices'!A245</f>
        <v>45428</v>
      </c>
      <c r="B244" s="6">
        <f>'Adj Close Prices'!B245/'Adj Close Prices'!B244-1</f>
        <v>-2.3510367686732092E-3</v>
      </c>
      <c r="C244" s="6">
        <f>'Adj Close Prices'!C245/'Adj Close Prices'!C244-1</f>
        <v>-1.1370096645820782E-3</v>
      </c>
      <c r="D244" s="6">
        <f>'Adj Close Prices'!D245/'Adj Close Prices'!D244-1</f>
        <v>-6.2006764374294976E-3</v>
      </c>
      <c r="E244" s="6">
        <f>'Adj Close Prices'!E245/'Adj Close Prices'!E244-1</f>
        <v>-1.2145748987852922E-3</v>
      </c>
      <c r="F244" s="6">
        <f>'Adj Close Prices'!F245/'Adj Close Prices'!F244-1</f>
        <v>2.1762785636547655E-4</v>
      </c>
      <c r="G244" s="6">
        <f>'Adj Close Prices'!G245/'Adj Close Prices'!G244-1</f>
        <v>-2.0817084703870226E-3</v>
      </c>
    </row>
    <row r="245" spans="1:7" x14ac:dyDescent="0.45">
      <c r="A245" s="2">
        <f>'Adj Close Prices'!A246</f>
        <v>45429</v>
      </c>
      <c r="B245" s="6">
        <f>'Adj Close Prices'!B246/'Adj Close Prices'!B245-1</f>
        <v>1.6998261541432136E-3</v>
      </c>
      <c r="C245" s="6">
        <f>'Adj Close Prices'!C246/'Adj Close Prices'!C245-1</f>
        <v>6.2606715993169804E-3</v>
      </c>
      <c r="D245" s="6">
        <f>'Adj Close Prices'!D246/'Adj Close Prices'!D245-1</f>
        <v>-2.8360748723766926E-3</v>
      </c>
      <c r="E245" s="6">
        <f>'Adj Close Prices'!E246/'Adj Close Prices'!E245-1</f>
        <v>2.4321037697607739E-3</v>
      </c>
      <c r="F245" s="6">
        <f>'Adj Close Prices'!F246/'Adj Close Prices'!F245-1</f>
        <v>0</v>
      </c>
      <c r="G245" s="6">
        <f>'Adj Close Prices'!G246/'Adj Close Prices'!G245-1</f>
        <v>1.1647904793008479E-3</v>
      </c>
    </row>
    <row r="246" spans="1:7" x14ac:dyDescent="0.45">
      <c r="A246" s="2">
        <f>'Adj Close Prices'!A247</f>
        <v>45432</v>
      </c>
      <c r="B246" s="6">
        <f>'Adj Close Prices'!B247/'Adj Close Prices'!B246-1</f>
        <v>1.1570056693275266E-3</v>
      </c>
      <c r="C246" s="6">
        <f>'Adj Close Prices'!C247/'Adj Close Prices'!C246-1</f>
        <v>2.2624434389140191E-3</v>
      </c>
      <c r="D246" s="6">
        <f>'Adj Close Prices'!D247/'Adj Close Prices'!D246-1</f>
        <v>8.5324232081911422E-3</v>
      </c>
      <c r="E246" s="6">
        <f>'Adj Close Prices'!E247/'Adj Close Prices'!E246-1</f>
        <v>2.8305701577031606E-3</v>
      </c>
      <c r="F246" s="6">
        <f>'Adj Close Prices'!F247/'Adj Close Prices'!F246-1</f>
        <v>2.1758050478681845E-4</v>
      </c>
      <c r="G246" s="6">
        <f>'Adj Close Prices'!G247/'Adj Close Prices'!G246-1</f>
        <v>9.1641744888981691E-4</v>
      </c>
    </row>
    <row r="247" spans="1:7" x14ac:dyDescent="0.45">
      <c r="A247" s="2">
        <f>'Adj Close Prices'!A248</f>
        <v>45433</v>
      </c>
      <c r="B247" s="6">
        <f>'Adj Close Prices'!B248/'Adj Close Prices'!B247-1</f>
        <v>2.4461651065144085E-3</v>
      </c>
      <c r="C247" s="6">
        <f>'Adj Close Prices'!C248/'Adj Close Prices'!C247-1</f>
        <v>6.2076749435666656E-3</v>
      </c>
      <c r="D247" s="6">
        <f>'Adj Close Prices'!D248/'Adj Close Prices'!D247-1</f>
        <v>6.2041737168641031E-3</v>
      </c>
      <c r="E247" s="6">
        <f>'Adj Close Prices'!E248/'Adj Close Prices'!E247-1</f>
        <v>7.2580645161290924E-3</v>
      </c>
      <c r="F247" s="6">
        <f>'Adj Close Prices'!F248/'Adj Close Prices'!F247-1</f>
        <v>4.3506634761802943E-4</v>
      </c>
      <c r="G247" s="6">
        <f>'Adj Close Prices'!G248/'Adj Close Prices'!G247-1</f>
        <v>2.5055952013142146E-3</v>
      </c>
    </row>
    <row r="248" spans="1:7" x14ac:dyDescent="0.45">
      <c r="A248" s="2">
        <f>'Adj Close Prices'!A249</f>
        <v>45434</v>
      </c>
      <c r="B248" s="6">
        <f>'Adj Close Prices'!B249/'Adj Close Prices'!B248-1</f>
        <v>-2.8436929580171189E-3</v>
      </c>
      <c r="C248" s="6">
        <f>'Adj Close Prices'!C249/'Adj Close Prices'!C248-1</f>
        <v>-4.4868199663488095E-3</v>
      </c>
      <c r="D248" s="6">
        <f>'Adj Close Prices'!D249/'Adj Close Prices'!D248-1</f>
        <v>-1.4013452914798163E-2</v>
      </c>
      <c r="E248" s="6">
        <f>'Adj Close Prices'!E249/'Adj Close Prices'!E248-1</f>
        <v>-6.805444355484469E-3</v>
      </c>
      <c r="F248" s="6">
        <f>'Adj Close Prices'!F249/'Adj Close Prices'!F248-1</f>
        <v>-2.1743857360312369E-4</v>
      </c>
      <c r="G248" s="6">
        <f>'Adj Close Prices'!G249/'Adj Close Prices'!G248-1</f>
        <v>-2.7060446271859329E-3</v>
      </c>
    </row>
    <row r="249" spans="1:7" x14ac:dyDescent="0.45">
      <c r="A249" s="2">
        <f>'Adj Close Prices'!A250</f>
        <v>45435</v>
      </c>
      <c r="B249" s="6">
        <f>'Adj Close Prices'!B250/'Adj Close Prices'!B249-1</f>
        <v>-7.3029269514617301E-3</v>
      </c>
      <c r="C249" s="6">
        <f>'Adj Close Prices'!C250/'Adj Close Prices'!C249-1</f>
        <v>-7.8873239436619835E-3</v>
      </c>
      <c r="D249" s="6">
        <f>'Adj Close Prices'!D250/'Adj Close Prices'!D249-1</f>
        <v>4.5480386583287569E-3</v>
      </c>
      <c r="E249" s="6">
        <f>'Adj Close Prices'!E250/'Adj Close Prices'!E249-1</f>
        <v>-8.0612656187017961E-4</v>
      </c>
      <c r="F249" s="6">
        <f>'Adj Close Prices'!F250/'Adj Close Prices'!F249-1</f>
        <v>4.349717268379294E-4</v>
      </c>
      <c r="G249" s="6">
        <f>'Adj Close Prices'!G250/'Adj Close Prices'!G249-1</f>
        <v>-7.3807899725270021E-3</v>
      </c>
    </row>
    <row r="250" spans="1:7" x14ac:dyDescent="0.45">
      <c r="A250" s="2">
        <f>'Adj Close Prices'!A251</f>
        <v>45436</v>
      </c>
      <c r="B250" s="6">
        <f>'Adj Close Prices'!B251/'Adj Close Prices'!B250-1</f>
        <v>6.6384564618193753E-3</v>
      </c>
      <c r="C250" s="6">
        <f>'Adj Close Prices'!C251/'Adj Close Prices'!C250-1</f>
        <v>7.3821692220328305E-3</v>
      </c>
      <c r="D250" s="6">
        <f>'Adj Close Prices'!D251/'Adj Close Prices'!D250-1</f>
        <v>1.6411997736276218E-2</v>
      </c>
      <c r="E250" s="6">
        <f>'Adj Close Prices'!E251/'Adj Close Prices'!E250-1</f>
        <v>7.2609923356192763E-3</v>
      </c>
      <c r="F250" s="6">
        <f>'Adj Close Prices'!F251/'Adj Close Prices'!F250-1</f>
        <v>2.1739130434772491E-4</v>
      </c>
      <c r="G250" s="6">
        <f>'Adj Close Prices'!G251/'Adj Close Prices'!G250-1</f>
        <v>6.9971620300501858E-3</v>
      </c>
    </row>
    <row r="251" spans="1:7" x14ac:dyDescent="0.45">
      <c r="A251" s="2">
        <f>'Adj Close Prices'!A252</f>
        <v>45440</v>
      </c>
      <c r="B251" s="6">
        <f>'Adj Close Prices'!B252/'Adj Close Prices'!B251-1</f>
        <v>7.713073659854075E-4</v>
      </c>
      <c r="C251" s="6">
        <f>'Adj Close Prices'!C252/'Adj Close Prices'!C251-1</f>
        <v>-5.6369785794807559E-4</v>
      </c>
      <c r="D251" s="6">
        <f>'Adj Close Prices'!D252/'Adj Close Prices'!D251-1</f>
        <v>-5.0111358574610465E-3</v>
      </c>
      <c r="E251" s="6">
        <f>'Adj Close Prices'!E252/'Adj Close Prices'!E251-1</f>
        <v>-4.8057669203042108E-3</v>
      </c>
      <c r="F251" s="6">
        <f>'Adj Close Prices'!F252/'Adj Close Prices'!F251-1</f>
        <v>2.1734405564011183E-4</v>
      </c>
      <c r="G251" s="6">
        <f>'Adj Close Prices'!G252/'Adj Close Prices'!G251-1</f>
        <v>2.4883546885678953E-4</v>
      </c>
    </row>
    <row r="252" spans="1:7" x14ac:dyDescent="0.45">
      <c r="A252" s="2">
        <f>'Adj Close Prices'!A253</f>
        <v>45441</v>
      </c>
      <c r="B252" s="6">
        <f>'Adj Close Prices'!B253/'Adj Close Prices'!B252-1</f>
        <v>-7.1676300578035201E-3</v>
      </c>
      <c r="C252" s="6">
        <f>'Adj Close Prices'!C253/'Adj Close Prices'!C252-1</f>
        <v>-4.5121263395375699E-3</v>
      </c>
      <c r="D252" s="6">
        <f>'Adj Close Prices'!D253/'Adj Close Prices'!D252-1</f>
        <v>1.6787912702853625E-3</v>
      </c>
      <c r="E252" s="6">
        <f>'Adj Close Prices'!E253/'Adj Close Prices'!E252-1</f>
        <v>-1.6096579476861939E-3</v>
      </c>
      <c r="F252" s="6">
        <f>'Adj Close Prices'!F253/'Adj Close Prices'!F252-1</f>
        <v>-2.1729682746640666E-4</v>
      </c>
      <c r="G252" s="6">
        <f>'Adj Close Prices'!G253/'Adj Close Prices'!G252-1</f>
        <v>-7.3633205993934858E-3</v>
      </c>
    </row>
    <row r="253" spans="1:7" x14ac:dyDescent="0.45">
      <c r="A253" s="2">
        <f>'Adj Close Prices'!A254</f>
        <v>45442</v>
      </c>
      <c r="B253" s="6">
        <f>'Adj Close Prices'!B254/'Adj Close Prices'!B253-1</f>
        <v>-6.4819127464679216E-3</v>
      </c>
      <c r="C253" s="6">
        <f>'Adj Close Prices'!C254/'Adj Close Prices'!C253-1</f>
        <v>7.9320113314447216E-3</v>
      </c>
      <c r="D253" s="6">
        <f>'Adj Close Prices'!D254/'Adj Close Prices'!D253-1</f>
        <v>1.0055865921787754E-2</v>
      </c>
      <c r="E253" s="6">
        <f>'Adj Close Prices'!E254/'Adj Close Prices'!E253-1</f>
        <v>1.6122531237404258E-2</v>
      </c>
      <c r="F253" s="6">
        <f>'Adj Close Prices'!F254/'Adj Close Prices'!F253-1</f>
        <v>4.3468811128022367E-4</v>
      </c>
      <c r="G253" s="6">
        <f>'Adj Close Prices'!G254/'Adj Close Prices'!G253-1</f>
        <v>-5.9787809286571125E-3</v>
      </c>
    </row>
    <row r="254" spans="1:7" x14ac:dyDescent="0.45">
      <c r="A254" s="2">
        <f>'Adj Close Prices'!A255</f>
        <v>45443</v>
      </c>
      <c r="B254" s="6">
        <f>'Adj Close Prices'!B255/'Adj Close Prices'!B254-1</f>
        <v>8.8291596671485895E-3</v>
      </c>
      <c r="C254" s="6">
        <f>'Adj Close Prices'!C255/'Adj Close Prices'!C254-1</f>
        <v>7.3074761101743491E-3</v>
      </c>
      <c r="D254" s="6">
        <f>'Adj Close Prices'!D255/'Adj Close Prices'!D254-1</f>
        <v>1.0508849557522293E-2</v>
      </c>
      <c r="E254" s="6">
        <f>'Adj Close Prices'!E255/'Adj Close Prices'!E254-1</f>
        <v>8.3300277667592848E-3</v>
      </c>
      <c r="F254" s="6">
        <f>'Adj Close Prices'!F255/'Adj Close Prices'!F254-1</f>
        <v>4.344992396263514E-4</v>
      </c>
      <c r="G254" s="6">
        <f>'Adj Close Prices'!G255/'Adj Close Prices'!G254-1</f>
        <v>8.0279325447381034E-3</v>
      </c>
    </row>
    <row r="255" spans="1:7" x14ac:dyDescent="0.45">
      <c r="A255" s="2">
        <f>'Adj Close Prices'!A256</f>
        <v>45446</v>
      </c>
      <c r="B255" s="6">
        <f>'Adj Close Prices'!B256/'Adj Close Prices'!B255-1</f>
        <v>6.1960267978156125E-4</v>
      </c>
      <c r="C255" s="6">
        <f>'Adj Close Prices'!C256/'Adj Close Prices'!C255-1</f>
        <v>0</v>
      </c>
      <c r="D255" s="6">
        <f>'Adj Close Prices'!D256/'Adj Close Prices'!D255-1</f>
        <v>-3.2840722495893759E-3</v>
      </c>
      <c r="E255" s="6">
        <f>'Adj Close Prices'!E256/'Adj Close Prices'!E255-1</f>
        <v>7.8678206136895135E-4</v>
      </c>
      <c r="F255" s="6">
        <f>'Adj Close Prices'!F256/'Adj Close Prices'!F255-1</f>
        <v>4.3431053203057957E-4</v>
      </c>
      <c r="G255" s="6">
        <f>'Adj Close Prices'!G256/'Adj Close Prices'!G255-1</f>
        <v>1.1198484130743314E-3</v>
      </c>
    </row>
    <row r="256" spans="1:7" x14ac:dyDescent="0.45">
      <c r="A256" s="2">
        <f>'Adj Close Prices'!A257</f>
        <v>45447</v>
      </c>
      <c r="B256" s="6">
        <f>'Adj Close Prices'!B257/'Adj Close Prices'!B256-1</f>
        <v>1.4706451488060157E-3</v>
      </c>
      <c r="C256" s="6">
        <f>'Adj Close Prices'!C257/'Adj Close Prices'!C256-1</f>
        <v>0</v>
      </c>
      <c r="D256" s="6">
        <f>'Adj Close Prices'!D257/'Adj Close Prices'!D256-1</f>
        <v>-9.8846787479406339E-3</v>
      </c>
      <c r="E256" s="6">
        <f>'Adj Close Prices'!E257/'Adj Close Prices'!E256-1</f>
        <v>-3.1446540880504248E-3</v>
      </c>
      <c r="F256" s="6">
        <f>'Adj Close Prices'!F257/'Adj Close Prices'!F256-1</f>
        <v>4.3412198827885717E-4</v>
      </c>
      <c r="G256" s="6">
        <f>'Adj Close Prices'!G257/'Adj Close Prices'!G256-1</f>
        <v>1.5028173092757058E-3</v>
      </c>
    </row>
    <row r="257" spans="1:7" x14ac:dyDescent="0.45">
      <c r="A257" s="2">
        <f>'Adj Close Prices'!A258</f>
        <v>45448</v>
      </c>
      <c r="B257" s="6">
        <f>'Adj Close Prices'!B258/'Adj Close Prices'!B257-1</f>
        <v>1.197975035746035E-2</v>
      </c>
      <c r="C257" s="6">
        <f>'Adj Close Prices'!C258/'Adj Close Prices'!C257-1</f>
        <v>5.580357142855874E-4</v>
      </c>
      <c r="D257" s="6">
        <f>'Adj Close Prices'!D258/'Adj Close Prices'!D257-1</f>
        <v>8.8740987243483005E-3</v>
      </c>
      <c r="E257" s="6">
        <f>'Adj Close Prices'!E258/'Adj Close Prices'!E257-1</f>
        <v>1.9716088328076697E-3</v>
      </c>
      <c r="F257" s="6">
        <f>'Adj Close Prices'!F258/'Adj Close Prices'!F257-1</f>
        <v>2.169668040790107E-4</v>
      </c>
      <c r="G257" s="6">
        <f>'Adj Close Prices'!G258/'Adj Close Prices'!G257-1</f>
        <v>1.1847638126375903E-2</v>
      </c>
    </row>
    <row r="258" spans="1:7" x14ac:dyDescent="0.45">
      <c r="A258" s="2">
        <f>'Adj Close Prices'!A259</f>
        <v>45449</v>
      </c>
      <c r="B258" s="6">
        <f>'Adj Close Prices'!B259/'Adj Close Prices'!B258-1</f>
        <v>-3.8186886623048366E-5</v>
      </c>
      <c r="C258" s="6">
        <f>'Adj Close Prices'!C259/'Adj Close Prices'!C258-1</f>
        <v>-1.0596765197992242E-2</v>
      </c>
      <c r="D258" s="6">
        <f>'Adj Close Prices'!D259/'Adj Close Prices'!D258-1</f>
        <v>-6.0472787245741122E-3</v>
      </c>
      <c r="E258" s="6">
        <f>'Adj Close Prices'!E259/'Adj Close Prices'!E258-1</f>
        <v>-5.5096418732782926E-3</v>
      </c>
      <c r="F258" s="6">
        <f>'Adj Close Prices'!F259/'Adj Close Prices'!F258-1</f>
        <v>2.1691973969617528E-4</v>
      </c>
      <c r="G258" s="6">
        <f>'Adj Close Prices'!G259/'Adj Close Prices'!G258-1</f>
        <v>-2.0358458285707481E-4</v>
      </c>
    </row>
    <row r="259" spans="1:7" x14ac:dyDescent="0.45">
      <c r="A259" s="2">
        <f>'Adj Close Prices'!A260</f>
        <v>45450</v>
      </c>
      <c r="B259" s="6">
        <f>'Adj Close Prices'!B260/'Adj Close Prices'!B259-1</f>
        <v>-1.260215382265506E-3</v>
      </c>
      <c r="C259" s="6">
        <f>'Adj Close Prices'!C260/'Adj Close Prices'!C259-1</f>
        <v>8.455467869222133E-3</v>
      </c>
      <c r="D259" s="6">
        <f>'Adj Close Prices'!D260/'Adj Close Prices'!D259-1</f>
        <v>4.9778761061949339E-3</v>
      </c>
      <c r="E259" s="6">
        <f>'Adj Close Prices'!E260/'Adj Close Prices'!E259-1</f>
        <v>5.1444400474871532E-3</v>
      </c>
      <c r="F259" s="6">
        <f>'Adj Close Prices'!F260/'Adj Close Prices'!F259-1</f>
        <v>-2.1687269572756573E-4</v>
      </c>
      <c r="G259" s="6">
        <f>'Adj Close Prices'!G260/'Adj Close Prices'!G259-1</f>
        <v>-1.1152728869128214E-3</v>
      </c>
    </row>
    <row r="260" spans="1:7" x14ac:dyDescent="0.45">
      <c r="A260" s="2">
        <f>'Adj Close Prices'!A261</f>
        <v>45453</v>
      </c>
      <c r="B260" s="6">
        <f>'Adj Close Prices'!B261/'Adj Close Prices'!B260-1</f>
        <v>2.9824494321877282E-3</v>
      </c>
      <c r="C260" s="6">
        <f>'Adj Close Prices'!C261/'Adj Close Prices'!C260-1</f>
        <v>-5.589714924539857E-4</v>
      </c>
      <c r="D260" s="6">
        <f>'Adj Close Prices'!D261/'Adj Close Prices'!D260-1</f>
        <v>-5.5035773252615217E-3</v>
      </c>
      <c r="E260" s="6">
        <f>'Adj Close Prices'!E261/'Adj Close Prices'!E260-1</f>
        <v>3.1496062992126816E-3</v>
      </c>
      <c r="F260" s="6">
        <f>'Adj Close Prices'!F261/'Adj Close Prices'!F260-1</f>
        <v>2.1691973969617528E-4</v>
      </c>
      <c r="G260" s="6">
        <f>'Adj Close Prices'!G261/'Adj Close Prices'!G260-1</f>
        <v>2.5808961320221702E-3</v>
      </c>
    </row>
    <row r="261" spans="1:7" x14ac:dyDescent="0.45">
      <c r="A261" s="2">
        <f>'Adj Close Prices'!A262</f>
        <v>45454</v>
      </c>
      <c r="B261" s="6">
        <f>'Adj Close Prices'!B262/'Adj Close Prices'!B261-1</f>
        <v>2.477984064656269E-3</v>
      </c>
      <c r="C261" s="6">
        <f>'Adj Close Prices'!C262/'Adj Close Prices'!C261-1</f>
        <v>-5.0335570469798308E-3</v>
      </c>
      <c r="D261" s="6">
        <f>'Adj Close Prices'!D262/'Adj Close Prices'!D261-1</f>
        <v>-3.8738240177089711E-3</v>
      </c>
      <c r="E261" s="6">
        <f>'Adj Close Prices'!E262/'Adj Close Prices'!E261-1</f>
        <v>-5.8869701726845802E-3</v>
      </c>
      <c r="F261" s="6">
        <f>'Adj Close Prices'!F262/'Adj Close Prices'!F261-1</f>
        <v>4.3374539145535351E-4</v>
      </c>
      <c r="G261" s="6">
        <f>'Adj Close Prices'!G262/'Adj Close Prices'!G261-1</f>
        <v>2.7104264677901835E-3</v>
      </c>
    </row>
    <row r="262" spans="1:7" x14ac:dyDescent="0.45">
      <c r="A262" s="2">
        <f>'Adj Close Prices'!A263</f>
        <v>45455</v>
      </c>
      <c r="B262" s="6">
        <f>'Adj Close Prices'!B263/'Adj Close Prices'!B262-1</f>
        <v>8.3282628536660575E-3</v>
      </c>
      <c r="C262" s="6">
        <f>'Adj Close Prices'!C263/'Adj Close Prices'!C262-1</f>
        <v>5.6211354693647131E-4</v>
      </c>
      <c r="D262" s="6">
        <f>'Adj Close Prices'!D263/'Adj Close Prices'!D262-1</f>
        <v>0</v>
      </c>
      <c r="E262" s="6">
        <f>'Adj Close Prices'!E263/'Adj Close Prices'!E262-1</f>
        <v>1.1843663639952151E-3</v>
      </c>
      <c r="F262" s="6">
        <f>'Adj Close Prices'!F263/'Adj Close Prices'!F262-1</f>
        <v>6.5033600693675808E-4</v>
      </c>
      <c r="G262" s="6">
        <f>'Adj Close Prices'!G263/'Adj Close Prices'!G262-1</f>
        <v>8.503695600811767E-3</v>
      </c>
    </row>
    <row r="263" spans="1:7" x14ac:dyDescent="0.45">
      <c r="A263" s="2">
        <f>'Adj Close Prices'!A264</f>
        <v>45456</v>
      </c>
      <c r="B263" s="6">
        <f>'Adj Close Prices'!B264/'Adj Close Prices'!B263-1</f>
        <v>2.1120120686404231E-3</v>
      </c>
      <c r="C263" s="6">
        <f>'Adj Close Prices'!C264/'Adj Close Prices'!C263-1</f>
        <v>-7.3033707865167719E-3</v>
      </c>
      <c r="D263" s="6">
        <f>'Adj Close Prices'!D264/'Adj Close Prices'!D263-1</f>
        <v>-1.0555555555555651E-2</v>
      </c>
      <c r="E263" s="6">
        <f>'Adj Close Prices'!E264/'Adj Close Prices'!E263-1</f>
        <v>0</v>
      </c>
      <c r="F263" s="6">
        <f>'Adj Close Prices'!F264/'Adj Close Prices'!F263-1</f>
        <v>4.332755632583396E-4</v>
      </c>
      <c r="G263" s="6">
        <f>'Adj Close Prices'!G264/'Adj Close Prices'!G263-1</f>
        <v>2.3482665623810739E-3</v>
      </c>
    </row>
    <row r="264" spans="1:7" x14ac:dyDescent="0.45">
      <c r="A264" s="2">
        <f>'Adj Close Prices'!A265</f>
        <v>45457</v>
      </c>
      <c r="B264" s="6">
        <f>'Adj Close Prices'!B265/'Adj Close Prices'!B264-1</f>
        <v>3.3871514056693641E-4</v>
      </c>
      <c r="C264" s="6">
        <f>'Adj Close Prices'!C265/'Adj Close Prices'!C264-1</f>
        <v>-5.0933786078100063E-3</v>
      </c>
      <c r="D264" s="6">
        <f>'Adj Close Prices'!D265/'Adj Close Prices'!D264-1</f>
        <v>1.122964626614209E-3</v>
      </c>
      <c r="E264" s="6">
        <f>'Adj Close Prices'!E265/'Adj Close Prices'!E264-1</f>
        <v>-1.9716088328075587E-3</v>
      </c>
      <c r="F264" s="6">
        <f>'Adj Close Prices'!F265/'Adj Close Prices'!F264-1</f>
        <v>2.1654395842340968E-4</v>
      </c>
      <c r="G264" s="6">
        <f>'Adj Close Prices'!G265/'Adj Close Prices'!G264-1</f>
        <v>-3.9383482861754526E-4</v>
      </c>
    </row>
    <row r="265" spans="1:7" x14ac:dyDescent="0.45">
      <c r="A265" s="2">
        <f>'Adj Close Prices'!A266</f>
        <v>45460</v>
      </c>
      <c r="B265" s="6">
        <f>'Adj Close Prices'!B266/'Adj Close Prices'!B265-1</f>
        <v>8.1828442437923421E-3</v>
      </c>
      <c r="C265" s="6">
        <f>'Adj Close Prices'!C266/'Adj Close Prices'!C265-1</f>
        <v>1.7064846416383617E-3</v>
      </c>
      <c r="D265" s="6">
        <f>'Adj Close Prices'!D266/'Adj Close Prices'!D265-1</f>
        <v>9.5344924284914701E-3</v>
      </c>
      <c r="E265" s="6">
        <f>'Adj Close Prices'!E266/'Adj Close Prices'!E265-1</f>
        <v>2.3706045041487211E-3</v>
      </c>
      <c r="F265" s="6">
        <f>'Adj Close Prices'!F266/'Adj Close Prices'!F265-1</f>
        <v>-2.1649707728943479E-4</v>
      </c>
      <c r="G265" s="6">
        <f>'Adj Close Prices'!G266/'Adj Close Prices'!G265-1</f>
        <v>7.6643941667386972E-3</v>
      </c>
    </row>
    <row r="266" spans="1:7" x14ac:dyDescent="0.45">
      <c r="A266" s="2">
        <f>'Adj Close Prices'!A267</f>
        <v>45461</v>
      </c>
      <c r="B266" s="6">
        <f>'Adj Close Prices'!B267/'Adj Close Prices'!B266-1</f>
        <v>2.4255994029291905E-3</v>
      </c>
      <c r="C266" s="6">
        <f>'Adj Close Prices'!C267/'Adj Close Prices'!C266-1</f>
        <v>-6.2464508801817198E-3</v>
      </c>
      <c r="D266" s="6">
        <f>'Adj Close Prices'!D267/'Adj Close Prices'!D266-1</f>
        <v>-1.6666666666667052E-3</v>
      </c>
      <c r="E266" s="6">
        <f>'Adj Close Prices'!E267/'Adj Close Prices'!E266-1</f>
        <v>3.1533307055577886E-3</v>
      </c>
      <c r="F266" s="6">
        <f>'Adj Close Prices'!F267/'Adj Close Prices'!F266-1</f>
        <v>4.3308791684726344E-4</v>
      </c>
      <c r="G266" s="6">
        <f>'Adj Close Prices'!G267/'Adj Close Prices'!G266-1</f>
        <v>2.5177043213893135E-3</v>
      </c>
    </row>
    <row r="267" spans="1:7" x14ac:dyDescent="0.45">
      <c r="A267" s="2">
        <f>'Adj Close Prices'!A268</f>
        <v>45463</v>
      </c>
      <c r="B267" s="6">
        <f>'Adj Close Prices'!B268/'Adj Close Prices'!B267-1</f>
        <v>-3.089809213587702E-3</v>
      </c>
      <c r="C267" s="6">
        <f>'Adj Close Prices'!C268/'Adj Close Prices'!C267-1</f>
        <v>0</v>
      </c>
      <c r="D267" s="6">
        <f>'Adj Close Prices'!D268/'Adj Close Prices'!D267-1</f>
        <v>2.7824151363384786E-3</v>
      </c>
      <c r="E267" s="6">
        <f>'Adj Close Prices'!E268/'Adj Close Prices'!E267-1</f>
        <v>-5.5009823182711193E-3</v>
      </c>
      <c r="F267" s="6">
        <f>'Adj Close Prices'!F268/'Adj Close Prices'!F267-1</f>
        <v>0</v>
      </c>
      <c r="G267" s="6">
        <f>'Adj Close Prices'!G268/'Adj Close Prices'!G267-1</f>
        <v>-2.5259612685939459E-3</v>
      </c>
    </row>
    <row r="268" spans="1:7" x14ac:dyDescent="0.45">
      <c r="A268" s="2">
        <f>'Adj Close Prices'!A269</f>
        <v>45464</v>
      </c>
      <c r="B268" s="6">
        <f>'Adj Close Prices'!B269/'Adj Close Prices'!B268-1</f>
        <v>-1.6990608487836845E-3</v>
      </c>
      <c r="C268" s="6">
        <f>'Adj Close Prices'!C269/'Adj Close Prices'!C268-1</f>
        <v>0</v>
      </c>
      <c r="D268" s="6">
        <f>'Adj Close Prices'!D269/'Adj Close Prices'!D268-1</f>
        <v>-2.2197558268589601E-3</v>
      </c>
      <c r="E268" s="6">
        <f>'Adj Close Prices'!E269/'Adj Close Prices'!E268-1</f>
        <v>1.5408929276965688E-2</v>
      </c>
      <c r="F268" s="6">
        <f>'Adj Close Prices'!F269/'Adj Close Prices'!F268-1</f>
        <v>0</v>
      </c>
      <c r="G268" s="6">
        <f>'Adj Close Prices'!G269/'Adj Close Prices'!G268-1</f>
        <v>-1.5621688384772625E-3</v>
      </c>
    </row>
    <row r="269" spans="1:7" x14ac:dyDescent="0.45">
      <c r="A269" s="2">
        <f>'Adj Close Prices'!A270</f>
        <v>45467</v>
      </c>
      <c r="B269" s="6">
        <f>'Adj Close Prices'!B270/'Adj Close Prices'!B269-1</f>
        <v>-2.5622802423880264E-3</v>
      </c>
      <c r="C269" s="6">
        <f>'Adj Close Prices'!C270/'Adj Close Prices'!C269-1</f>
        <v>4.0000000000000036E-3</v>
      </c>
      <c r="D269" s="6">
        <f>'Adj Close Prices'!D270/'Adj Close Prices'!D269-1</f>
        <v>3.3370411568409697E-3</v>
      </c>
      <c r="E269" s="6">
        <f>'Adj Close Prices'!E270/'Adj Close Prices'!E269-1</f>
        <v>-6.225680933852118E-3</v>
      </c>
      <c r="F269" s="6">
        <f>'Adj Close Prices'!F270/'Adj Close Prices'!F269-1</f>
        <v>6.493506493505663E-4</v>
      </c>
      <c r="G269" s="6">
        <f>'Adj Close Prices'!G270/'Adj Close Prices'!G269-1</f>
        <v>-3.0615176563376645E-3</v>
      </c>
    </row>
    <row r="270" spans="1:7" x14ac:dyDescent="0.45">
      <c r="A270" s="2">
        <f>'Adj Close Prices'!A271</f>
        <v>45468</v>
      </c>
      <c r="B270" s="6">
        <f>'Adj Close Prices'!B271/'Adj Close Prices'!B270-1</f>
        <v>3.8064165307234443E-3</v>
      </c>
      <c r="C270" s="6">
        <f>'Adj Close Prices'!C271/'Adj Close Prices'!C270-1</f>
        <v>-7.3989755264655122E-3</v>
      </c>
      <c r="D270" s="6">
        <f>'Adj Close Prices'!D271/'Adj Close Prices'!D270-1</f>
        <v>-5.5432372505541672E-3</v>
      </c>
      <c r="E270" s="6">
        <f>'Adj Close Prices'!E271/'Adj Close Prices'!E270-1</f>
        <v>3.5238841033673474E-3</v>
      </c>
      <c r="F270" s="6">
        <f>'Adj Close Prices'!F271/'Adj Close Prices'!F270-1</f>
        <v>0</v>
      </c>
      <c r="G270" s="6">
        <f>'Adj Close Prices'!G271/'Adj Close Prices'!G270-1</f>
        <v>3.9299690888932037E-3</v>
      </c>
    </row>
    <row r="271" spans="1:7" x14ac:dyDescent="0.45">
      <c r="A271" s="2">
        <f>'Adj Close Prices'!A272</f>
        <v>45469</v>
      </c>
      <c r="B271" s="6">
        <f>'Adj Close Prices'!B272/'Adj Close Prices'!B271-1</f>
        <v>1.5317368401388531E-3</v>
      </c>
      <c r="C271" s="6">
        <f>'Adj Close Prices'!C272/'Adj Close Prices'!C271-1</f>
        <v>2.8669724770640226E-3</v>
      </c>
      <c r="D271" s="6">
        <f>'Adj Close Prices'!D272/'Adj Close Prices'!D271-1</f>
        <v>1.1148272017837968E-3</v>
      </c>
      <c r="E271" s="6">
        <f>'Adj Close Prices'!E272/'Adj Close Prices'!E271-1</f>
        <v>0</v>
      </c>
      <c r="F271" s="6">
        <f>'Adj Close Prices'!F272/'Adj Close Prices'!F271-1</f>
        <v>0</v>
      </c>
      <c r="G271" s="6">
        <f>'Adj Close Prices'!G272/'Adj Close Prices'!G271-1</f>
        <v>1.5760729454827871E-3</v>
      </c>
    </row>
    <row r="272" spans="1:7" x14ac:dyDescent="0.45">
      <c r="A272" s="2">
        <f>'Adj Close Prices'!A273</f>
        <v>45470</v>
      </c>
      <c r="B272" s="6">
        <f>'Adj Close Prices'!B273/'Adj Close Prices'!B272-1</f>
        <v>1.4547896150405304E-3</v>
      </c>
      <c r="C272" s="6">
        <f>'Adj Close Prices'!C273/'Adj Close Prices'!C272-1</f>
        <v>1.0863350485992074E-2</v>
      </c>
      <c r="D272" s="6">
        <f>'Adj Close Prices'!D273/'Adj Close Prices'!D272-1</f>
        <v>8.3518930957682258E-3</v>
      </c>
      <c r="E272" s="6">
        <f>'Adj Close Prices'!E273/'Adj Close Prices'!E272-1</f>
        <v>3.1213421771363326E-3</v>
      </c>
      <c r="F272" s="6">
        <f>'Adj Close Prices'!F273/'Adj Close Prices'!F272-1</f>
        <v>2.1630975557007659E-4</v>
      </c>
      <c r="G272" s="6">
        <f>'Adj Close Prices'!G273/'Adj Close Prices'!G272-1</f>
        <v>9.0728033136722175E-4</v>
      </c>
    </row>
    <row r="273" spans="1:7" x14ac:dyDescent="0.45">
      <c r="A273" s="2">
        <f>'Adj Close Prices'!A274</f>
        <v>45471</v>
      </c>
      <c r="B273" s="6">
        <f>'Adj Close Prices'!B274/'Adj Close Prices'!B273-1</f>
        <v>-3.7993071851605276E-3</v>
      </c>
      <c r="C273" s="6">
        <f>'Adj Close Prices'!C274/'Adj Close Prices'!C273-1</f>
        <v>2.2624434389140191E-3</v>
      </c>
      <c r="D273" s="6">
        <f>'Adj Close Prices'!D274/'Adj Close Prices'!D273-1</f>
        <v>0</v>
      </c>
      <c r="E273" s="6">
        <f>'Adj Close Prices'!E274/'Adj Close Prices'!E273-1</f>
        <v>-1.4002333722286986E-2</v>
      </c>
      <c r="F273" s="6">
        <f>'Adj Close Prices'!F274/'Adj Close Prices'!F273-1</f>
        <v>2.1626297577848064E-4</v>
      </c>
      <c r="G273" s="6">
        <f>'Adj Close Prices'!G274/'Adj Close Prices'!G273-1</f>
        <v>-4.0836202871483707E-3</v>
      </c>
    </row>
    <row r="274" spans="1:7" x14ac:dyDescent="0.45">
      <c r="A274" s="2">
        <f>'Adj Close Prices'!A275</f>
        <v>45474</v>
      </c>
      <c r="B274" s="6">
        <f>'Adj Close Prices'!B275/'Adj Close Prices'!B274-1</f>
        <v>2.1499345672086889E-3</v>
      </c>
      <c r="C274" s="6">
        <f>'Adj Close Prices'!C275/'Adj Close Prices'!C274-1</f>
        <v>-6.2076749435665546E-3</v>
      </c>
      <c r="D274" s="6">
        <f>'Adj Close Prices'!D275/'Adj Close Prices'!D274-1</f>
        <v>2.7609055770292379E-3</v>
      </c>
      <c r="E274" s="6">
        <f>'Adj Close Prices'!E275/'Adj Close Prices'!E274-1</f>
        <v>-3.5502958579881616E-3</v>
      </c>
      <c r="F274" s="6">
        <f>'Adj Close Prices'!F275/'Adj Close Prices'!F274-1</f>
        <v>0</v>
      </c>
      <c r="G274" s="6">
        <f>'Adj Close Prices'!G275/'Adj Close Prices'!G274-1</f>
        <v>2.6755840593062352E-3</v>
      </c>
    </row>
    <row r="275" spans="1:7" x14ac:dyDescent="0.45">
      <c r="A275" s="2">
        <f>'Adj Close Prices'!A276</f>
        <v>45475</v>
      </c>
      <c r="B275" s="6">
        <f>'Adj Close Prices'!B276/'Adj Close Prices'!B275-1</f>
        <v>6.3800018654978086E-3</v>
      </c>
      <c r="C275" s="6">
        <f>'Adj Close Prices'!C276/'Adj Close Prices'!C275-1</f>
        <v>7.9500283929585525E-3</v>
      </c>
      <c r="D275" s="6">
        <f>'Adj Close Prices'!D276/'Adj Close Prices'!D275-1</f>
        <v>1.6519823788546217E-2</v>
      </c>
      <c r="E275" s="6">
        <f>'Adj Close Prices'!E276/'Adj Close Prices'!E275-1</f>
        <v>2.0981789390340344E-2</v>
      </c>
      <c r="F275" s="6">
        <f>'Adj Close Prices'!F276/'Adj Close Prices'!F275-1</f>
        <v>6.4864864864877525E-4</v>
      </c>
      <c r="G275" s="6">
        <f>'Adj Close Prices'!G276/'Adj Close Prices'!G275-1</f>
        <v>6.1953206334131039E-3</v>
      </c>
    </row>
    <row r="276" spans="1:7" x14ac:dyDescent="0.45">
      <c r="A276" s="2">
        <f>'Adj Close Prices'!A277</f>
        <v>45476</v>
      </c>
      <c r="B276" s="6">
        <f>'Adj Close Prices'!B277/'Adj Close Prices'!B276-1</f>
        <v>4.3932007340536927E-3</v>
      </c>
      <c r="C276" s="6">
        <f>'Adj Close Prices'!C277/'Adj Close Prices'!C276-1</f>
        <v>3.9436619718309363E-3</v>
      </c>
      <c r="D276" s="6">
        <f>'Adj Close Prices'!D277/'Adj Close Prices'!D276-1</f>
        <v>-5.4171180931750218E-4</v>
      </c>
      <c r="E276" s="6">
        <f>'Adj Close Prices'!E277/'Adj Close Prices'!E276-1</f>
        <v>-7.7549437766577523E-4</v>
      </c>
      <c r="F276" s="6">
        <f>'Adj Close Prices'!F277/'Adj Close Prices'!F276-1</f>
        <v>2.1607605877260738E-4</v>
      </c>
      <c r="G276" s="6">
        <f>'Adj Close Prices'!G277/'Adj Close Prices'!G276-1</f>
        <v>5.0807584652079463E-3</v>
      </c>
    </row>
    <row r="277" spans="1:7" x14ac:dyDescent="0.45">
      <c r="A277" s="2">
        <f>'Adj Close Prices'!A278</f>
        <v>45478</v>
      </c>
      <c r="B277" s="6">
        <f>'Adj Close Prices'!B278/'Adj Close Prices'!B277-1</f>
        <v>6.1826369407944615E-3</v>
      </c>
      <c r="C277" s="6">
        <f>'Adj Close Prices'!C278/'Adj Close Prices'!C277-1</f>
        <v>6.7340067340067034E-3</v>
      </c>
      <c r="D277" s="6">
        <f>'Adj Close Prices'!D278/'Adj Close Prices'!D277-1</f>
        <v>-1.0840108401083404E-3</v>
      </c>
      <c r="E277" s="6">
        <f>'Adj Close Prices'!E278/'Adj Close Prices'!E277-1</f>
        <v>1.0865347303065542E-2</v>
      </c>
      <c r="F277" s="6">
        <f>'Adj Close Prices'!F278/'Adj Close Prices'!F277-1</f>
        <v>6.480881399870686E-4</v>
      </c>
      <c r="G277" s="6">
        <f>'Adj Close Prices'!G278/'Adj Close Prices'!G277-1</f>
        <v>5.4524012057048932E-3</v>
      </c>
    </row>
    <row r="278" spans="1:7" x14ac:dyDescent="0.45">
      <c r="A278" s="2">
        <f>'Adj Close Prices'!A279</f>
        <v>45481</v>
      </c>
      <c r="B278" s="6">
        <f>'Adj Close Prices'!B279/'Adj Close Prices'!B278-1</f>
        <v>1.1555604468167502E-3</v>
      </c>
      <c r="C278" s="6">
        <f>'Adj Close Prices'!C279/'Adj Close Prices'!C278-1</f>
        <v>2.2296544035673715E-3</v>
      </c>
      <c r="D278" s="6">
        <f>'Adj Close Prices'!D279/'Adj Close Prices'!D278-1</f>
        <v>1.6277807921867282E-3</v>
      </c>
      <c r="E278" s="6">
        <f>'Adj Close Prices'!E279/'Adj Close Prices'!E278-1</f>
        <v>3.8387715930900956E-3</v>
      </c>
      <c r="F278" s="6">
        <f>'Adj Close Prices'!F279/'Adj Close Prices'!F278-1</f>
        <v>4.3177892918833116E-4</v>
      </c>
      <c r="G278" s="6">
        <f>'Adj Close Prices'!G279/'Adj Close Prices'!G278-1</f>
        <v>1.0166690616466578E-3</v>
      </c>
    </row>
    <row r="279" spans="1:7" x14ac:dyDescent="0.45">
      <c r="A279" s="2">
        <f>'Adj Close Prices'!A280</f>
        <v>45482</v>
      </c>
      <c r="B279" s="6">
        <f>'Adj Close Prices'!B280/'Adj Close Prices'!B279-1</f>
        <v>9.3437396944051621E-4</v>
      </c>
      <c r="C279" s="6">
        <f>'Adj Close Prices'!C280/'Adj Close Prices'!C279-1</f>
        <v>-4.4493882091213299E-3</v>
      </c>
      <c r="D279" s="6">
        <f>'Adj Close Prices'!D280/'Adj Close Prices'!D279-1</f>
        <v>-3.7919826652220712E-3</v>
      </c>
      <c r="E279" s="6">
        <f>'Adj Close Prices'!E280/'Adj Close Prices'!E279-1</f>
        <v>-2.6768642447418722E-2</v>
      </c>
      <c r="F279" s="6">
        <f>'Adj Close Prices'!F280/'Adj Close Prices'!F279-1</f>
        <v>0</v>
      </c>
      <c r="G279" s="6">
        <f>'Adj Close Prices'!G280/'Adj Close Prices'!G279-1</f>
        <v>7.3750282619711172E-4</v>
      </c>
    </row>
    <row r="280" spans="1:7" x14ac:dyDescent="0.45">
      <c r="A280" s="2">
        <f>'Adj Close Prices'!A281</f>
        <v>45483</v>
      </c>
      <c r="B280" s="6">
        <f>'Adj Close Prices'!B281/'Adj Close Prices'!B280-1</f>
        <v>9.5180568520856212E-3</v>
      </c>
      <c r="C280" s="6">
        <f>'Adj Close Prices'!C281/'Adj Close Prices'!C280-1</f>
        <v>4.4692737430167551E-3</v>
      </c>
      <c r="D280" s="6">
        <f>'Adj Close Prices'!D281/'Adj Close Prices'!D280-1</f>
        <v>8.7003806416530161E-3</v>
      </c>
      <c r="E280" s="6">
        <f>'Adj Close Prices'!E281/'Adj Close Prices'!E280-1</f>
        <v>1.9646365422396617E-3</v>
      </c>
      <c r="F280" s="6">
        <f>'Adj Close Prices'!F281/'Adj Close Prices'!F280-1</f>
        <v>4.3159257660763117E-4</v>
      </c>
      <c r="G280" s="6">
        <f>'Adj Close Prices'!G281/'Adj Close Prices'!G280-1</f>
        <v>1.0211638219319807E-2</v>
      </c>
    </row>
    <row r="281" spans="1:7" x14ac:dyDescent="0.45">
      <c r="A281" s="2">
        <f>'Adj Close Prices'!A282</f>
        <v>45484</v>
      </c>
      <c r="B281" s="6">
        <f>'Adj Close Prices'!B282/'Adj Close Prices'!B281-1</f>
        <v>-8.4854858303264891E-3</v>
      </c>
      <c r="C281" s="6">
        <f>'Adj Close Prices'!C282/'Adj Close Prices'!C281-1</f>
        <v>3.3370411568409697E-3</v>
      </c>
      <c r="D281" s="6">
        <f>'Adj Close Prices'!D282/'Adj Close Prices'!D281-1</f>
        <v>-4.8517520215632937E-3</v>
      </c>
      <c r="E281" s="6">
        <f>'Adj Close Prices'!E282/'Adj Close Prices'!E281-1</f>
        <v>-7.8431372549014888E-4</v>
      </c>
      <c r="F281" s="6">
        <f>'Adj Close Prices'!F282/'Adj Close Prices'!F281-1</f>
        <v>6.4710957722180495E-4</v>
      </c>
      <c r="G281" s="6">
        <f>'Adj Close Prices'!G282/'Adj Close Prices'!G281-1</f>
        <v>-8.7629927297512289E-3</v>
      </c>
    </row>
    <row r="282" spans="1:7" x14ac:dyDescent="0.45">
      <c r="A282" s="2">
        <f>'Adj Close Prices'!A283</f>
        <v>45485</v>
      </c>
      <c r="B282" s="6">
        <f>'Adj Close Prices'!B283/'Adj Close Prices'!B282-1</f>
        <v>6.4002925848039016E-3</v>
      </c>
      <c r="C282" s="6">
        <f>'Adj Close Prices'!C283/'Adj Close Prices'!C282-1</f>
        <v>-1.6629711751661169E-3</v>
      </c>
      <c r="D282" s="6">
        <f>'Adj Close Prices'!D283/'Adj Close Prices'!D282-1</f>
        <v>4.8754062838569645E-3</v>
      </c>
      <c r="E282" s="6">
        <f>'Adj Close Prices'!E283/'Adj Close Prices'!E282-1</f>
        <v>-8.6342229199372067E-3</v>
      </c>
      <c r="F282" s="6">
        <f>'Adj Close Prices'!F283/'Adj Close Prices'!F282-1</f>
        <v>6.4669109721915419E-4</v>
      </c>
      <c r="G282" s="6">
        <f>'Adj Close Prices'!G283/'Adj Close Prices'!G282-1</f>
        <v>5.513425432666974E-3</v>
      </c>
    </row>
    <row r="283" spans="1:7" x14ac:dyDescent="0.45">
      <c r="A283" s="2">
        <f>'Adj Close Prices'!A284</f>
        <v>45488</v>
      </c>
      <c r="B283" s="6">
        <f>'Adj Close Prices'!B284/'Adj Close Prices'!B283-1</f>
        <v>2.7800490596892047E-3</v>
      </c>
      <c r="C283" s="6">
        <f>'Adj Close Prices'!C284/'Adj Close Prices'!C283-1</f>
        <v>-7.2182121043865566E-3</v>
      </c>
      <c r="D283" s="6">
        <f>'Adj Close Prices'!D284/'Adj Close Prices'!D283-1</f>
        <v>-4.3126684636120016E-3</v>
      </c>
      <c r="E283" s="6">
        <f>'Adj Close Prices'!E284/'Adj Close Prices'!E283-1</f>
        <v>1.9794140934281668E-3</v>
      </c>
      <c r="F283" s="6">
        <f>'Adj Close Prices'!F284/'Adj Close Prices'!F283-1</f>
        <v>0</v>
      </c>
      <c r="G283" s="6">
        <f>'Adj Close Prices'!G284/'Adj Close Prices'!G283-1</f>
        <v>2.826186838196687E-3</v>
      </c>
    </row>
    <row r="284" spans="1:7" x14ac:dyDescent="0.45">
      <c r="A284" s="2">
        <f>'Adj Close Prices'!A285</f>
        <v>45489</v>
      </c>
      <c r="B284" s="6">
        <f>'Adj Close Prices'!B285/'Adj Close Prices'!B284-1</f>
        <v>5.9433210118140511E-3</v>
      </c>
      <c r="C284" s="6">
        <f>'Adj Close Prices'!C285/'Adj Close Prices'!C284-1</f>
        <v>-5.5928411633099362E-4</v>
      </c>
      <c r="D284" s="6">
        <f>'Adj Close Prices'!D285/'Adj Close Prices'!D284-1</f>
        <v>-7.5798592311857593E-3</v>
      </c>
      <c r="E284" s="6">
        <f>'Adj Close Prices'!E285/'Adj Close Prices'!E284-1</f>
        <v>-1.5804030027656291E-3</v>
      </c>
      <c r="F284" s="6">
        <f>'Adj Close Prices'!F285/'Adj Close Prices'!F284-1</f>
        <v>2.1542438604038594E-4</v>
      </c>
      <c r="G284" s="6">
        <f>'Adj Close Prices'!G285/'Adj Close Prices'!G284-1</f>
        <v>6.3929421918202944E-3</v>
      </c>
    </row>
    <row r="285" spans="1:7" x14ac:dyDescent="0.45">
      <c r="A285" s="2">
        <f>'Adj Close Prices'!A286</f>
        <v>45490</v>
      </c>
      <c r="B285" s="6">
        <f>'Adj Close Prices'!B286/'Adj Close Prices'!B285-1</f>
        <v>-1.3959939476907546E-2</v>
      </c>
      <c r="C285" s="6">
        <f>'Adj Close Prices'!C286/'Adj Close Prices'!C285-1</f>
        <v>2.2383883603804833E-3</v>
      </c>
      <c r="D285" s="6">
        <f>'Adj Close Prices'!D286/'Adj Close Prices'!D285-1</f>
        <v>1.0911074740864724E-3</v>
      </c>
      <c r="E285" s="6">
        <f>'Adj Close Prices'!E286/'Adj Close Prices'!E285-1</f>
        <v>-7.5187969924812581E-3</v>
      </c>
      <c r="F285" s="6">
        <f>'Adj Close Prices'!F286/'Adj Close Prices'!F285-1</f>
        <v>0</v>
      </c>
      <c r="G285" s="6">
        <f>'Adj Close Prices'!G286/'Adj Close Prices'!G285-1</f>
        <v>-1.3927488129079402E-2</v>
      </c>
    </row>
    <row r="286" spans="1:7" x14ac:dyDescent="0.45">
      <c r="A286" s="2">
        <f>'Adj Close Prices'!A287</f>
        <v>45491</v>
      </c>
      <c r="B286" s="6">
        <f>'Adj Close Prices'!B287/'Adj Close Prices'!B286-1</f>
        <v>-7.9099760691253573E-3</v>
      </c>
      <c r="C286" s="6">
        <f>'Adj Close Prices'!C287/'Adj Close Prices'!C286-1</f>
        <v>-1.0608598548297099E-2</v>
      </c>
      <c r="D286" s="6">
        <f>'Adj Close Prices'!D287/'Adj Close Prices'!D286-1</f>
        <v>-7.0844686648502408E-3</v>
      </c>
      <c r="E286" s="6">
        <f>'Adj Close Prices'!E287/'Adj Close Prices'!E286-1</f>
        <v>-7.9744816586924117E-4</v>
      </c>
      <c r="F286" s="6">
        <f>'Adj Close Prices'!F287/'Adj Close Prices'!F286-1</f>
        <v>2.1537798836956945E-4</v>
      </c>
      <c r="G286" s="6">
        <f>'Adj Close Prices'!G287/'Adj Close Prices'!G286-1</f>
        <v>-7.8199374405004685E-3</v>
      </c>
    </row>
    <row r="287" spans="1:7" x14ac:dyDescent="0.45">
      <c r="A287" s="2">
        <f>'Adj Close Prices'!A288</f>
        <v>45492</v>
      </c>
      <c r="B287" s="6">
        <f>'Adj Close Prices'!B288/'Adj Close Prices'!B287-1</f>
        <v>-6.5183766664212994E-3</v>
      </c>
      <c r="C287" s="6">
        <f>'Adj Close Prices'!C288/'Adj Close Prices'!C287-1</f>
        <v>-6.2076749435665546E-3</v>
      </c>
      <c r="D287" s="6">
        <f>'Adj Close Prices'!D288/'Adj Close Prices'!D287-1</f>
        <v>-9.8792535675081838E-3</v>
      </c>
      <c r="E287" s="6">
        <f>'Adj Close Prices'!E288/'Adj Close Prices'!E287-1</f>
        <v>-7.9808459696728562E-4</v>
      </c>
      <c r="F287" s="6">
        <f>'Adj Close Prices'!F288/'Adj Close Prices'!F287-1</f>
        <v>2.1533161068054696E-4</v>
      </c>
      <c r="G287" s="6">
        <f>'Adj Close Prices'!G288/'Adj Close Prices'!G287-1</f>
        <v>-7.1403063893027419E-3</v>
      </c>
    </row>
    <row r="288" spans="1:7" x14ac:dyDescent="0.45">
      <c r="A288" s="2">
        <f>'Adj Close Prices'!A289</f>
        <v>45495</v>
      </c>
      <c r="B288" s="6">
        <f>'Adj Close Prices'!B289/'Adj Close Prices'!B288-1</f>
        <v>1.0379211921266229E-2</v>
      </c>
      <c r="C288" s="6">
        <f>'Adj Close Prices'!C289/'Adj Close Prices'!C288-1</f>
        <v>1.3060760931289161E-2</v>
      </c>
      <c r="D288" s="6">
        <f>'Adj Close Prices'!D289/'Adj Close Prices'!D288-1</f>
        <v>1.1640798226164151E-2</v>
      </c>
      <c r="E288" s="6">
        <f>'Adj Close Prices'!E289/'Adj Close Prices'!E288-1</f>
        <v>9.5846645367412275E-3</v>
      </c>
      <c r="F288" s="6">
        <f>'Adj Close Prices'!F289/'Adj Close Prices'!F288-1</f>
        <v>2.1528525296021783E-4</v>
      </c>
      <c r="G288" s="6">
        <f>'Adj Close Prices'!G289/'Adj Close Prices'!G288-1</f>
        <v>1.0792026870166893E-2</v>
      </c>
    </row>
    <row r="289" spans="1:7" x14ac:dyDescent="0.45">
      <c r="A289" s="2">
        <f>'Adj Close Prices'!A290</f>
        <v>45496</v>
      </c>
      <c r="B289" s="6">
        <f>'Adj Close Prices'!B290/'Adj Close Prices'!B289-1</f>
        <v>-1.6692959606705582E-3</v>
      </c>
      <c r="C289" s="6">
        <f>'Adj Close Prices'!C290/'Adj Close Prices'!C289-1</f>
        <v>-5.6053811659193542E-3</v>
      </c>
      <c r="D289" s="6">
        <f>'Adj Close Prices'!D290/'Adj Close Prices'!D289-1</f>
        <v>-1.2054794520547918E-2</v>
      </c>
      <c r="E289" s="6">
        <f>'Adj Close Prices'!E290/'Adj Close Prices'!E289-1</f>
        <v>-1.1075949367088667E-2</v>
      </c>
      <c r="F289" s="6">
        <f>'Adj Close Prices'!F290/'Adj Close Prices'!F289-1</f>
        <v>2.1523891519592553E-4</v>
      </c>
      <c r="G289" s="6">
        <f>'Adj Close Prices'!G290/'Adj Close Prices'!G289-1</f>
        <v>-1.5545251958880568E-3</v>
      </c>
    </row>
    <row r="290" spans="1:7" x14ac:dyDescent="0.45">
      <c r="A290" s="2">
        <f>'Adj Close Prices'!A291</f>
        <v>45497</v>
      </c>
      <c r="B290" s="6">
        <f>'Adj Close Prices'!B291/'Adj Close Prices'!B290-1</f>
        <v>-2.2582364074012706E-2</v>
      </c>
      <c r="C290" s="6">
        <f>'Adj Close Prices'!C291/'Adj Close Prices'!C290-1</f>
        <v>-5.0732807215332354E-3</v>
      </c>
      <c r="D290" s="6">
        <f>'Adj Close Prices'!D291/'Adj Close Prices'!D290-1</f>
        <v>-9.9833610648918381E-3</v>
      </c>
      <c r="E290" s="6">
        <f>'Adj Close Prices'!E291/'Adj Close Prices'!E290-1</f>
        <v>-8.4000000000000741E-3</v>
      </c>
      <c r="F290" s="6">
        <f>'Adj Close Prices'!F291/'Adj Close Prices'!F290-1</f>
        <v>4.3038519474936088E-4</v>
      </c>
      <c r="G290" s="6">
        <f>'Adj Close Prices'!G291/'Adj Close Prices'!G290-1</f>
        <v>-2.3152589659361955E-2</v>
      </c>
    </row>
    <row r="291" spans="1:7" x14ac:dyDescent="0.45">
      <c r="A291" s="2">
        <f>'Adj Close Prices'!A292</f>
        <v>45498</v>
      </c>
      <c r="B291" s="6">
        <f>'Adj Close Prices'!B292/'Adj Close Prices'!B291-1</f>
        <v>-5.2637515509269539E-3</v>
      </c>
      <c r="C291" s="6">
        <f>'Adj Close Prices'!C292/'Adj Close Prices'!C291-1</f>
        <v>5.6657223796041656E-4</v>
      </c>
      <c r="D291" s="6">
        <f>'Adj Close Prices'!D292/'Adj Close Prices'!D291-1</f>
        <v>-6.1624649859945979E-3</v>
      </c>
      <c r="E291" s="6">
        <f>'Adj Close Prices'!E292/'Adj Close Prices'!E291-1</f>
        <v>1.2101653892698794E-2</v>
      </c>
      <c r="F291" s="6">
        <f>'Adj Close Prices'!F292/'Adj Close Prices'!F291-1</f>
        <v>0</v>
      </c>
      <c r="G291" s="6">
        <f>'Adj Close Prices'!G292/'Adj Close Prices'!G291-1</f>
        <v>-5.1390055867569506E-3</v>
      </c>
    </row>
    <row r="292" spans="1:7" x14ac:dyDescent="0.45">
      <c r="A292" s="2">
        <f>'Adj Close Prices'!A293</f>
        <v>45499</v>
      </c>
      <c r="B292" s="6">
        <f>'Adj Close Prices'!B293/'Adj Close Prices'!B292-1</f>
        <v>1.1169066787617643E-2</v>
      </c>
      <c r="C292" s="6">
        <f>'Adj Close Prices'!C293/'Adj Close Prices'!C292-1</f>
        <v>8.4937712344279603E-3</v>
      </c>
      <c r="D292" s="6">
        <f>'Adj Close Prices'!D293/'Adj Close Prices'!D292-1</f>
        <v>5.0732807215332354E-3</v>
      </c>
      <c r="E292" s="6">
        <f>'Adj Close Prices'!E293/'Adj Close Prices'!E292-1</f>
        <v>1.4746911119968065E-2</v>
      </c>
      <c r="F292" s="6">
        <f>'Adj Close Prices'!F293/'Adj Close Prices'!F292-1</f>
        <v>8.6040008603993634E-4</v>
      </c>
      <c r="G292" s="6">
        <f>'Adj Close Prices'!G293/'Adj Close Prices'!G292-1</f>
        <v>1.1086766075903531E-2</v>
      </c>
    </row>
    <row r="293" spans="1:7" x14ac:dyDescent="0.45">
      <c r="A293" s="2">
        <f>'Adj Close Prices'!A294</f>
        <v>45502</v>
      </c>
      <c r="B293" s="6">
        <f>'Adj Close Prices'!B294/'Adj Close Prices'!B293-1</f>
        <v>6.9152415662099287E-4</v>
      </c>
      <c r="C293" s="6">
        <f>'Adj Close Prices'!C294/'Adj Close Prices'!C293-1</f>
        <v>-2.8074115665355226E-3</v>
      </c>
      <c r="D293" s="6">
        <f>'Adj Close Prices'!D294/'Adj Close Prices'!D293-1</f>
        <v>-4.4868199663488095E-3</v>
      </c>
      <c r="E293" s="6">
        <f>'Adj Close Prices'!E294/'Adj Close Prices'!E293-1</f>
        <v>-6.6771406127259514E-3</v>
      </c>
      <c r="F293" s="6">
        <f>'Adj Close Prices'!F294/'Adj Close Prices'!F293-1</f>
        <v>2.1491510853199891E-4</v>
      </c>
      <c r="G293" s="6">
        <f>'Adj Close Prices'!G294/'Adj Close Prices'!G293-1</f>
        <v>8.1698598117996291E-4</v>
      </c>
    </row>
    <row r="294" spans="1:7" x14ac:dyDescent="0.45">
      <c r="A294" s="2">
        <f>'Adj Close Prices'!A295</f>
        <v>45503</v>
      </c>
      <c r="B294" s="6">
        <f>'Adj Close Prices'!B295/'Adj Close Prices'!B294-1</f>
        <v>-5.3789548391917075E-3</v>
      </c>
      <c r="C294" s="6">
        <f>'Adj Close Prices'!C295/'Adj Close Prices'!C294-1</f>
        <v>1.8581081081080919E-2</v>
      </c>
      <c r="D294" s="6">
        <f>'Adj Close Prices'!D295/'Adj Close Prices'!D294-1</f>
        <v>4.5070422535209431E-3</v>
      </c>
      <c r="E294" s="6">
        <f>'Adj Close Prices'!E295/'Adj Close Prices'!E294-1</f>
        <v>5.1403716884144135E-3</v>
      </c>
      <c r="F294" s="6">
        <f>'Adj Close Prices'!F295/'Adj Close Prices'!F294-1</f>
        <v>4.2973785990563229E-4</v>
      </c>
      <c r="G294" s="6">
        <f>'Adj Close Prices'!G295/'Adj Close Prices'!G294-1</f>
        <v>-4.9601449606940795E-3</v>
      </c>
    </row>
    <row r="295" spans="1:7" x14ac:dyDescent="0.45">
      <c r="A295" s="2">
        <f>'Adj Close Prices'!A296</f>
        <v>45504</v>
      </c>
      <c r="B295" s="6">
        <f>'Adj Close Prices'!B296/'Adj Close Prices'!B295-1</f>
        <v>1.5604461636684608E-2</v>
      </c>
      <c r="C295" s="6">
        <f>'Adj Close Prices'!C296/'Adj Close Prices'!C295-1</f>
        <v>-1.6030956329463719E-2</v>
      </c>
      <c r="D295" s="6">
        <f>'Adj Close Prices'!D296/'Adj Close Prices'!D295-1</f>
        <v>-6.7302299495231033E-3</v>
      </c>
      <c r="E295" s="6">
        <f>'Adj Close Prices'!E296/'Adj Close Prices'!E295-1</f>
        <v>-1.5735641227381247E-3</v>
      </c>
      <c r="F295" s="6">
        <f>'Adj Close Prices'!F296/'Adj Close Prices'!F295-1</f>
        <v>2.1477663230240474E-4</v>
      </c>
      <c r="G295" s="6">
        <f>'Adj Close Prices'!G296/'Adj Close Prices'!G295-1</f>
        <v>1.57897157152187E-2</v>
      </c>
    </row>
    <row r="296" spans="1:7" x14ac:dyDescent="0.45">
      <c r="A296" s="2">
        <f>'Adj Close Prices'!A297</f>
        <v>45505</v>
      </c>
      <c r="B296" s="6">
        <f>'Adj Close Prices'!B297/'Adj Close Prices'!B296-1</f>
        <v>-1.3145973929925114E-2</v>
      </c>
      <c r="C296" s="6">
        <f>'Adj Close Prices'!C297/'Adj Close Prices'!C296-1</f>
        <v>-5.0561797752809445E-3</v>
      </c>
      <c r="D296" s="6">
        <f>'Adj Close Prices'!D297/'Adj Close Prices'!D296-1</f>
        <v>-1.6939582156973998E-3</v>
      </c>
      <c r="E296" s="6">
        <f>'Adj Close Prices'!E297/'Adj Close Prices'!E296-1</f>
        <v>-1.2608353033884967E-2</v>
      </c>
      <c r="F296" s="6">
        <f>'Adj Close Prices'!F297/'Adj Close Prices'!F296-1</f>
        <v>4.2946102641194805E-4</v>
      </c>
      <c r="G296" s="6">
        <f>'Adj Close Prices'!G297/'Adj Close Prices'!G296-1</f>
        <v>-1.3689972819247109E-2</v>
      </c>
    </row>
    <row r="297" spans="1:7" x14ac:dyDescent="0.45">
      <c r="A297" s="2">
        <f>'Adj Close Prices'!A298</f>
        <v>45506</v>
      </c>
      <c r="B297" s="6">
        <f>'Adj Close Prices'!B298/'Adj Close Prices'!B297-1</f>
        <v>-1.8829392588151417E-2</v>
      </c>
      <c r="C297" s="6">
        <f>'Adj Close Prices'!C298/'Adj Close Prices'!C297-1</f>
        <v>-2.5974025974025983E-2</v>
      </c>
      <c r="D297" s="6">
        <f>'Adj Close Prices'!D298/'Adj Close Prices'!D297-1</f>
        <v>-2.0361990950226172E-2</v>
      </c>
      <c r="E297" s="6">
        <f>'Adj Close Prices'!E298/'Adj Close Prices'!E297-1</f>
        <v>-2.6735833998403735E-2</v>
      </c>
      <c r="F297" s="6">
        <f>'Adj Close Prices'!F298/'Adj Close Prices'!F297-1</f>
        <v>1.502468340845553E-3</v>
      </c>
      <c r="G297" s="6">
        <f>'Adj Close Prices'!G298/'Adj Close Prices'!G297-1</f>
        <v>-1.8385478152786239E-2</v>
      </c>
    </row>
    <row r="298" spans="1:7" x14ac:dyDescent="0.45">
      <c r="A298" s="2">
        <f>'Adj Close Prices'!A299</f>
        <v>45509</v>
      </c>
      <c r="B298" s="6">
        <f>'Adj Close Prices'!B299/'Adj Close Prices'!B298-1</f>
        <v>-2.9082090549752859E-2</v>
      </c>
      <c r="C298" s="6">
        <f>'Adj Close Prices'!C299/'Adj Close Prices'!C298-1</f>
        <v>-2.4347826086956625E-2</v>
      </c>
      <c r="D298" s="6">
        <f>'Adj Close Prices'!D299/'Adj Close Prices'!D298-1</f>
        <v>-2.1939953810623525E-2</v>
      </c>
      <c r="E298" s="6">
        <f>'Adj Close Prices'!E299/'Adj Close Prices'!E298-1</f>
        <v>-2.419024190241903E-2</v>
      </c>
      <c r="F298" s="6">
        <f>'Adj Close Prices'!F299/'Adj Close Prices'!F298-1</f>
        <v>-2.1431633090440716E-4</v>
      </c>
      <c r="G298" s="6">
        <f>'Adj Close Prices'!G299/'Adj Close Prices'!G298-1</f>
        <v>-2.9965117692717702E-2</v>
      </c>
    </row>
    <row r="299" spans="1:7" x14ac:dyDescent="0.45">
      <c r="A299" s="2">
        <f>'Adj Close Prices'!A300</f>
        <v>45510</v>
      </c>
      <c r="B299" s="6">
        <f>'Adj Close Prices'!B300/'Adj Close Prices'!B299-1</f>
        <v>9.4796050820122879E-3</v>
      </c>
      <c r="C299" s="6">
        <f>'Adj Close Prices'!C300/'Adj Close Prices'!C299-1</f>
        <v>2.7926322043969165E-2</v>
      </c>
      <c r="D299" s="6">
        <f>'Adj Close Prices'!D300/'Adj Close Prices'!D299-1</f>
        <v>1.8299881936245432E-2</v>
      </c>
      <c r="E299" s="6">
        <f>'Adj Close Prices'!E300/'Adj Close Prices'!E299-1</f>
        <v>2.3109243697479132E-2</v>
      </c>
      <c r="F299" s="6">
        <f>'Adj Close Prices'!F300/'Adj Close Prices'!F299-1</f>
        <v>2.1436227224014281E-4</v>
      </c>
      <c r="G299" s="6">
        <f>'Adj Close Prices'!G300/'Adj Close Prices'!G299-1</f>
        <v>1.0354122560418233E-2</v>
      </c>
    </row>
    <row r="300" spans="1:7" x14ac:dyDescent="0.45">
      <c r="A300" s="2">
        <f>'Adj Close Prices'!A301</f>
        <v>45511</v>
      </c>
      <c r="B300" s="6">
        <f>'Adj Close Prices'!B301/'Adj Close Prices'!B300-1</f>
        <v>-6.8968204488777385E-3</v>
      </c>
      <c r="C300" s="6">
        <f>'Adj Close Prices'!C301/'Adj Close Prices'!C300-1</f>
        <v>-2.3121387283236983E-3</v>
      </c>
      <c r="D300" s="6">
        <f>'Adj Close Prices'!D301/'Adj Close Prices'!D300-1</f>
        <v>-1.159420289855051E-3</v>
      </c>
      <c r="E300" s="6">
        <f>'Adj Close Prices'!E301/'Adj Close Prices'!E300-1</f>
        <v>2.1765913757700206E-2</v>
      </c>
      <c r="F300" s="6">
        <f>'Adj Close Prices'!F301/'Adj Close Prices'!F300-1</f>
        <v>0</v>
      </c>
      <c r="G300" s="6">
        <f>'Adj Close Prices'!G301/'Adj Close Prices'!G300-1</f>
        <v>-7.7346737811161415E-3</v>
      </c>
    </row>
    <row r="301" spans="1:7" x14ac:dyDescent="0.45">
      <c r="A301" s="2">
        <f>'Adj Close Prices'!A302</f>
        <v>45512</v>
      </c>
      <c r="B301" s="6">
        <f>'Adj Close Prices'!B302/'Adj Close Prices'!B301-1</f>
        <v>2.3149056381684741E-2</v>
      </c>
      <c r="C301" s="6">
        <f>'Adj Close Prices'!C302/'Adj Close Prices'!C301-1</f>
        <v>6.3731170336036591E-3</v>
      </c>
      <c r="D301" s="6">
        <f>'Adj Close Prices'!D302/'Adj Close Prices'!D301-1</f>
        <v>1.5089959373186135E-2</v>
      </c>
      <c r="E301" s="6">
        <f>'Adj Close Prices'!E302/'Adj Close Prices'!E301-1</f>
        <v>-3.6173633440514941E-3</v>
      </c>
      <c r="F301" s="6">
        <f>'Adj Close Prices'!F302/'Adj Close Prices'!F301-1</f>
        <v>-2.1431633090440716E-4</v>
      </c>
      <c r="G301" s="6">
        <f>'Adj Close Prices'!G302/'Adj Close Prices'!G301-1</f>
        <v>2.3038709416848935E-2</v>
      </c>
    </row>
    <row r="302" spans="1:7" x14ac:dyDescent="0.45">
      <c r="A302" s="2">
        <f>'Adj Close Prices'!A303</f>
        <v>45513</v>
      </c>
      <c r="B302" s="6">
        <f>'Adj Close Prices'!B303/'Adj Close Prices'!B302-1</f>
        <v>4.2757985964643197E-3</v>
      </c>
      <c r="C302" s="6">
        <f>'Adj Close Prices'!C303/'Adj Close Prices'!C302-1</f>
        <v>3.4542314335059832E-3</v>
      </c>
      <c r="D302" s="6">
        <f>'Adj Close Prices'!D303/'Adj Close Prices'!D302-1</f>
        <v>1.1435105774730836E-3</v>
      </c>
      <c r="E302" s="6">
        <f>'Adj Close Prices'!E303/'Adj Close Prices'!E302-1</f>
        <v>-1.6135538523598392E-3</v>
      </c>
      <c r="F302" s="6">
        <f>'Adj Close Prices'!F303/'Adj Close Prices'!F302-1</f>
        <v>4.2872454448028563E-4</v>
      </c>
      <c r="G302" s="6">
        <f>'Adj Close Prices'!G303/'Adj Close Prices'!G302-1</f>
        <v>4.6716673246478546E-3</v>
      </c>
    </row>
    <row r="303" spans="1:7" x14ac:dyDescent="0.45">
      <c r="A303" s="2">
        <f>'Adj Close Prices'!A304</f>
        <v>45516</v>
      </c>
      <c r="B303" s="6">
        <f>'Adj Close Prices'!B304/'Adj Close Prices'!B303-1</f>
        <v>4.9640109208248795E-4</v>
      </c>
      <c r="C303" s="6">
        <f>'Adj Close Prices'!C304/'Adj Close Prices'!C303-1</f>
        <v>4.0160642570281624E-3</v>
      </c>
      <c r="D303" s="6">
        <f>'Adj Close Prices'!D304/'Adj Close Prices'!D303-1</f>
        <v>-5.1399200456881955E-3</v>
      </c>
      <c r="E303" s="6">
        <f>'Adj Close Prices'!E304/'Adj Close Prices'!E303-1</f>
        <v>8.0808080808081328E-4</v>
      </c>
      <c r="F303" s="6">
        <f>'Adj Close Prices'!F304/'Adj Close Prices'!F303-1</f>
        <v>4.2854081851295689E-4</v>
      </c>
      <c r="G303" s="6">
        <f>'Adj Close Prices'!G304/'Adj Close Prices'!G303-1</f>
        <v>4.3037714136051619E-5</v>
      </c>
    </row>
    <row r="304" spans="1:7" x14ac:dyDescent="0.45">
      <c r="A304" s="2">
        <f>'Adj Close Prices'!A305</f>
        <v>45517</v>
      </c>
      <c r="B304" s="6">
        <f>'Adj Close Prices'!B305/'Adj Close Prices'!B304-1</f>
        <v>1.6640268686907378E-2</v>
      </c>
      <c r="C304" s="6">
        <f>'Adj Close Prices'!C305/'Adj Close Prices'!C304-1</f>
        <v>-1.7142857142857792E-3</v>
      </c>
      <c r="D304" s="6">
        <f>'Adj Close Prices'!D305/'Adj Close Prices'!D304-1</f>
        <v>4.0183696900113475E-3</v>
      </c>
      <c r="E304" s="6">
        <f>'Adj Close Prices'!E305/'Adj Close Prices'!E304-1</f>
        <v>2.4222850222042069E-3</v>
      </c>
      <c r="F304" s="6">
        <f>'Adj Close Prices'!F305/'Adj Close Prices'!F304-1</f>
        <v>6.4253587491980291E-4</v>
      </c>
      <c r="G304" s="6">
        <f>'Adj Close Prices'!G305/'Adj Close Prices'!G304-1</f>
        <v>1.6851346648254717E-2</v>
      </c>
    </row>
    <row r="305" spans="1:7" x14ac:dyDescent="0.45">
      <c r="A305" s="2">
        <f>'Adj Close Prices'!A306</f>
        <v>45518</v>
      </c>
      <c r="B305" s="6">
        <f>'Adj Close Prices'!B306/'Adj Close Prices'!B305-1</f>
        <v>3.2473017362741885E-3</v>
      </c>
      <c r="C305" s="6">
        <f>'Adj Close Prices'!C306/'Adj Close Prices'!C305-1</f>
        <v>1.1448196908987462E-3</v>
      </c>
      <c r="D305" s="6">
        <f>'Adj Close Prices'!D306/'Adj Close Prices'!D305-1</f>
        <v>-6.2893081761006275E-3</v>
      </c>
      <c r="E305" s="6">
        <f>'Adj Close Prices'!E306/'Adj Close Prices'!E305-1</f>
        <v>0</v>
      </c>
      <c r="F305" s="6">
        <f>'Adj Close Prices'!F306/'Adj Close Prices'!F305-1</f>
        <v>0</v>
      </c>
      <c r="G305" s="6">
        <f>'Adj Close Prices'!G306/'Adj Close Prices'!G305-1</f>
        <v>3.8200808178947554E-3</v>
      </c>
    </row>
    <row r="306" spans="1:7" x14ac:dyDescent="0.45">
      <c r="A306" s="2">
        <f>'Adj Close Prices'!A307</f>
        <v>45519</v>
      </c>
      <c r="B306" s="6">
        <f>'Adj Close Prices'!B307/'Adj Close Prices'!B306-1</f>
        <v>1.7119443197126216E-2</v>
      </c>
      <c r="C306" s="6">
        <f>'Adj Close Prices'!C307/'Adj Close Prices'!C306-1</f>
        <v>7.4328187535737111E-3</v>
      </c>
      <c r="D306" s="6">
        <f>'Adj Close Prices'!D307/'Adj Close Prices'!D306-1</f>
        <v>1.5535097813578869E-2</v>
      </c>
      <c r="E306" s="6">
        <f>'Adj Close Prices'!E307/'Adj Close Prices'!E306-1</f>
        <v>4.0273862263391358E-3</v>
      </c>
      <c r="F306" s="6">
        <f>'Adj Close Prices'!F307/'Adj Close Prices'!F306-1</f>
        <v>-4.2808219178069873E-4</v>
      </c>
      <c r="G306" s="6">
        <f>'Adj Close Prices'!G307/'Adj Close Prices'!G306-1</f>
        <v>1.61332306789852E-2</v>
      </c>
    </row>
    <row r="307" spans="1:7" x14ac:dyDescent="0.45">
      <c r="A307" s="2">
        <f>'Adj Close Prices'!A308</f>
        <v>45520</v>
      </c>
      <c r="B307" s="6">
        <f>'Adj Close Prices'!B308/'Adj Close Prices'!B307-1</f>
        <v>2.280963155087079E-3</v>
      </c>
      <c r="C307" s="6">
        <f>'Adj Close Prices'!C308/'Adj Close Prices'!C307-1</f>
        <v>5.6753688989763518E-4</v>
      </c>
      <c r="D307" s="6">
        <f>'Adj Close Prices'!D308/'Adj Close Prices'!D307-1</f>
        <v>-5.6657223796019451E-4</v>
      </c>
      <c r="E307" s="6">
        <f>'Adj Close Prices'!E308/'Adj Close Prices'!E307-1</f>
        <v>-1.6044925792217946E-3</v>
      </c>
      <c r="F307" s="6">
        <f>'Adj Close Prices'!F308/'Adj Close Prices'!F307-1</f>
        <v>6.423982869376843E-4</v>
      </c>
      <c r="G307" s="6">
        <f>'Adj Close Prices'!G308/'Adj Close Prices'!G307-1</f>
        <v>1.9934297997008521E-3</v>
      </c>
    </row>
    <row r="308" spans="1:7" x14ac:dyDescent="0.45">
      <c r="A308" s="2">
        <f>'Adj Close Prices'!A309</f>
        <v>45523</v>
      </c>
      <c r="B308" s="6">
        <f>'Adj Close Prices'!B309/'Adj Close Prices'!B308-1</f>
        <v>9.2866188265090521E-3</v>
      </c>
      <c r="C308" s="6">
        <f>'Adj Close Prices'!C309/'Adj Close Prices'!C308-1</f>
        <v>5.1049347702778469E-3</v>
      </c>
      <c r="D308" s="6">
        <f>'Adj Close Prices'!D309/'Adj Close Prices'!D308-1</f>
        <v>5.1020408163264808E-3</v>
      </c>
      <c r="E308" s="6">
        <f>'Adj Close Prices'!E309/'Adj Close Prices'!E308-1</f>
        <v>0</v>
      </c>
      <c r="F308" s="6">
        <f>'Adj Close Prices'!F309/'Adj Close Prices'!F308-1</f>
        <v>6.4198587631070225E-4</v>
      </c>
      <c r="G308" s="6">
        <f>'Adj Close Prices'!G309/'Adj Close Prices'!G308-1</f>
        <v>9.7186663930026729E-3</v>
      </c>
    </row>
    <row r="309" spans="1:7" x14ac:dyDescent="0.45">
      <c r="A309" s="2">
        <f>'Adj Close Prices'!A310</f>
        <v>45524</v>
      </c>
      <c r="B309" s="6">
        <f>'Adj Close Prices'!B310/'Adj Close Prices'!B309-1</f>
        <v>-1.4910988671283931E-3</v>
      </c>
      <c r="C309" s="6">
        <f>'Adj Close Prices'!C310/'Adj Close Prices'!C309-1</f>
        <v>-2.8216704288936967E-3</v>
      </c>
      <c r="D309" s="6">
        <f>'Adj Close Prices'!D310/'Adj Close Prices'!D309-1</f>
        <v>-7.3322053017483846E-3</v>
      </c>
      <c r="E309" s="6">
        <f>'Adj Close Prices'!E310/'Adj Close Prices'!E309-1</f>
        <v>-8.8388911209320575E-3</v>
      </c>
      <c r="F309" s="6">
        <f>'Adj Close Prices'!F310/'Adj Close Prices'!F309-1</f>
        <v>0</v>
      </c>
      <c r="G309" s="6">
        <f>'Adj Close Prices'!G310/'Adj Close Prices'!G309-1</f>
        <v>-1.9845798325321962E-3</v>
      </c>
    </row>
    <row r="310" spans="1:7" x14ac:dyDescent="0.45">
      <c r="A310" s="2">
        <f>'Adj Close Prices'!A311</f>
        <v>45525</v>
      </c>
      <c r="B310" s="6">
        <f>'Adj Close Prices'!B311/'Adj Close Prices'!B310-1</f>
        <v>3.8972154941632198E-3</v>
      </c>
      <c r="C310" s="6">
        <f>'Adj Close Prices'!C311/'Adj Close Prices'!C310-1</f>
        <v>7.9230333899262817E-3</v>
      </c>
      <c r="D310" s="6">
        <f>'Adj Close Prices'!D311/'Adj Close Prices'!D310-1</f>
        <v>1.1363636363637131E-3</v>
      </c>
      <c r="E310" s="6">
        <f>'Adj Close Prices'!E311/'Adj Close Prices'!E310-1</f>
        <v>-1.216051884880498E-3</v>
      </c>
      <c r="F310" s="6">
        <f>'Adj Close Prices'!F311/'Adj Close Prices'!F310-1</f>
        <v>6.4157399486752809E-4</v>
      </c>
      <c r="G310" s="6">
        <f>'Adj Close Prices'!G311/'Adj Close Prices'!G310-1</f>
        <v>4.2396879818336064E-3</v>
      </c>
    </row>
    <row r="311" spans="1:7" x14ac:dyDescent="0.45">
      <c r="A311" s="2">
        <f>'Adj Close Prices'!A312</f>
        <v>45526</v>
      </c>
      <c r="B311" s="6">
        <f>'Adj Close Prices'!B312/'Adj Close Prices'!B311-1</f>
        <v>-8.4535147392289511E-3</v>
      </c>
      <c r="C311" s="6">
        <f>'Adj Close Prices'!C312/'Adj Close Prices'!C311-1</f>
        <v>-1.6844469399212025E-3</v>
      </c>
      <c r="D311" s="6">
        <f>'Adj Close Prices'!D312/'Adj Close Prices'!D311-1</f>
        <v>2.8376844494892861E-3</v>
      </c>
      <c r="E311" s="6">
        <f>'Adj Close Prices'!E312/'Adj Close Prices'!E311-1</f>
        <v>1.6233766233766378E-3</v>
      </c>
      <c r="F311" s="6">
        <f>'Adj Close Prices'!F312/'Adj Close Prices'!F311-1</f>
        <v>-4.2744176106002119E-4</v>
      </c>
      <c r="G311" s="6">
        <f>'Adj Close Prices'!G312/'Adj Close Prices'!G311-1</f>
        <v>-8.9292703581671518E-3</v>
      </c>
    </row>
    <row r="312" spans="1:7" x14ac:dyDescent="0.45">
      <c r="A312" s="2">
        <f>'Adj Close Prices'!A313</f>
        <v>45527</v>
      </c>
      <c r="B312" s="6">
        <f>'Adj Close Prices'!B313/'Adj Close Prices'!B312-1</f>
        <v>1.0794196747104801E-2</v>
      </c>
      <c r="C312" s="6">
        <f>'Adj Close Prices'!C313/'Adj Close Prices'!C312-1</f>
        <v>0</v>
      </c>
      <c r="D312" s="6">
        <f>'Adj Close Prices'!D313/'Adj Close Prices'!D312-1</f>
        <v>1.3016411997736066E-2</v>
      </c>
      <c r="E312" s="6">
        <f>'Adj Close Prices'!E313/'Adj Close Prices'!E312-1</f>
        <v>-9.3192868719611521E-3</v>
      </c>
      <c r="F312" s="6">
        <f>'Adj Close Prices'!F313/'Adj Close Prices'!F312-1</f>
        <v>4.2762454564893027E-4</v>
      </c>
      <c r="G312" s="6">
        <f>'Adj Close Prices'!G313/'Adj Close Prices'!G312-1</f>
        <v>1.1479809357974435E-2</v>
      </c>
    </row>
    <row r="313" spans="1:7" x14ac:dyDescent="0.45">
      <c r="A313" s="2">
        <f>'Adj Close Prices'!A314</f>
        <v>45530</v>
      </c>
      <c r="B313" s="6">
        <f>'Adj Close Prices'!B314/'Adj Close Prices'!B313-1</f>
        <v>-2.8235805172945883E-3</v>
      </c>
      <c r="C313" s="6">
        <f>'Adj Close Prices'!C314/'Adj Close Prices'!C313-1</f>
        <v>2.8121484814396247E-3</v>
      </c>
      <c r="D313" s="6">
        <f>'Adj Close Prices'!D314/'Adj Close Prices'!D313-1</f>
        <v>-3.9106145251396329E-3</v>
      </c>
      <c r="E313" s="6">
        <f>'Adj Close Prices'!E314/'Adj Close Prices'!E313-1</f>
        <v>5.7259713701431902E-3</v>
      </c>
      <c r="F313" s="6">
        <f>'Adj Close Prices'!F314/'Adj Close Prices'!F313-1</f>
        <v>4.2744176106013221E-4</v>
      </c>
      <c r="G313" s="6">
        <f>'Adj Close Prices'!G314/'Adj Close Prices'!G313-1</f>
        <v>-3.1501792496362313E-3</v>
      </c>
    </row>
    <row r="314" spans="1:7" x14ac:dyDescent="0.45">
      <c r="A314" s="2">
        <f>'Adj Close Prices'!A315</f>
        <v>45531</v>
      </c>
      <c r="B314" s="6">
        <f>'Adj Close Prices'!B315/'Adj Close Prices'!B314-1</f>
        <v>1.8151126277385909E-3</v>
      </c>
      <c r="C314" s="6">
        <f>'Adj Close Prices'!C315/'Adj Close Prices'!C314-1</f>
        <v>5.0476724621426605E-3</v>
      </c>
      <c r="D314" s="6">
        <f>'Adj Close Prices'!D315/'Adj Close Prices'!D314-1</f>
        <v>6.1693774537299184E-3</v>
      </c>
      <c r="E314" s="6">
        <f>'Adj Close Prices'!E315/'Adj Close Prices'!E314-1</f>
        <v>0</v>
      </c>
      <c r="F314" s="6">
        <f>'Adj Close Prices'!F315/'Adj Close Prices'!F314-1</f>
        <v>4.2725913266394855E-4</v>
      </c>
      <c r="G314" s="6">
        <f>'Adj Close Prices'!G315/'Adj Close Prices'!G314-1</f>
        <v>1.5916394420358859E-3</v>
      </c>
    </row>
    <row r="315" spans="1:7" x14ac:dyDescent="0.45">
      <c r="A315" s="2">
        <f>'Adj Close Prices'!A316</f>
        <v>45532</v>
      </c>
      <c r="B315" s="6">
        <f>'Adj Close Prices'!B316/'Adj Close Prices'!B315-1</f>
        <v>-5.8340731614514585E-3</v>
      </c>
      <c r="C315" s="6">
        <f>'Adj Close Prices'!C316/'Adj Close Prices'!C315-1</f>
        <v>-5.0223214285716189E-3</v>
      </c>
      <c r="D315" s="6">
        <f>'Adj Close Prices'!D316/'Adj Close Prices'!D315-1</f>
        <v>-5.0167224080267525E-3</v>
      </c>
      <c r="E315" s="6">
        <f>'Adj Close Prices'!E316/'Adj Close Prices'!E315-1</f>
        <v>-2.0333468889792705E-3</v>
      </c>
      <c r="F315" s="6">
        <f>'Adj Close Prices'!F316/'Adj Close Prices'!F315-1</f>
        <v>0</v>
      </c>
      <c r="G315" s="6">
        <f>'Adj Close Prices'!G316/'Adj Close Prices'!G315-1</f>
        <v>-5.9724945296572018E-3</v>
      </c>
    </row>
    <row r="316" spans="1:7" x14ac:dyDescent="0.45">
      <c r="A316" s="2">
        <f>'Adj Close Prices'!A317</f>
        <v>45533</v>
      </c>
      <c r="B316" s="6">
        <f>'Adj Close Prices'!B317/'Adj Close Prices'!B316-1</f>
        <v>1.4579650452861692E-4</v>
      </c>
      <c r="C316" s="6">
        <f>'Adj Close Prices'!C317/'Adj Close Prices'!C316-1</f>
        <v>1.6825574873808868E-3</v>
      </c>
      <c r="D316" s="6">
        <f>'Adj Close Prices'!D317/'Adj Close Prices'!D316-1</f>
        <v>6.7226890756300062E-3</v>
      </c>
      <c r="E316" s="6">
        <f>'Adj Close Prices'!E317/'Adj Close Prices'!E316-1</f>
        <v>1.1817440912795352E-2</v>
      </c>
      <c r="F316" s="6">
        <f>'Adj Close Prices'!F317/'Adj Close Prices'!F316-1</f>
        <v>2.1353833013026957E-4</v>
      </c>
      <c r="G316" s="6">
        <f>'Adj Close Prices'!G317/'Adj Close Prices'!G316-1</f>
        <v>-4.2916996740083313E-5</v>
      </c>
    </row>
    <row r="317" spans="1:7" x14ac:dyDescent="0.45">
      <c r="A317" s="2">
        <f>'Adj Close Prices'!A318</f>
        <v>45534</v>
      </c>
      <c r="B317" s="6">
        <f>'Adj Close Prices'!B318/'Adj Close Prices'!B317-1</f>
        <v>9.4571694090637148E-3</v>
      </c>
      <c r="C317" s="6">
        <f>'Adj Close Prices'!C318/'Adj Close Prices'!C317-1</f>
        <v>3.3594624860022737E-3</v>
      </c>
      <c r="D317" s="6">
        <f>'Adj Close Prices'!D318/'Adj Close Prices'!D317-1</f>
        <v>5.5648302726767351E-3</v>
      </c>
      <c r="E317" s="6">
        <f>'Adj Close Prices'!E318/'Adj Close Prices'!E317-1</f>
        <v>5.2356020942410098E-3</v>
      </c>
      <c r="F317" s="6">
        <f>'Adj Close Prices'!F318/'Adj Close Prices'!F317-1</f>
        <v>2.1349274124671247E-4</v>
      </c>
      <c r="G317" s="6">
        <f>'Adj Close Prices'!G318/'Adj Close Prices'!G317-1</f>
        <v>1.0093080231404095E-2</v>
      </c>
    </row>
    <row r="318" spans="1:7" x14ac:dyDescent="0.45">
      <c r="A318" s="2">
        <f>'Adj Close Prices'!A319</f>
        <v>45538</v>
      </c>
      <c r="B318" s="6">
        <f>'Adj Close Prices'!B319/'Adj Close Prices'!B318-1</f>
        <v>-2.028954113866932E-2</v>
      </c>
      <c r="C318" s="6">
        <f>'Adj Close Prices'!C319/'Adj Close Prices'!C318-1</f>
        <v>-3.90625E-3</v>
      </c>
      <c r="D318" s="6">
        <f>'Adj Close Prices'!D319/'Adj Close Prices'!D318-1</f>
        <v>-1.1068068622025473E-3</v>
      </c>
      <c r="E318" s="6">
        <f>'Adj Close Prices'!E319/'Adj Close Prices'!E318-1</f>
        <v>-7.2115384615384359E-3</v>
      </c>
      <c r="F318" s="6">
        <f>'Adj Close Prices'!F319/'Adj Close Prices'!F318-1</f>
        <v>0</v>
      </c>
      <c r="G318" s="6">
        <f>'Adj Close Prices'!G319/'Adj Close Prices'!G318-1</f>
        <v>-2.1151159888038951E-2</v>
      </c>
    </row>
    <row r="319" spans="1:7" x14ac:dyDescent="0.45">
      <c r="A319" s="2">
        <f>'Adj Close Prices'!A320</f>
        <v>45539</v>
      </c>
      <c r="B319" s="6">
        <f>'Adj Close Prices'!B320/'Adj Close Prices'!B319-1</f>
        <v>-2.0820282271437618E-3</v>
      </c>
      <c r="C319" s="6">
        <f>'Adj Close Prices'!C320/'Adj Close Prices'!C319-1</f>
        <v>-3.3613445378152251E-3</v>
      </c>
      <c r="D319" s="6">
        <f>'Adj Close Prices'!D320/'Adj Close Prices'!D319-1</f>
        <v>1.1080332409971749E-3</v>
      </c>
      <c r="E319" s="6">
        <f>'Adj Close Prices'!E320/'Adj Close Prices'!E319-1</f>
        <v>2.421307506053294E-3</v>
      </c>
      <c r="F319" s="6">
        <f>'Adj Close Prices'!F320/'Adj Close Prices'!F319-1</f>
        <v>6.4034151547498475E-4</v>
      </c>
      <c r="G319" s="6">
        <f>'Adj Close Prices'!G320/'Adj Close Prices'!G319-1</f>
        <v>-1.5988656012385638E-3</v>
      </c>
    </row>
    <row r="320" spans="1:7" x14ac:dyDescent="0.45">
      <c r="A320" s="2">
        <f>'Adj Close Prices'!A321</f>
        <v>45540</v>
      </c>
      <c r="B320" s="6">
        <f>'Adj Close Prices'!B321/'Adj Close Prices'!B320-1</f>
        <v>-2.7695205036835091E-3</v>
      </c>
      <c r="C320" s="6">
        <f>'Adj Close Prices'!C321/'Adj Close Prices'!C320-1</f>
        <v>-3.3726812816188279E-3</v>
      </c>
      <c r="D320" s="6">
        <f>'Adj Close Prices'!D321/'Adj Close Prices'!D320-1</f>
        <v>5.5340343110128476E-3</v>
      </c>
      <c r="E320" s="6">
        <f>'Adj Close Prices'!E321/'Adj Close Prices'!E320-1</f>
        <v>3.2206119162641045E-3</v>
      </c>
      <c r="F320" s="6">
        <f>'Adj Close Prices'!F321/'Adj Close Prices'!F320-1</f>
        <v>2.1331058020468419E-4</v>
      </c>
      <c r="G320" s="6">
        <f>'Adj Close Prices'!G321/'Adj Close Prices'!G320-1</f>
        <v>-3.0180722018521289E-3</v>
      </c>
    </row>
    <row r="321" spans="1:7" x14ac:dyDescent="0.45">
      <c r="A321" s="2">
        <f>'Adj Close Prices'!A322</f>
        <v>45541</v>
      </c>
      <c r="B321" s="6">
        <f>'Adj Close Prices'!B322/'Adj Close Prices'!B321-1</f>
        <v>-1.6644757549388101E-2</v>
      </c>
      <c r="C321" s="6">
        <f>'Adj Close Prices'!C322/'Adj Close Prices'!C321-1</f>
        <v>-1.6356457980823413E-2</v>
      </c>
      <c r="D321" s="6">
        <f>'Adj Close Prices'!D322/'Adj Close Prices'!D321-1</f>
        <v>-7.1546505228400337E-3</v>
      </c>
      <c r="E321" s="6">
        <f>'Adj Close Prices'!E322/'Adj Close Prices'!E321-1</f>
        <v>-6.0192616372392038E-3</v>
      </c>
      <c r="F321" s="6">
        <f>'Adj Close Prices'!F322/'Adj Close Prices'!F321-1</f>
        <v>8.5306035401999658E-4</v>
      </c>
      <c r="G321" s="6">
        <f>'Adj Close Prices'!G322/'Adj Close Prices'!G321-1</f>
        <v>-1.7260176399402472E-2</v>
      </c>
    </row>
    <row r="322" spans="1:7" x14ac:dyDescent="0.45">
      <c r="A322" s="2">
        <f>'Adj Close Prices'!A323</f>
        <v>45544</v>
      </c>
      <c r="B322" s="6">
        <f>'Adj Close Prices'!B323/'Adj Close Prices'!B322-1</f>
        <v>1.1221569513480967E-2</v>
      </c>
      <c r="C322" s="6">
        <f>'Adj Close Prices'!C323/'Adj Close Prices'!C322-1</f>
        <v>2.8669724770640226E-3</v>
      </c>
      <c r="D322" s="6">
        <f>'Adj Close Prices'!D323/'Adj Close Prices'!D322-1</f>
        <v>-2.7716186252771946E-3</v>
      </c>
      <c r="E322" s="6">
        <f>'Adj Close Prices'!E323/'Adj Close Prices'!E322-1</f>
        <v>3.2297133629390906E-3</v>
      </c>
      <c r="F322" s="6">
        <f>'Adj Close Prices'!F323/'Adj Close Prices'!F322-1</f>
        <v>4.2616663115291331E-4</v>
      </c>
      <c r="G322" s="6">
        <f>'Adj Close Prices'!G323/'Adj Close Prices'!G322-1</f>
        <v>1.1580070371623563E-2</v>
      </c>
    </row>
    <row r="323" spans="1:7" x14ac:dyDescent="0.45">
      <c r="A323" s="2">
        <f>'Adj Close Prices'!A324</f>
        <v>45545</v>
      </c>
      <c r="B323" s="6">
        <f>'Adj Close Prices'!B324/'Adj Close Prices'!B323-1</f>
        <v>3.7052208237133843E-3</v>
      </c>
      <c r="C323" s="6">
        <f>'Adj Close Prices'!C324/'Adj Close Prices'!C323-1</f>
        <v>-1.7152658662090703E-3</v>
      </c>
      <c r="D323" s="6">
        <f>'Adj Close Prices'!D324/'Adj Close Prices'!D323-1</f>
        <v>-3.8910505836573517E-3</v>
      </c>
      <c r="E323" s="6">
        <f>'Adj Close Prices'!E324/'Adj Close Prices'!E323-1</f>
        <v>-4.8289738430583595E-3</v>
      </c>
      <c r="F323" s="6">
        <f>'Adj Close Prices'!F324/'Adj Close Prices'!F323-1</f>
        <v>6.3897763578268929E-4</v>
      </c>
      <c r="G323" s="6">
        <f>'Adj Close Prices'!G324/'Adj Close Prices'!G323-1</f>
        <v>4.4726250488935637E-3</v>
      </c>
    </row>
    <row r="324" spans="1:7" x14ac:dyDescent="0.45">
      <c r="A324" s="2">
        <f>'Adj Close Prices'!A325</f>
        <v>45546</v>
      </c>
      <c r="B324" s="6">
        <f>'Adj Close Prices'!B325/'Adj Close Prices'!B324-1</f>
        <v>1.0796371528743798E-2</v>
      </c>
      <c r="C324" s="6">
        <f>'Adj Close Prices'!C325/'Adj Close Prices'!C324-1</f>
        <v>-5.7273768613985698E-4</v>
      </c>
      <c r="D324" s="6">
        <f>'Adj Close Prices'!D325/'Adj Close Prices'!D324-1</f>
        <v>4.4642857142855874E-3</v>
      </c>
      <c r="E324" s="6">
        <f>'Adj Close Prices'!E325/'Adj Close Prices'!E324-1</f>
        <v>0</v>
      </c>
      <c r="F324" s="6">
        <f>'Adj Close Prices'!F325/'Adj Close Prices'!F324-1</f>
        <v>0</v>
      </c>
      <c r="G324" s="6">
        <f>'Adj Close Prices'!G325/'Adj Close Prices'!G324-1</f>
        <v>1.0665031398245484E-2</v>
      </c>
    </row>
    <row r="325" spans="1:7" x14ac:dyDescent="0.45">
      <c r="A325" s="2">
        <f>'Adj Close Prices'!A326</f>
        <v>45547</v>
      </c>
      <c r="B325" s="6">
        <f>'Adj Close Prices'!B326/'Adj Close Prices'!B325-1</f>
        <v>8.4604232046834316E-3</v>
      </c>
      <c r="C325" s="6">
        <f>'Adj Close Prices'!C326/'Adj Close Prices'!C325-1</f>
        <v>7.4498567335243848E-3</v>
      </c>
      <c r="D325" s="6">
        <f>'Adj Close Prices'!D326/'Adj Close Prices'!D325-1</f>
        <v>4.444444444444251E-3</v>
      </c>
      <c r="E325" s="6">
        <f>'Adj Close Prices'!E326/'Adj Close Prices'!E325-1</f>
        <v>5.2567731500201553E-3</v>
      </c>
      <c r="F325" s="6">
        <f>'Adj Close Prices'!F326/'Adj Close Prices'!F325-1</f>
        <v>-4.2571306939109821E-4</v>
      </c>
      <c r="G325" s="6">
        <f>'Adj Close Prices'!G326/'Adj Close Prices'!G325-1</f>
        <v>7.4917088874244531E-3</v>
      </c>
    </row>
    <row r="326" spans="1:7" x14ac:dyDescent="0.45">
      <c r="A326" s="2">
        <f>'Adj Close Prices'!A327</f>
        <v>45548</v>
      </c>
      <c r="B326" s="6">
        <f>'Adj Close Prices'!B327/'Adj Close Prices'!B326-1</f>
        <v>5.1137397634211101E-3</v>
      </c>
      <c r="C326" s="6">
        <f>'Adj Close Prices'!C327/'Adj Close Prices'!C326-1</f>
        <v>8.5324232081911422E-3</v>
      </c>
      <c r="D326" s="6">
        <f>'Adj Close Prices'!D327/'Adj Close Prices'!D326-1</f>
        <v>7.1902654867257443E-3</v>
      </c>
      <c r="E326" s="6">
        <f>'Adj Close Prices'!E327/'Adj Close Prices'!E326-1</f>
        <v>7.6427996781980312E-3</v>
      </c>
      <c r="F326" s="6">
        <f>'Adj Close Prices'!F327/'Adj Close Prices'!F326-1</f>
        <v>8.5178875638836082E-4</v>
      </c>
      <c r="G326" s="6">
        <f>'Adj Close Prices'!G327/'Adj Close Prices'!G326-1</f>
        <v>5.4076754679890371E-3</v>
      </c>
    </row>
    <row r="327" spans="1:7" x14ac:dyDescent="0.45">
      <c r="A327" s="2">
        <f>'Adj Close Prices'!A328</f>
        <v>45551</v>
      </c>
      <c r="B327" s="6">
        <f>'Adj Close Prices'!B328/'Adj Close Prices'!B327-1</f>
        <v>1.6657312016803427E-3</v>
      </c>
      <c r="C327" s="6">
        <f>'Adj Close Prices'!C328/'Adj Close Prices'!C327-1</f>
        <v>-1.6920473773266442E-3</v>
      </c>
      <c r="D327" s="6">
        <f>'Adj Close Prices'!D328/'Adj Close Prices'!D327-1</f>
        <v>-3.2948929159803964E-3</v>
      </c>
      <c r="E327" s="6">
        <f>'Adj Close Prices'!E328/'Adj Close Prices'!E327-1</f>
        <v>6.7864271457085401E-3</v>
      </c>
      <c r="F327" s="6">
        <f>'Adj Close Prices'!F328/'Adj Close Prices'!F327-1</f>
        <v>6.3829787234048752E-4</v>
      </c>
      <c r="G327" s="6">
        <f>'Adj Close Prices'!G328/'Adj Close Prices'!G327-1</f>
        <v>1.2566632480210949E-3</v>
      </c>
    </row>
    <row r="328" spans="1:7" x14ac:dyDescent="0.45">
      <c r="A328" s="2">
        <f>'Adj Close Prices'!A329</f>
        <v>45552</v>
      </c>
      <c r="B328" s="6">
        <f>'Adj Close Prices'!B329/'Adj Close Prices'!B328-1</f>
        <v>3.7958895938405846E-4</v>
      </c>
      <c r="C328" s="6">
        <f>'Adj Close Prices'!C329/'Adj Close Prices'!C328-1</f>
        <v>-7.9096045197740716E-3</v>
      </c>
      <c r="D328" s="6">
        <f>'Adj Close Prices'!D329/'Adj Close Prices'!D328-1</f>
        <v>-8.2644628099173278E-3</v>
      </c>
      <c r="E328" s="6">
        <f>'Adj Close Prices'!E329/'Adj Close Prices'!E328-1</f>
        <v>-1.0309278350515427E-2</v>
      </c>
      <c r="F328" s="6">
        <f>'Adj Close Prices'!F329/'Adj Close Prices'!F328-1</f>
        <v>2.1263023601947317E-4</v>
      </c>
      <c r="G328" s="6">
        <f>'Adj Close Prices'!G329/'Adj Close Prices'!G328-1</f>
        <v>2.6450893649654361E-4</v>
      </c>
    </row>
    <row r="329" spans="1:7" x14ac:dyDescent="0.45">
      <c r="A329" s="2">
        <f>'Adj Close Prices'!A330</f>
        <v>45553</v>
      </c>
      <c r="B329" s="6">
        <f>'Adj Close Prices'!B330/'Adj Close Prices'!B329-1</f>
        <v>-2.9813529921944859E-3</v>
      </c>
      <c r="C329" s="6">
        <f>'Adj Close Prices'!C330/'Adj Close Prices'!C329-1</f>
        <v>8.5421412300683564E-3</v>
      </c>
      <c r="D329" s="6">
        <f>'Adj Close Prices'!D330/'Adj Close Prices'!D329-1</f>
        <v>-1.1666666666666714E-2</v>
      </c>
      <c r="E329" s="6">
        <f>'Adj Close Prices'!E330/'Adj Close Prices'!E329-1</f>
        <v>0</v>
      </c>
      <c r="F329" s="6">
        <f>'Adj Close Prices'!F330/'Adj Close Prices'!F329-1</f>
        <v>-6.3775510204089336E-4</v>
      </c>
      <c r="G329" s="6">
        <f>'Adj Close Prices'!G330/'Adj Close Prices'!G329-1</f>
        <v>-2.8964055819697965E-3</v>
      </c>
    </row>
    <row r="330" spans="1:7" x14ac:dyDescent="0.45">
      <c r="A330" s="2">
        <f>'Adj Close Prices'!A331</f>
        <v>45554</v>
      </c>
      <c r="B330" s="6">
        <f>'Adj Close Prices'!B331/'Adj Close Prices'!B330-1</f>
        <v>1.7144203410717873E-2</v>
      </c>
      <c r="C330" s="6">
        <f>'Adj Close Prices'!C331/'Adj Close Prices'!C330-1</f>
        <v>1.9762845849802257E-2</v>
      </c>
      <c r="D330" s="6">
        <f>'Adj Close Prices'!D331/'Adj Close Prices'!D330-1</f>
        <v>7.8695896571108204E-3</v>
      </c>
      <c r="E330" s="6">
        <f>'Adj Close Prices'!E331/'Adj Close Prices'!E330-1</f>
        <v>1.2019230769230838E-2</v>
      </c>
      <c r="F330" s="6">
        <f>'Adj Close Prices'!F331/'Adj Close Prices'!F330-1</f>
        <v>6.3816209317169026E-4</v>
      </c>
      <c r="G330" s="6">
        <f>'Adj Close Prices'!G331/'Adj Close Prices'!G330-1</f>
        <v>1.6980376451741996E-2</v>
      </c>
    </row>
    <row r="331" spans="1:7" x14ac:dyDescent="0.45">
      <c r="A331" s="2">
        <f>'Adj Close Prices'!A332</f>
        <v>45555</v>
      </c>
      <c r="B331" s="6">
        <f>'Adj Close Prices'!B332/'Adj Close Prices'!B331-1</f>
        <v>-2.1024498886413889E-3</v>
      </c>
      <c r="C331" s="6">
        <f>'Adj Close Prices'!C332/'Adj Close Prices'!C331-1</f>
        <v>-6.6445182724250706E-3</v>
      </c>
      <c r="D331" s="6">
        <f>'Adj Close Prices'!D332/'Adj Close Prices'!D331-1</f>
        <v>-5.0195203569436408E-3</v>
      </c>
      <c r="E331" s="6">
        <f>'Adj Close Prices'!E332/'Adj Close Prices'!E331-1</f>
        <v>-3.5629453681710332E-3</v>
      </c>
      <c r="F331" s="6">
        <f>'Adj Close Prices'!F332/'Adj Close Prices'!F331-1</f>
        <v>6.3775510204089336E-4</v>
      </c>
      <c r="G331" s="6">
        <f>'Adj Close Prices'!G332/'Adj Close Prices'!G331-1</f>
        <v>-1.9444663218782798E-3</v>
      </c>
    </row>
    <row r="332" spans="1:7" x14ac:dyDescent="0.45">
      <c r="A332" s="2">
        <f>'Adj Close Prices'!A333</f>
        <v>45558</v>
      </c>
      <c r="B332" s="6">
        <f>'Adj Close Prices'!B333/'Adj Close Prices'!B332-1</f>
        <v>2.7853661149497277E-3</v>
      </c>
      <c r="C332" s="6">
        <f>'Adj Close Prices'!C333/'Adj Close Prices'!C332-1</f>
        <v>3.9018952062430667E-3</v>
      </c>
      <c r="D332" s="6">
        <f>'Adj Close Prices'!D333/'Adj Close Prices'!D332-1</f>
        <v>5.0448430493272856E-3</v>
      </c>
      <c r="E332" s="6">
        <f>'Adj Close Prices'!E333/'Adj Close Prices'!E332-1</f>
        <v>1.1918951132299238E-3</v>
      </c>
      <c r="F332" s="6">
        <f>'Adj Close Prices'!F333/'Adj Close Prices'!F332-1</f>
        <v>2.1244954323340615E-4</v>
      </c>
      <c r="G332" s="6">
        <f>'Adj Close Prices'!G333/'Adj Close Prices'!G332-1</f>
        <v>2.8127816727283594E-3</v>
      </c>
    </row>
    <row r="333" spans="1:7" x14ac:dyDescent="0.45">
      <c r="A333" s="2">
        <f>'Adj Close Prices'!A334</f>
        <v>45559</v>
      </c>
      <c r="B333" s="6">
        <f>'Adj Close Prices'!B334/'Adj Close Prices'!B333-1</f>
        <v>2.9022666168116995E-3</v>
      </c>
      <c r="C333" s="6">
        <f>'Adj Close Prices'!C334/'Adj Close Prices'!C333-1</f>
        <v>1.110494169905607E-3</v>
      </c>
      <c r="D333" s="6">
        <f>'Adj Close Prices'!D334/'Adj Close Prices'!D333-1</f>
        <v>-5.5772448410486009E-3</v>
      </c>
      <c r="E333" s="6">
        <f>'Adj Close Prices'!E334/'Adj Close Prices'!E333-1</f>
        <v>7.5396825396825129E-3</v>
      </c>
      <c r="F333" s="6">
        <f>'Adj Close Prices'!F334/'Adj Close Prices'!F333-1</f>
        <v>6.3721325403576223E-4</v>
      </c>
      <c r="G333" s="6">
        <f>'Adj Close Prices'!G334/'Adj Close Prices'!G333-1</f>
        <v>2.5111128986565756E-3</v>
      </c>
    </row>
    <row r="334" spans="1:7" x14ac:dyDescent="0.45">
      <c r="A334" s="2">
        <f>'Adj Close Prices'!A335</f>
        <v>45560</v>
      </c>
      <c r="B334" s="6">
        <f>'Adj Close Prices'!B335/'Adj Close Prices'!B334-1</f>
        <v>-2.3612541277563404E-3</v>
      </c>
      <c r="C334" s="6">
        <f>'Adj Close Prices'!C335/'Adj Close Prices'!C334-1</f>
        <v>-1.0537992235163718E-2</v>
      </c>
      <c r="D334" s="6">
        <f>'Adj Close Prices'!D335/'Adj Close Prices'!D334-1</f>
        <v>-8.973639932697508E-3</v>
      </c>
      <c r="E334" s="6">
        <f>'Adj Close Prices'!E335/'Adj Close Prices'!E334-1</f>
        <v>-2.4025206774320629E-2</v>
      </c>
      <c r="F334" s="6">
        <f>'Adj Close Prices'!F335/'Adj Close Prices'!F334-1</f>
        <v>-4.2453831458277858E-4</v>
      </c>
      <c r="G334" s="6">
        <f>'Adj Close Prices'!G335/'Adj Close Prices'!G334-1</f>
        <v>-1.8611741968342921E-3</v>
      </c>
    </row>
    <row r="335" spans="1:7" x14ac:dyDescent="0.45">
      <c r="A335" s="2">
        <f>'Adj Close Prices'!A336</f>
        <v>45561</v>
      </c>
      <c r="B335" s="6">
        <f>'Adj Close Prices'!B336/'Adj Close Prices'!B335-1</f>
        <v>4.2709946078693939E-3</v>
      </c>
      <c r="C335" s="6">
        <f>'Adj Close Prices'!C336/'Adj Close Prices'!C335-1</f>
        <v>8.9686098654708779E-3</v>
      </c>
      <c r="D335" s="6">
        <f>'Adj Close Prices'!D336/'Adj Close Prices'!D335-1</f>
        <v>7.357102433503071E-3</v>
      </c>
      <c r="E335" s="6">
        <f>'Adj Close Prices'!E336/'Adj Close Prices'!E335-1</f>
        <v>6.8603712671508887E-3</v>
      </c>
      <c r="F335" s="6">
        <f>'Adj Close Prices'!F336/'Adj Close Prices'!F335-1</f>
        <v>-2.1235931195595636E-4</v>
      </c>
      <c r="G335" s="6">
        <f>'Adj Close Prices'!G336/'Adj Close Prices'!G335-1</f>
        <v>4.0351119398418511E-3</v>
      </c>
    </row>
    <row r="336" spans="1:7" x14ac:dyDescent="0.45">
      <c r="A336" s="2">
        <f>'Adj Close Prices'!A337</f>
        <v>45562</v>
      </c>
      <c r="B336" s="6">
        <f>'Adj Close Prices'!B337/'Adj Close Prices'!B336-1</f>
        <v>-1.8074530859605309E-3</v>
      </c>
      <c r="C336" s="6">
        <f>'Adj Close Prices'!C337/'Adj Close Prices'!C336-1</f>
        <v>1.1111111111111072E-2</v>
      </c>
      <c r="D336" s="6">
        <f>'Adj Close Prices'!D337/'Adj Close Prices'!D336-1</f>
        <v>1.0674157303370624E-2</v>
      </c>
      <c r="E336" s="6">
        <f>'Adj Close Prices'!E337/'Adj Close Prices'!E336-1</f>
        <v>2.0040080160321772E-3</v>
      </c>
      <c r="F336" s="6">
        <f>'Adj Close Prices'!F337/'Adj Close Prices'!F336-1</f>
        <v>8.4961767204760896E-4</v>
      </c>
      <c r="G336" s="6">
        <f>'Adj Close Prices'!G337/'Adj Close Prices'!G336-1</f>
        <v>-1.2531851789965298E-3</v>
      </c>
    </row>
    <row r="337" spans="1:7" x14ac:dyDescent="0.45">
      <c r="A337" s="2">
        <f>'Adj Close Prices'!A338</f>
        <v>45565</v>
      </c>
      <c r="B337" s="6">
        <f>'Adj Close Prices'!B338/'Adj Close Prices'!B337-1</f>
        <v>4.7930979389678718E-3</v>
      </c>
      <c r="C337" s="6">
        <f>'Adj Close Prices'!C338/'Adj Close Prices'!C337-1</f>
        <v>1.6483516483516425E-3</v>
      </c>
      <c r="D337" s="6">
        <f>'Adj Close Prices'!D338/'Adj Close Prices'!D337-1</f>
        <v>-7.2262367982212083E-3</v>
      </c>
      <c r="E337" s="6">
        <f>'Adj Close Prices'!E338/'Adj Close Prices'!E337-1</f>
        <v>-4.8000000000000265E-3</v>
      </c>
      <c r="F337" s="6">
        <f>'Adj Close Prices'!F338/'Adj Close Prices'!F337-1</f>
        <v>0</v>
      </c>
      <c r="G337" s="6">
        <f>'Adj Close Prices'!G338/'Adj Close Prices'!G337-1</f>
        <v>4.2400351332134711E-3</v>
      </c>
    </row>
    <row r="338" spans="1:7" x14ac:dyDescent="0.45">
      <c r="A338" s="2">
        <f>'Adj Close Prices'!A339</f>
        <v>45566</v>
      </c>
      <c r="B338" s="6">
        <f>'Adj Close Prices'!B339/'Adj Close Prices'!B338-1</f>
        <v>-9.4521298210279436E-3</v>
      </c>
      <c r="C338" s="6">
        <f>'Adj Close Prices'!C339/'Adj Close Prices'!C338-1</f>
        <v>-9.8738343390015748E-3</v>
      </c>
      <c r="D338" s="6">
        <f>'Adj Close Prices'!D339/'Adj Close Prices'!D338-1</f>
        <v>-1.2318029115341522E-2</v>
      </c>
      <c r="E338" s="6">
        <f>'Adj Close Prices'!E339/'Adj Close Prices'!E338-1</f>
        <v>-1.205787781350387E-3</v>
      </c>
      <c r="F338" s="6">
        <f>'Adj Close Prices'!F339/'Adj Close Prices'!F338-1</f>
        <v>-2.1222410865873176E-4</v>
      </c>
      <c r="G338" s="6">
        <f>'Adj Close Prices'!G339/'Adj Close Prices'!G338-1</f>
        <v>-9.3275649936052085E-3</v>
      </c>
    </row>
    <row r="339" spans="1:7" x14ac:dyDescent="0.45">
      <c r="A339" s="2">
        <f>'Adj Close Prices'!A340</f>
        <v>45567</v>
      </c>
      <c r="B339" s="6">
        <f>'Adj Close Prices'!B340/'Adj Close Prices'!B339-1</f>
        <v>4.1023079941493457E-4</v>
      </c>
      <c r="C339" s="6">
        <f>'Adj Close Prices'!C340/'Adj Close Prices'!C339-1</f>
        <v>4.9861495844876202E-3</v>
      </c>
      <c r="D339" s="6">
        <f>'Adj Close Prices'!D340/'Adj Close Prices'!D339-1</f>
        <v>2.8344671201814275E-3</v>
      </c>
      <c r="E339" s="6">
        <f>'Adj Close Prices'!E340/'Adj Close Prices'!E339-1</f>
        <v>1.6096579476860828E-3</v>
      </c>
      <c r="F339" s="6">
        <f>'Adj Close Prices'!F340/'Adj Close Prices'!F339-1</f>
        <v>2.122691572914448E-4</v>
      </c>
      <c r="G339" s="6">
        <f>'Adj Close Prices'!G340/'Adj Close Prices'!G339-1</f>
        <v>1.4188770201495338E-4</v>
      </c>
    </row>
    <row r="340" spans="1:7" x14ac:dyDescent="0.45">
      <c r="A340" s="2">
        <f>'Adj Close Prices'!A341</f>
        <v>45568</v>
      </c>
      <c r="B340" s="6">
        <f>'Adj Close Prices'!B341/'Adj Close Prices'!B340-1</f>
        <v>-1.9076824332755482E-3</v>
      </c>
      <c r="C340" s="6">
        <f>'Adj Close Prices'!C341/'Adj Close Prices'!C340-1</f>
        <v>2.2050716648289725E-3</v>
      </c>
      <c r="D340" s="6">
        <f>'Adj Close Prices'!D341/'Adj Close Prices'!D340-1</f>
        <v>6.2182023742227699E-3</v>
      </c>
      <c r="E340" s="6">
        <f>'Adj Close Prices'!E341/'Adj Close Prices'!E340-1</f>
        <v>4.0176777822418241E-3</v>
      </c>
      <c r="F340" s="6">
        <f>'Adj Close Prices'!F341/'Adj Close Prices'!F340-1</f>
        <v>-2.1222410865873176E-4</v>
      </c>
      <c r="G340" s="6">
        <f>'Adj Close Prices'!G341/'Adj Close Prices'!G340-1</f>
        <v>-1.6813934548257636E-3</v>
      </c>
    </row>
    <row r="341" spans="1:7" x14ac:dyDescent="0.45">
      <c r="A341" s="2">
        <f>'Adj Close Prices'!A342</f>
        <v>45569</v>
      </c>
      <c r="B341" s="6">
        <f>'Adj Close Prices'!B342/'Adj Close Prices'!B341-1</f>
        <v>9.0743453252830619E-3</v>
      </c>
      <c r="C341" s="6">
        <f>'Adj Close Prices'!C342/'Adj Close Prices'!C341-1</f>
        <v>7.700770077007757E-3</v>
      </c>
      <c r="D341" s="6">
        <f>'Adj Close Prices'!D342/'Adj Close Prices'!D341-1</f>
        <v>2.8089887640450062E-3</v>
      </c>
      <c r="E341" s="6">
        <f>'Adj Close Prices'!E342/'Adj Close Prices'!E341-1</f>
        <v>1.3605442176870763E-2</v>
      </c>
      <c r="F341" s="6">
        <f>'Adj Close Prices'!F342/'Adj Close Prices'!F341-1</f>
        <v>-6.368074718743344E-4</v>
      </c>
      <c r="G341" s="6">
        <f>'Adj Close Prices'!G342/'Adj Close Prices'!G341-1</f>
        <v>8.9667453223274407E-3</v>
      </c>
    </row>
    <row r="342" spans="1:7" x14ac:dyDescent="0.45">
      <c r="A342" s="2">
        <f>'Adj Close Prices'!A343</f>
        <v>45572</v>
      </c>
      <c r="B342" s="6">
        <f>'Adj Close Prices'!B343/'Adj Close Prices'!B342-1</f>
        <v>-8.9573375818727818E-3</v>
      </c>
      <c r="C342" s="6">
        <f>'Adj Close Prices'!C343/'Adj Close Prices'!C342-1</f>
        <v>-1.0917030567685337E-3</v>
      </c>
      <c r="D342" s="6">
        <f>'Adj Close Prices'!D343/'Adj Close Prices'!D342-1</f>
        <v>-2.8011204481792618E-3</v>
      </c>
      <c r="E342" s="6">
        <f>'Adj Close Prices'!E343/'Adj Close Prices'!E342-1</f>
        <v>-4.3426766679826034E-3</v>
      </c>
      <c r="F342" s="6">
        <f>'Adj Close Prices'!F343/'Adj Close Prices'!F342-1</f>
        <v>0</v>
      </c>
      <c r="G342" s="6">
        <f>'Adj Close Prices'!G343/'Adj Close Prices'!G342-1</f>
        <v>-9.5860589178342615E-3</v>
      </c>
    </row>
    <row r="343" spans="1:7" x14ac:dyDescent="0.45">
      <c r="A343" s="2">
        <f>'Adj Close Prices'!A344</f>
        <v>45573</v>
      </c>
      <c r="B343" s="6">
        <f>'Adj Close Prices'!B344/'Adj Close Prices'!B343-1</f>
        <v>9.4848528150899281E-3</v>
      </c>
      <c r="C343" s="6">
        <f>'Adj Close Prices'!C344/'Adj Close Prices'!C343-1</f>
        <v>-5.4644808743176121E-4</v>
      </c>
      <c r="D343" s="6">
        <f>'Adj Close Prices'!D344/'Adj Close Prices'!D343-1</f>
        <v>0</v>
      </c>
      <c r="E343" s="6">
        <f>'Adj Close Prices'!E344/'Adj Close Prices'!E343-1</f>
        <v>3.1720856463124392E-3</v>
      </c>
      <c r="F343" s="6">
        <f>'Adj Close Prices'!F344/'Adj Close Prices'!F343-1</f>
        <v>6.3721325403576223E-4</v>
      </c>
      <c r="G343" s="6">
        <f>'Adj Close Prices'!G344/'Adj Close Prices'!G343-1</f>
        <v>9.6928859729665806E-3</v>
      </c>
    </row>
    <row r="344" spans="1:7" x14ac:dyDescent="0.45">
      <c r="A344" s="2">
        <f>'Adj Close Prices'!A345</f>
        <v>45574</v>
      </c>
      <c r="B344" s="6">
        <f>'Adj Close Prices'!B345/'Adj Close Prices'!B344-1</f>
        <v>6.7769618685304955E-3</v>
      </c>
      <c r="C344" s="6">
        <f>'Adj Close Prices'!C345/'Adj Close Prices'!C344-1</f>
        <v>0</v>
      </c>
      <c r="D344" s="6">
        <f>'Adj Close Prices'!D345/'Adj Close Prices'!D344-1</f>
        <v>-7.8651685393258397E-3</v>
      </c>
      <c r="E344" s="6">
        <f>'Adj Close Prices'!E345/'Adj Close Prices'!E344-1</f>
        <v>-1.3043478260869601E-2</v>
      </c>
      <c r="F344" s="6">
        <f>'Adj Close Prices'!F345/'Adj Close Prices'!F344-1</f>
        <v>-2.122691572914448E-4</v>
      </c>
      <c r="G344" s="6">
        <f>'Adj Close Prices'!G345/'Adj Close Prices'!G344-1</f>
        <v>7.113372305316723E-3</v>
      </c>
    </row>
    <row r="345" spans="1:7" x14ac:dyDescent="0.45">
      <c r="A345" s="2">
        <f>'Adj Close Prices'!A346</f>
        <v>45575</v>
      </c>
      <c r="B345" s="6">
        <f>'Adj Close Prices'!B346/'Adj Close Prices'!B345-1</f>
        <v>-1.7575310204225314E-3</v>
      </c>
      <c r="C345" s="6">
        <f>'Adj Close Prices'!C346/'Adj Close Prices'!C345-1</f>
        <v>5.4674685620559327E-3</v>
      </c>
      <c r="D345" s="6">
        <f>'Adj Close Prices'!D346/'Adj Close Prices'!D345-1</f>
        <v>5.0962627406567762E-3</v>
      </c>
      <c r="E345" s="6">
        <f>'Adj Close Prices'!E346/'Adj Close Prices'!E345-1</f>
        <v>8.0096115338408325E-3</v>
      </c>
      <c r="F345" s="6">
        <f>'Adj Close Prices'!F346/'Adj Close Prices'!F345-1</f>
        <v>0</v>
      </c>
      <c r="G345" s="6">
        <f>'Adj Close Prices'!G346/'Adj Close Prices'!G345-1</f>
        <v>-2.0735318237929956E-3</v>
      </c>
    </row>
    <row r="346" spans="1:7" x14ac:dyDescent="0.45">
      <c r="A346" s="2">
        <f>'Adj Close Prices'!A347</f>
        <v>45576</v>
      </c>
      <c r="B346" s="6">
        <f>'Adj Close Prices'!B347/'Adj Close Prices'!B346-1</f>
        <v>6.0917637944999381E-3</v>
      </c>
      <c r="C346" s="6">
        <f>'Adj Close Prices'!C347/'Adj Close Prices'!C346-1</f>
        <v>9.2441544317563018E-3</v>
      </c>
      <c r="D346" s="6">
        <f>'Adj Close Prices'!D347/'Adj Close Prices'!D346-1</f>
        <v>4.5070422535209431E-3</v>
      </c>
      <c r="E346" s="6">
        <f>'Adj Close Prices'!E347/'Adj Close Prices'!E346-1</f>
        <v>3.9729837107667088E-3</v>
      </c>
      <c r="F346" s="6">
        <f>'Adj Close Prices'!F347/'Adj Close Prices'!F346-1</f>
        <v>4.2462845010615702E-4</v>
      </c>
      <c r="G346" s="6">
        <f>'Adj Close Prices'!G347/'Adj Close Prices'!G346-1</f>
        <v>6.0553214164607017E-3</v>
      </c>
    </row>
    <row r="347" spans="1:7" x14ac:dyDescent="0.45">
      <c r="A347" s="2">
        <f>'Adj Close Prices'!A348</f>
        <v>45579</v>
      </c>
      <c r="B347" s="6">
        <f>'Adj Close Prices'!B348/'Adj Close Prices'!B347-1</f>
        <v>8.2423351532967537E-3</v>
      </c>
      <c r="C347" s="6">
        <f>'Adj Close Prices'!C348/'Adj Close Prices'!C347-1</f>
        <v>2.6939655172413257E-3</v>
      </c>
      <c r="D347" s="6">
        <f>'Adj Close Prices'!D348/'Adj Close Prices'!D347-1</f>
        <v>6.7302299495233253E-3</v>
      </c>
      <c r="E347" s="6">
        <f>'Adj Close Prices'!E348/'Adj Close Prices'!E347-1</f>
        <v>2.7700831024930483E-3</v>
      </c>
      <c r="F347" s="6">
        <f>'Adj Close Prices'!F348/'Adj Close Prices'!F347-1</f>
        <v>2.1222410865884278E-4</v>
      </c>
      <c r="G347" s="6">
        <f>'Adj Close Prices'!G348/'Adj Close Prices'!G347-1</f>
        <v>7.7075996037860861E-3</v>
      </c>
    </row>
    <row r="348" spans="1:7" x14ac:dyDescent="0.45">
      <c r="A348" s="2">
        <f>'Adj Close Prices'!A349</f>
        <v>45580</v>
      </c>
      <c r="B348" s="6">
        <f>'Adj Close Prices'!B349/'Adj Close Prices'!B348-1</f>
        <v>-7.9493187537966747E-3</v>
      </c>
      <c r="C348" s="6">
        <f>'Adj Close Prices'!C349/'Adj Close Prices'!C348-1</f>
        <v>1.6120365394949321E-3</v>
      </c>
      <c r="D348" s="6">
        <f>'Adj Close Prices'!D349/'Adj Close Prices'!D348-1</f>
        <v>-1.1142061281337323E-3</v>
      </c>
      <c r="E348" s="6">
        <f>'Adj Close Prices'!E349/'Adj Close Prices'!E348-1</f>
        <v>5.13022888713488E-3</v>
      </c>
      <c r="F348" s="6">
        <f>'Adj Close Prices'!F349/'Adj Close Prices'!F348-1</f>
        <v>2.1217907914272693E-4</v>
      </c>
      <c r="G348" s="6">
        <f>'Adj Close Prices'!G349/'Adj Close Prices'!G348-1</f>
        <v>-7.6128098623515772E-3</v>
      </c>
    </row>
    <row r="349" spans="1:7" x14ac:dyDescent="0.45">
      <c r="A349" s="2">
        <f>'Adj Close Prices'!A350</f>
        <v>45581</v>
      </c>
      <c r="B349" s="6">
        <f>'Adj Close Prices'!B350/'Adj Close Prices'!B349-1</f>
        <v>4.461395804538304E-3</v>
      </c>
      <c r="C349" s="6">
        <f>'Adj Close Prices'!C350/'Adj Close Prices'!C349-1</f>
        <v>7.5107296137340018E-3</v>
      </c>
      <c r="D349" s="6">
        <f>'Adj Close Prices'!D350/'Adj Close Prices'!D349-1</f>
        <v>1.3385387618516598E-2</v>
      </c>
      <c r="E349" s="6">
        <f>'Adj Close Prices'!E350/'Adj Close Prices'!E349-1</f>
        <v>1.4134275618374437E-2</v>
      </c>
      <c r="F349" s="6">
        <f>'Adj Close Prices'!F350/'Adj Close Prices'!F349-1</f>
        <v>4.2426813746287984E-4</v>
      </c>
      <c r="G349" s="6">
        <f>'Adj Close Prices'!G350/'Adj Close Prices'!G349-1</f>
        <v>4.6825157989767163E-3</v>
      </c>
    </row>
    <row r="350" spans="1:7" x14ac:dyDescent="0.45">
      <c r="A350" s="2">
        <f>'Adj Close Prices'!A351</f>
        <v>45582</v>
      </c>
      <c r="B350" s="6">
        <f>'Adj Close Prices'!B351/'Adj Close Prices'!B350-1</f>
        <v>2.7868738242875501E-4</v>
      </c>
      <c r="C350" s="6">
        <f>'Adj Close Prices'!C351/'Adj Close Prices'!C350-1</f>
        <v>0</v>
      </c>
      <c r="D350" s="6">
        <f>'Adj Close Prices'!D351/'Adj Close Prices'!D350-1</f>
        <v>-7.1546505228400337E-3</v>
      </c>
      <c r="E350" s="6">
        <f>'Adj Close Prices'!E351/'Adj Close Prices'!E350-1</f>
        <v>1.5485869144407083E-3</v>
      </c>
      <c r="F350" s="6">
        <f>'Adj Close Prices'!F351/'Adj Close Prices'!F350-1</f>
        <v>-2.1204410517383643E-4</v>
      </c>
      <c r="G350" s="6">
        <f>'Adj Close Prices'!G351/'Adj Close Prices'!G350-1</f>
        <v>-1.7116019224716617E-4</v>
      </c>
    </row>
    <row r="351" spans="1:7" x14ac:dyDescent="0.45">
      <c r="A351" s="2">
        <f>'Adj Close Prices'!A352</f>
        <v>45583</v>
      </c>
      <c r="B351" s="6">
        <f>'Adj Close Prices'!B352/'Adj Close Prices'!B351-1</f>
        <v>3.7786445636276422E-3</v>
      </c>
      <c r="C351" s="6">
        <f>'Adj Close Prices'!C352/'Adj Close Prices'!C351-1</f>
        <v>3.7273695420660946E-3</v>
      </c>
      <c r="D351" s="6">
        <f>'Adj Close Prices'!D352/'Adj Close Prices'!D351-1</f>
        <v>4.4345898004436446E-3</v>
      </c>
      <c r="E351" s="6">
        <f>'Adj Close Prices'!E352/'Adj Close Prices'!E351-1</f>
        <v>1.4302280633938791E-2</v>
      </c>
      <c r="F351" s="6">
        <f>'Adj Close Prices'!F352/'Adj Close Prices'!F351-1</f>
        <v>4.2417815482509447E-4</v>
      </c>
      <c r="G351" s="6">
        <f>'Adj Close Prices'!G352/'Adj Close Prices'!G351-1</f>
        <v>3.9715962393094273E-3</v>
      </c>
    </row>
    <row r="352" spans="1:7" x14ac:dyDescent="0.45">
      <c r="A352" s="2">
        <f>'Adj Close Prices'!A353</f>
        <v>45586</v>
      </c>
      <c r="B352" s="6">
        <f>'Adj Close Prices'!B353/'Adj Close Prices'!B352-1</f>
        <v>-1.4745424581490418E-3</v>
      </c>
      <c r="C352" s="6">
        <f>'Adj Close Prices'!C353/'Adj Close Prices'!C352-1</f>
        <v>3.1830238726788807E-3</v>
      </c>
      <c r="D352" s="6">
        <f>'Adj Close Prices'!D353/'Adj Close Prices'!D352-1</f>
        <v>-4.9668874172185129E-3</v>
      </c>
      <c r="E352" s="6">
        <f>'Adj Close Prices'!E353/'Adj Close Prices'!E352-1</f>
        <v>1.371951219512213E-2</v>
      </c>
      <c r="F352" s="6">
        <f>'Adj Close Prices'!F353/'Adj Close Prices'!F352-1</f>
        <v>-2.1199915200353914E-4</v>
      </c>
      <c r="G352" s="6">
        <f>'Adj Close Prices'!G353/'Adj Close Prices'!G352-1</f>
        <v>-1.8261865950059963E-3</v>
      </c>
    </row>
    <row r="353" spans="1:7" x14ac:dyDescent="0.45">
      <c r="A353" s="2">
        <f>'Adj Close Prices'!A354</f>
        <v>45587</v>
      </c>
      <c r="B353" s="6">
        <f>'Adj Close Prices'!B354/'Adj Close Prices'!B353-1</f>
        <v>-7.8179291174429455E-4</v>
      </c>
      <c r="C353" s="6">
        <f>'Adj Close Prices'!C354/'Adj Close Prices'!C353-1</f>
        <v>-6.3458487572712885E-3</v>
      </c>
      <c r="D353" s="6">
        <f>'Adj Close Prices'!D354/'Adj Close Prices'!D353-1</f>
        <v>-5.5463117027177988E-3</v>
      </c>
      <c r="E353" s="6">
        <f>'Adj Close Prices'!E354/'Adj Close Prices'!E353-1</f>
        <v>-7.5187969924812581E-3</v>
      </c>
      <c r="F353" s="6">
        <f>'Adj Close Prices'!F354/'Adj Close Prices'!F353-1</f>
        <v>2.1204410517405847E-4</v>
      </c>
      <c r="G353" s="6">
        <f>'Adj Close Prices'!G354/'Adj Close Prices'!G353-1</f>
        <v>-4.7489139848699846E-4</v>
      </c>
    </row>
    <row r="354" spans="1:7" x14ac:dyDescent="0.45">
      <c r="A354" s="2">
        <f>'Adj Close Prices'!A355</f>
        <v>45588</v>
      </c>
      <c r="B354" s="6">
        <f>'Adj Close Prices'!B355/'Adj Close Prices'!B354-1</f>
        <v>-9.110666782578436E-3</v>
      </c>
      <c r="C354" s="6">
        <f>'Adj Close Prices'!C355/'Adj Close Prices'!C354-1</f>
        <v>-3.7253858435337683E-3</v>
      </c>
      <c r="D354" s="6">
        <f>'Adj Close Prices'!D355/'Adj Close Prices'!D354-1</f>
        <v>-1.673173452314658E-3</v>
      </c>
      <c r="E354" s="6">
        <f>'Adj Close Prices'!E355/'Adj Close Prices'!E354-1</f>
        <v>1.5151515151516914E-3</v>
      </c>
      <c r="F354" s="6">
        <f>'Adj Close Prices'!F355/'Adj Close Prices'!F354-1</f>
        <v>-2.1199915200353914E-4</v>
      </c>
      <c r="G354" s="6">
        <f>'Adj Close Prices'!G355/'Adj Close Prices'!G354-1</f>
        <v>-9.1878746032857395E-3</v>
      </c>
    </row>
    <row r="355" spans="1:7" x14ac:dyDescent="0.45">
      <c r="A355" s="2">
        <f>'Adj Close Prices'!A356</f>
        <v>45589</v>
      </c>
      <c r="B355" s="6">
        <f>'Adj Close Prices'!B356/'Adj Close Prices'!B355-1</f>
        <v>2.1231422505307851E-3</v>
      </c>
      <c r="C355" s="6">
        <f>'Adj Close Prices'!C356/'Adj Close Prices'!C355-1</f>
        <v>7.4786324786324521E-3</v>
      </c>
      <c r="D355" s="6">
        <f>'Adj Close Prices'!D356/'Adj Close Prices'!D355-1</f>
        <v>8.9385474860335101E-3</v>
      </c>
      <c r="E355" s="6">
        <f>'Adj Close Prices'!E356/'Adj Close Prices'!E355-1</f>
        <v>1.3993948562783576E-2</v>
      </c>
      <c r="F355" s="6">
        <f>'Adj Close Prices'!F356/'Adj Close Prices'!F355-1</f>
        <v>0</v>
      </c>
      <c r="G355" s="6">
        <f>'Adj Close Prices'!G356/'Adj Close Prices'!G355-1</f>
        <v>2.1457783880098891E-3</v>
      </c>
    </row>
    <row r="356" spans="1:7" x14ac:dyDescent="0.45">
      <c r="A356" s="2">
        <f>'Adj Close Prices'!A357</f>
        <v>45590</v>
      </c>
      <c r="B356" s="6">
        <f>'Adj Close Prices'!B357/'Adj Close Prices'!B356-1</f>
        <v>-2.1011346126909025E-4</v>
      </c>
      <c r="C356" s="6">
        <f>'Adj Close Prices'!C357/'Adj Close Prices'!C356-1</f>
        <v>-4.2417815482501675E-3</v>
      </c>
      <c r="D356" s="6">
        <f>'Adj Close Prices'!D357/'Adj Close Prices'!D356-1</f>
        <v>-4.4296788482833804E-3</v>
      </c>
      <c r="E356" s="6">
        <f>'Adj Close Prices'!E357/'Adj Close Prices'!E356-1</f>
        <v>-7.8328981723236879E-3</v>
      </c>
      <c r="F356" s="6">
        <f>'Adj Close Prices'!F357/'Adj Close Prices'!F356-1</f>
        <v>2.1204410517405847E-4</v>
      </c>
      <c r="G356" s="6">
        <f>'Adj Close Prices'!G357/'Adj Close Prices'!G356-1</f>
        <v>-3.0293276785886558E-4</v>
      </c>
    </row>
    <row r="357" spans="1:7" x14ac:dyDescent="0.45">
      <c r="A357" s="2">
        <f>'Adj Close Prices'!A358</f>
        <v>45593</v>
      </c>
      <c r="B357" s="6">
        <f>'Adj Close Prices'!B358/'Adj Close Prices'!B357-1</f>
        <v>2.9947460595447506E-3</v>
      </c>
      <c r="C357" s="6">
        <f>'Adj Close Prices'!C358/'Adj Close Prices'!C357-1</f>
        <v>4.2598509052182987E-3</v>
      </c>
      <c r="D357" s="6">
        <f>'Adj Close Prices'!D358/'Adj Close Prices'!D357-1</f>
        <v>-5.0055617352613435E-3</v>
      </c>
      <c r="E357" s="6">
        <f>'Adj Close Prices'!E358/'Adj Close Prices'!E357-1</f>
        <v>5.639097744360777E-3</v>
      </c>
      <c r="F357" s="6">
        <f>'Adj Close Prices'!F358/'Adj Close Prices'!F357-1</f>
        <v>2.1199915200331709E-4</v>
      </c>
      <c r="G357" s="6">
        <f>'Adj Close Prices'!G358/'Adj Close Prices'!G357-1</f>
        <v>2.6514649343762908E-3</v>
      </c>
    </row>
    <row r="358" spans="1:7" x14ac:dyDescent="0.45">
      <c r="A358" s="2">
        <f>'Adj Close Prices'!A359</f>
        <v>45594</v>
      </c>
      <c r="B358" s="6">
        <f>'Adj Close Prices'!B359/'Adj Close Prices'!B358-1</f>
        <v>1.5540151210908792E-3</v>
      </c>
      <c r="C358" s="6">
        <f>'Adj Close Prices'!C359/'Adj Close Prices'!C358-1</f>
        <v>-4.2417815482501675E-3</v>
      </c>
      <c r="D358" s="6">
        <f>'Adj Close Prices'!D359/'Adj Close Prices'!D358-1</f>
        <v>-6.1486864169927324E-3</v>
      </c>
      <c r="E358" s="6">
        <f>'Adj Close Prices'!E359/'Adj Close Prices'!E358-1</f>
        <v>-1.1214953271028061E-2</v>
      </c>
      <c r="F358" s="6">
        <f>'Adj Close Prices'!F359/'Adj Close Prices'!F358-1</f>
        <v>2.119542178888878E-4</v>
      </c>
      <c r="G358" s="6">
        <f>'Adj Close Prices'!G359/'Adj Close Prices'!G358-1</f>
        <v>1.6141467946306776E-3</v>
      </c>
    </row>
    <row r="359" spans="1:7" x14ac:dyDescent="0.45">
      <c r="A359" s="2">
        <f>'Adj Close Prices'!A360</f>
        <v>45595</v>
      </c>
      <c r="B359" s="6">
        <f>'Adj Close Prices'!B360/'Adj Close Prices'!B359-1</f>
        <v>-3.2252440725244469E-3</v>
      </c>
      <c r="C359" s="6">
        <f>'Adj Close Prices'!C360/'Adj Close Prices'!C359-1</f>
        <v>-1.0649627263045969E-2</v>
      </c>
      <c r="D359" s="6">
        <f>'Adj Close Prices'!D360/'Adj Close Prices'!D359-1</f>
        <v>-1.6872890888639525E-3</v>
      </c>
      <c r="E359" s="6">
        <f>'Adj Close Prices'!E360/'Adj Close Prices'!E359-1</f>
        <v>-2.6465028355387998E-3</v>
      </c>
      <c r="F359" s="6">
        <f>'Adj Close Prices'!F360/'Adj Close Prices'!F359-1</f>
        <v>-6.3572790845523031E-4</v>
      </c>
      <c r="G359" s="6">
        <f>'Adj Close Prices'!G360/'Adj Close Prices'!G359-1</f>
        <v>-3.3002395030953258E-3</v>
      </c>
    </row>
    <row r="360" spans="1:7" x14ac:dyDescent="0.45">
      <c r="A360" s="2">
        <f>'Adj Close Prices'!A361</f>
        <v>45596</v>
      </c>
      <c r="B360" s="6">
        <f>'Adj Close Prices'!B361/'Adj Close Prices'!B360-1</f>
        <v>-1.962396152164414E-2</v>
      </c>
      <c r="C360" s="6">
        <f>'Adj Close Prices'!C361/'Adj Close Prices'!C360-1</f>
        <v>-9.687836383207693E-3</v>
      </c>
      <c r="D360" s="6">
        <f>'Adj Close Prices'!D361/'Adj Close Prices'!D360-1</f>
        <v>-5.6338028169022891E-4</v>
      </c>
      <c r="E360" s="6">
        <f>'Adj Close Prices'!E361/'Adj Close Prices'!E360-1</f>
        <v>2.2744503411675776E-3</v>
      </c>
      <c r="F360" s="6">
        <f>'Adj Close Prices'!F361/'Adj Close Prices'!F360-1</f>
        <v>4.240882103478949E-4</v>
      </c>
      <c r="G360" s="6">
        <f>'Adj Close Prices'!G361/'Adj Close Prices'!G360-1</f>
        <v>-1.8614779674077986E-2</v>
      </c>
    </row>
    <row r="361" spans="1:7" x14ac:dyDescent="0.45">
      <c r="A361" s="2">
        <f>'Adj Close Prices'!A362</f>
        <v>45597</v>
      </c>
      <c r="B361" s="6">
        <f>'Adj Close Prices'!B362/'Adj Close Prices'!B361-1</f>
        <v>4.3530230317736507E-3</v>
      </c>
      <c r="C361" s="6">
        <f>'Adj Close Prices'!C362/'Adj Close Prices'!C361-1</f>
        <v>-6.5217391304346339E-3</v>
      </c>
      <c r="D361" s="6">
        <f>'Adj Close Prices'!D362/'Adj Close Prices'!D361-1</f>
        <v>-6.7643742953775732E-3</v>
      </c>
      <c r="E361" s="6">
        <f>'Adj Close Prices'!E362/'Adj Close Prices'!E361-1</f>
        <v>-1.739788199697434E-2</v>
      </c>
      <c r="F361" s="6">
        <f>'Adj Close Prices'!F362/'Adj Close Prices'!F361-1</f>
        <v>-2.119542178888878E-4</v>
      </c>
      <c r="G361" s="6">
        <f>'Adj Close Prices'!G362/'Adj Close Prices'!G361-1</f>
        <v>4.0960907484788311E-3</v>
      </c>
    </row>
    <row r="362" spans="1:7" x14ac:dyDescent="0.45">
      <c r="A362" s="2">
        <f>'Adj Close Prices'!A363</f>
        <v>45600</v>
      </c>
      <c r="B362" s="6">
        <f>'Adj Close Prices'!B363/'Adj Close Prices'!B362-1</f>
        <v>-2.0072117519583932E-3</v>
      </c>
      <c r="C362" s="6">
        <f>'Adj Close Prices'!C363/'Adj Close Prices'!C362-1</f>
        <v>-5.4704595185995908E-3</v>
      </c>
      <c r="D362" s="6">
        <f>'Adj Close Prices'!D363/'Adj Close Prices'!D362-1</f>
        <v>-1.0215664018161208E-2</v>
      </c>
      <c r="E362" s="6">
        <f>'Adj Close Prices'!E363/'Adj Close Prices'!E362-1</f>
        <v>-6.5434949961509226E-3</v>
      </c>
      <c r="F362" s="6">
        <f>'Adj Close Prices'!F363/'Adj Close Prices'!F362-1</f>
        <v>2.1199915200331709E-4</v>
      </c>
      <c r="G362" s="6">
        <f>'Adj Close Prices'!G363/'Adj Close Prices'!G362-1</f>
        <v>-2.8155934653095738E-3</v>
      </c>
    </row>
    <row r="363" spans="1:7" x14ac:dyDescent="0.45">
      <c r="A363" s="2">
        <f>'Adj Close Prices'!A364</f>
        <v>45601</v>
      </c>
      <c r="B363" s="6">
        <f>'Adj Close Prices'!B364/'Adj Close Prices'!B363-1</f>
        <v>1.2085291186102687E-2</v>
      </c>
      <c r="C363" s="6">
        <f>'Adj Close Prices'!C364/'Adj Close Prices'!C363-1</f>
        <v>6.0506050605060313E-3</v>
      </c>
      <c r="D363" s="6">
        <f>'Adj Close Prices'!D364/'Adj Close Prices'!D363-1</f>
        <v>6.8807339449539207E-3</v>
      </c>
      <c r="E363" s="6">
        <f>'Adj Close Prices'!E364/'Adj Close Prices'!E363-1</f>
        <v>8.523827973653697E-3</v>
      </c>
      <c r="F363" s="6">
        <f>'Adj Close Prices'!F364/'Adj Close Prices'!F363-1</f>
        <v>4.2390843577799764E-4</v>
      </c>
      <c r="G363" s="6">
        <f>'Adj Close Prices'!G364/'Adj Close Prices'!G363-1</f>
        <v>1.2269197644538155E-2</v>
      </c>
    </row>
    <row r="364" spans="1:7" x14ac:dyDescent="0.45">
      <c r="A364" s="2">
        <f>'Adj Close Prices'!A365</f>
        <v>45602</v>
      </c>
      <c r="B364" s="6">
        <f>'Adj Close Prices'!B365/'Adj Close Prices'!B364-1</f>
        <v>2.4831612823804639E-2</v>
      </c>
      <c r="C364" s="6">
        <f>'Adj Close Prices'!C365/'Adj Close Prices'!C364-1</f>
        <v>1.8589393110989505E-2</v>
      </c>
      <c r="D364" s="6">
        <f>'Adj Close Prices'!D365/'Adj Close Prices'!D364-1</f>
        <v>3.4168564920273869E-3</v>
      </c>
      <c r="E364" s="6">
        <f>'Adj Close Prices'!E365/'Adj Close Prices'!E364-1</f>
        <v>2.0361121782558556E-2</v>
      </c>
      <c r="F364" s="6">
        <f>'Adj Close Prices'!F365/'Adj Close Prices'!F364-1</f>
        <v>-4.2372881355934311E-4</v>
      </c>
      <c r="G364" s="6">
        <f>'Adj Close Prices'!G365/'Adj Close Prices'!G364-1</f>
        <v>2.5292377182561276E-2</v>
      </c>
    </row>
    <row r="365" spans="1:7" x14ac:dyDescent="0.45">
      <c r="A365" s="2">
        <f>'Adj Close Prices'!A366</f>
        <v>45603</v>
      </c>
      <c r="B365" s="6">
        <f>'Adj Close Prices'!B366/'Adj Close Prices'!B365-1</f>
        <v>7.7906477906477534E-3</v>
      </c>
      <c r="C365" s="6">
        <f>'Adj Close Prices'!C366/'Adj Close Prices'!C365-1</f>
        <v>-3.2206119162639935E-3</v>
      </c>
      <c r="D365" s="6">
        <f>'Adj Close Prices'!D366/'Adj Close Prices'!D365-1</f>
        <v>-2.3269012485811591E-2</v>
      </c>
      <c r="E365" s="6">
        <f>'Adj Close Prices'!E366/'Adj Close Prices'!E365-1</f>
        <v>3.3885542168674565E-3</v>
      </c>
      <c r="F365" s="6">
        <f>'Adj Close Prices'!F366/'Adj Close Prices'!F365-1</f>
        <v>8.4781687155577323E-4</v>
      </c>
      <c r="G365" s="6">
        <f>'Adj Close Prices'!G366/'Adj Close Prices'!G365-1</f>
        <v>7.4312324275640496E-3</v>
      </c>
    </row>
    <row r="366" spans="1:7" x14ac:dyDescent="0.45">
      <c r="A366" s="2">
        <f>'Adj Close Prices'!A367</f>
        <v>45604</v>
      </c>
      <c r="B366" s="6">
        <f>'Adj Close Prices'!B367/'Adj Close Prices'!B366-1</f>
        <v>4.3760322838801713E-3</v>
      </c>
      <c r="C366" s="6">
        <f>'Adj Close Prices'!C367/'Adj Close Prices'!C366-1</f>
        <v>9.1545503500267689E-3</v>
      </c>
      <c r="D366" s="6">
        <f>'Adj Close Prices'!D367/'Adj Close Prices'!D366-1</f>
        <v>2.6728646135967482E-2</v>
      </c>
      <c r="E366" s="6">
        <f>'Adj Close Prices'!E367/'Adj Close Prices'!E366-1</f>
        <v>1.5009380863040267E-3</v>
      </c>
      <c r="F366" s="6">
        <f>'Adj Close Prices'!F367/'Adj Close Prices'!F366-1</f>
        <v>4.2354934349853046E-4</v>
      </c>
      <c r="G366" s="6">
        <f>'Adj Close Prices'!G367/'Adj Close Prices'!G366-1</f>
        <v>3.7568494698723143E-3</v>
      </c>
    </row>
    <row r="367" spans="1:7" x14ac:dyDescent="0.45">
      <c r="A367" s="2">
        <f>'Adj Close Prices'!A368</f>
        <v>45607</v>
      </c>
      <c r="B367" s="6">
        <f>'Adj Close Prices'!B368/'Adj Close Prices'!B367-1</f>
        <v>7.7984606516801058E-4</v>
      </c>
      <c r="C367" s="6">
        <f>'Adj Close Prices'!C368/'Adj Close Prices'!C367-1</f>
        <v>2.6680896478121774E-3</v>
      </c>
      <c r="D367" s="6">
        <f>'Adj Close Prices'!D368/'Adj Close Prices'!D367-1</f>
        <v>3.3955857385399302E-3</v>
      </c>
      <c r="E367" s="6">
        <f>'Adj Close Prices'!E368/'Adj Close Prices'!E367-1</f>
        <v>-8.6174597227426375E-3</v>
      </c>
      <c r="F367" s="6">
        <f>'Adj Close Prices'!F368/'Adj Close Prices'!F367-1</f>
        <v>0</v>
      </c>
      <c r="G367" s="6">
        <f>'Adj Close Prices'!G368/'Adj Close Prices'!G367-1</f>
        <v>9.6905527951673953E-4</v>
      </c>
    </row>
    <row r="368" spans="1:7" x14ac:dyDescent="0.45">
      <c r="A368" s="2">
        <f>'Adj Close Prices'!A369</f>
        <v>45608</v>
      </c>
      <c r="B368" s="6">
        <f>'Adj Close Prices'!B369/'Adj Close Prices'!B368-1</f>
        <v>-3.0661336224421243E-3</v>
      </c>
      <c r="C368" s="6">
        <f>'Adj Close Prices'!C369/'Adj Close Prices'!C368-1</f>
        <v>-2.6609898882384853E-3</v>
      </c>
      <c r="D368" s="6">
        <f>'Adj Close Prices'!D369/'Adj Close Prices'!D368-1</f>
        <v>0</v>
      </c>
      <c r="E368" s="6">
        <f>'Adj Close Prices'!E369/'Adj Close Prices'!E368-1</f>
        <v>-9.0702947845805459E-3</v>
      </c>
      <c r="F368" s="6">
        <f>'Adj Close Prices'!F369/'Adj Close Prices'!F368-1</f>
        <v>-4.2337002540226987E-4</v>
      </c>
      <c r="G368" s="6">
        <f>'Adj Close Prices'!G369/'Adj Close Prices'!G368-1</f>
        <v>-2.8893547107813333E-3</v>
      </c>
    </row>
    <row r="369" spans="1:7" x14ac:dyDescent="0.45">
      <c r="A369" s="2">
        <f>'Adj Close Prices'!A370</f>
        <v>45609</v>
      </c>
      <c r="B369" s="6">
        <f>'Adj Close Prices'!B370/'Adj Close Prices'!B369-1</f>
        <v>7.4765084705452622E-4</v>
      </c>
      <c r="C369" s="6">
        <f>'Adj Close Prices'!C370/'Adj Close Prices'!C369-1</f>
        <v>5.336179295625243E-4</v>
      </c>
      <c r="D369" s="6">
        <f>'Adj Close Prices'!D370/'Adj Close Prices'!D369-1</f>
        <v>5.6401579244202971E-4</v>
      </c>
      <c r="E369" s="6">
        <f>'Adj Close Prices'!E370/'Adj Close Prices'!E369-1</f>
        <v>4.1952707856598437E-3</v>
      </c>
      <c r="F369" s="6">
        <f>'Adj Close Prices'!F370/'Adj Close Prices'!F369-1</f>
        <v>6.3532401524790671E-4</v>
      </c>
      <c r="G369" s="6">
        <f>'Adj Close Prices'!G370/'Adj Close Prices'!G369-1</f>
        <v>2.3228609625669527E-4</v>
      </c>
    </row>
    <row r="370" spans="1:7" x14ac:dyDescent="0.45">
      <c r="A370" s="2">
        <f>'Adj Close Prices'!A371</f>
        <v>45610</v>
      </c>
      <c r="B370" s="6">
        <f>'Adj Close Prices'!B371/'Adj Close Prices'!B370-1</f>
        <v>-6.6049749554293324E-3</v>
      </c>
      <c r="C370" s="6">
        <f>'Adj Close Prices'!C371/'Adj Close Prices'!C370-1</f>
        <v>1.6000000000000458E-3</v>
      </c>
      <c r="D370" s="6">
        <f>'Adj Close Prices'!D371/'Adj Close Prices'!D370-1</f>
        <v>-6.7643742953775732E-3</v>
      </c>
      <c r="E370" s="6">
        <f>'Adj Close Prices'!E371/'Adj Close Prices'!E370-1</f>
        <v>-2.6585643752372601E-3</v>
      </c>
      <c r="F370" s="6">
        <f>'Adj Close Prices'!F371/'Adj Close Prices'!F370-1</f>
        <v>0</v>
      </c>
      <c r="G370" s="6">
        <f>'Adj Close Prices'!G371/'Adj Close Prices'!G370-1</f>
        <v>-6.0530725650292938E-3</v>
      </c>
    </row>
    <row r="371" spans="1:7" x14ac:dyDescent="0.45">
      <c r="A371" s="2">
        <f>'Adj Close Prices'!A372</f>
        <v>45611</v>
      </c>
      <c r="B371" s="6">
        <f>'Adj Close Prices'!B372/'Adj Close Prices'!B371-1</f>
        <v>-1.2699552182682039E-2</v>
      </c>
      <c r="C371" s="6">
        <f>'Adj Close Prices'!C372/'Adj Close Prices'!C371-1</f>
        <v>-3.1948881789138905E-3</v>
      </c>
      <c r="D371" s="6">
        <f>'Adj Close Prices'!D372/'Adj Close Prices'!D371-1</f>
        <v>5.107832009080493E-3</v>
      </c>
      <c r="E371" s="6">
        <f>'Adj Close Prices'!E372/'Adj Close Prices'!E371-1</f>
        <v>-1.9040365575019313E-3</v>
      </c>
      <c r="F371" s="6">
        <f>'Adj Close Prices'!F372/'Adj Close Prices'!F371-1</f>
        <v>4.2328042328043658E-4</v>
      </c>
      <c r="G371" s="6">
        <f>'Adj Close Prices'!G372/'Adj Close Prices'!G371-1</f>
        <v>-1.3200182882961542E-2</v>
      </c>
    </row>
    <row r="372" spans="1:7" x14ac:dyDescent="0.45">
      <c r="A372" s="2">
        <f>'Adj Close Prices'!A373</f>
        <v>45614</v>
      </c>
      <c r="B372" s="6">
        <f>'Adj Close Prices'!B373/'Adj Close Prices'!B372-1</f>
        <v>4.1549088516870114E-3</v>
      </c>
      <c r="C372" s="6">
        <f>'Adj Close Prices'!C373/'Adj Close Prices'!C372-1</f>
        <v>8.0128205128207064E-3</v>
      </c>
      <c r="D372" s="6">
        <f>'Adj Close Prices'!D373/'Adj Close Prices'!D372-1</f>
        <v>6.7758328627891551E-3</v>
      </c>
      <c r="E372" s="6">
        <f>'Adj Close Prices'!E373/'Adj Close Prices'!E372-1</f>
        <v>6.867607783288765E-3</v>
      </c>
      <c r="F372" s="6">
        <f>'Adj Close Prices'!F373/'Adj Close Prices'!F372-1</f>
        <v>4.2310133276912687E-4</v>
      </c>
      <c r="G372" s="6">
        <f>'Adj Close Prices'!G373/'Adj Close Prices'!G372-1</f>
        <v>3.9144010097722504E-3</v>
      </c>
    </row>
    <row r="373" spans="1:7" x14ac:dyDescent="0.45">
      <c r="A373" s="2">
        <f>'Adj Close Prices'!A374</f>
        <v>45615</v>
      </c>
      <c r="B373" s="6">
        <f>'Adj Close Prices'!B374/'Adj Close Prices'!B373-1</f>
        <v>3.4825784873195875E-3</v>
      </c>
      <c r="C373" s="6">
        <f>'Adj Close Prices'!C374/'Adj Close Prices'!C373-1</f>
        <v>6.8892421833597339E-3</v>
      </c>
      <c r="D373" s="6">
        <f>'Adj Close Prices'!D374/'Adj Close Prices'!D373-1</f>
        <v>2.2434099831745158E-3</v>
      </c>
      <c r="E373" s="6">
        <f>'Adj Close Prices'!E374/'Adj Close Prices'!E373-1</f>
        <v>1.2883668056081765E-2</v>
      </c>
      <c r="F373" s="6">
        <f>'Adj Close Prices'!F374/'Adj Close Prices'!F373-1</f>
        <v>2.1146119687043274E-4</v>
      </c>
      <c r="G373" s="6">
        <f>'Adj Close Prices'!G374/'Adj Close Prices'!G373-1</f>
        <v>3.963614830299278E-3</v>
      </c>
    </row>
    <row r="374" spans="1:7" x14ac:dyDescent="0.45">
      <c r="A374" s="2">
        <f>'Adj Close Prices'!A375</f>
        <v>45616</v>
      </c>
      <c r="B374" s="6">
        <f>'Adj Close Prices'!B375/'Adj Close Prices'!B374-1</f>
        <v>4.6387767373956557E-4</v>
      </c>
      <c r="C374" s="6">
        <f>'Adj Close Prices'!C375/'Adj Close Prices'!C374-1</f>
        <v>-1.5789473684211242E-3</v>
      </c>
      <c r="D374" s="6">
        <f>'Adj Close Prices'!D375/'Adj Close Prices'!D374-1</f>
        <v>-3.357582540570947E-3</v>
      </c>
      <c r="E374" s="6">
        <f>'Adj Close Prices'!E375/'Adj Close Prices'!E374-1</f>
        <v>-2.6187803965581624E-3</v>
      </c>
      <c r="F374" s="6">
        <f>'Adj Close Prices'!F375/'Adj Close Prices'!F374-1</f>
        <v>0</v>
      </c>
      <c r="G374" s="6">
        <f>'Adj Close Prices'!G375/'Adj Close Prices'!G374-1</f>
        <v>2.5350813000590833E-5</v>
      </c>
    </row>
    <row r="375" spans="1:7" x14ac:dyDescent="0.45">
      <c r="A375" s="2">
        <f>'Adj Close Prices'!A376</f>
        <v>45617</v>
      </c>
      <c r="B375" s="6">
        <f>'Adj Close Prices'!B376/'Adj Close Prices'!B375-1</f>
        <v>5.1174611897237821E-3</v>
      </c>
      <c r="C375" s="6">
        <f>'Adj Close Prices'!C376/'Adj Close Prices'!C375-1</f>
        <v>-5.2714812862408866E-4</v>
      </c>
      <c r="D375" s="6">
        <f>'Adj Close Prices'!D376/'Adj Close Prices'!D375-1</f>
        <v>3.9303761931499537E-3</v>
      </c>
      <c r="E375" s="6">
        <f>'Adj Close Prices'!E376/'Adj Close Prices'!E375-1</f>
        <v>-2.2505626406601476E-3</v>
      </c>
      <c r="F375" s="6">
        <f>'Adj Close Prices'!F376/'Adj Close Prices'!F375-1</f>
        <v>-2.114164904861715E-4</v>
      </c>
      <c r="G375" s="6">
        <f>'Adj Close Prices'!G376/'Adj Close Prices'!G375-1</f>
        <v>5.3370558650154276E-3</v>
      </c>
    </row>
    <row r="376" spans="1:7" x14ac:dyDescent="0.45">
      <c r="A376" s="2">
        <f>'Adj Close Prices'!A377</f>
        <v>45618</v>
      </c>
      <c r="B376" s="6">
        <f>'Adj Close Prices'!B377/'Adj Close Prices'!B376-1</f>
        <v>3.3145395523663801E-3</v>
      </c>
      <c r="C376" s="6">
        <f>'Adj Close Prices'!C377/'Adj Close Prices'!C376-1</f>
        <v>1.1075949367088667E-2</v>
      </c>
      <c r="D376" s="6">
        <f>'Adj Close Prices'!D377/'Adj Close Prices'!D376-1</f>
        <v>1.0626398210290988E-2</v>
      </c>
      <c r="E376" s="6">
        <f>'Adj Close Prices'!E377/'Adj Close Prices'!E376-1</f>
        <v>1.4661654135338154E-2</v>
      </c>
      <c r="F376" s="6">
        <f>'Adj Close Prices'!F377/'Adj Close Prices'!F376-1</f>
        <v>2.1146119687043274E-4</v>
      </c>
      <c r="G376" s="6">
        <f>'Adj Close Prices'!G377/'Adj Close Prices'!G376-1</f>
        <v>3.4679846016776317E-3</v>
      </c>
    </row>
    <row r="377" spans="1:7" x14ac:dyDescent="0.45">
      <c r="A377" s="2">
        <f>'Adj Close Prices'!A378</f>
        <v>45621</v>
      </c>
      <c r="B377" s="6">
        <f>'Adj Close Prices'!B378/'Adj Close Prices'!B377-1</f>
        <v>2.9459846059534112E-3</v>
      </c>
      <c r="C377" s="6">
        <f>'Adj Close Prices'!C378/'Adj Close Prices'!C377-1</f>
        <v>-1.0432968179449054E-3</v>
      </c>
      <c r="D377" s="6">
        <f>'Adj Close Prices'!D378/'Adj Close Prices'!D377-1</f>
        <v>7.7476480354179422E-3</v>
      </c>
      <c r="E377" s="6">
        <f>'Adj Close Prices'!E378/'Adj Close Prices'!E377-1</f>
        <v>5.1871063356798697E-3</v>
      </c>
      <c r="F377" s="6">
        <f>'Adj Close Prices'!F378/'Adj Close Prices'!F377-1</f>
        <v>2.1141649048628253E-4</v>
      </c>
      <c r="G377" s="6">
        <f>'Adj Close Prices'!G378/'Adj Close Prices'!G377-1</f>
        <v>3.0237899395744172E-3</v>
      </c>
    </row>
    <row r="378" spans="1:7" x14ac:dyDescent="0.45">
      <c r="A378" s="2">
        <f>'Adj Close Prices'!A379</f>
        <v>45622</v>
      </c>
      <c r="B378" s="6">
        <f>'Adj Close Prices'!B379/'Adj Close Prices'!B378-1</f>
        <v>5.9086201334532795E-3</v>
      </c>
      <c r="C378" s="6">
        <f>'Adj Close Prices'!C379/'Adj Close Prices'!C378-1</f>
        <v>0</v>
      </c>
      <c r="D378" s="6">
        <f>'Adj Close Prices'!D379/'Adj Close Prices'!D378-1</f>
        <v>0</v>
      </c>
      <c r="E378" s="6">
        <f>'Adj Close Prices'!E379/'Adj Close Prices'!E378-1</f>
        <v>-4.4231478068558205E-3</v>
      </c>
      <c r="F378" s="6">
        <f>'Adj Close Prices'!F379/'Adj Close Prices'!F378-1</f>
        <v>0</v>
      </c>
      <c r="G378" s="6">
        <f>'Adj Close Prices'!G379/'Adj Close Prices'!G378-1</f>
        <v>5.7220353476812313E-3</v>
      </c>
    </row>
    <row r="379" spans="1:7" x14ac:dyDescent="0.45">
      <c r="A379" s="2">
        <f>'Adj Close Prices'!A380</f>
        <v>45623</v>
      </c>
      <c r="B379" s="6">
        <f>'Adj Close Prices'!B380/'Adj Close Prices'!B379-1</f>
        <v>-3.223900751118336E-3</v>
      </c>
      <c r="C379" s="6">
        <f>'Adj Close Prices'!C380/'Adj Close Prices'!C379-1</f>
        <v>5.2219321148827547E-4</v>
      </c>
      <c r="D379" s="6">
        <f>'Adj Close Prices'!D380/'Adj Close Prices'!D379-1</f>
        <v>1.2081274025260713E-2</v>
      </c>
      <c r="E379" s="6">
        <f>'Adj Close Prices'!E380/'Adj Close Prices'!E379-1</f>
        <v>9.9962976675305182E-3</v>
      </c>
      <c r="F379" s="6">
        <f>'Adj Close Prices'!F380/'Adj Close Prices'!F379-1</f>
        <v>6.3411540900437657E-4</v>
      </c>
      <c r="G379" s="6">
        <f>'Adj Close Prices'!G380/'Adj Close Prices'!G379-1</f>
        <v>-3.8046113683316563E-3</v>
      </c>
    </row>
    <row r="380" spans="1:7" x14ac:dyDescent="0.45">
      <c r="A380" s="2">
        <f>'Adj Close Prices'!A381</f>
        <v>45625</v>
      </c>
      <c r="B380" s="6">
        <f>'Adj Close Prices'!B381/'Adj Close Prices'!B380-1</f>
        <v>5.4018356080876018E-3</v>
      </c>
      <c r="C380" s="6">
        <f>'Adj Close Prices'!C381/'Adj Close Prices'!C380-1</f>
        <v>6.2630480167014113E-3</v>
      </c>
      <c r="D380" s="6">
        <f>'Adj Close Prices'!D381/'Adj Close Prices'!D380-1</f>
        <v>1.6277807921866616E-2</v>
      </c>
      <c r="E380" s="6">
        <f>'Adj Close Prices'!E381/'Adj Close Prices'!E380-1</f>
        <v>1.4296187683284556E-2</v>
      </c>
      <c r="F380" s="6">
        <f>'Adj Close Prices'!F381/'Adj Close Prices'!F380-1</f>
        <v>6.3371356147001734E-4</v>
      </c>
      <c r="G380" s="6">
        <f>'Adj Close Prices'!G381/'Adj Close Prices'!G380-1</f>
        <v>5.6111877013969025E-3</v>
      </c>
    </row>
    <row r="381" spans="1:7" x14ac:dyDescent="0.45">
      <c r="A381" s="2">
        <f>'Adj Close Prices'!A382</f>
        <v>45628</v>
      </c>
      <c r="B381" s="6">
        <f>'Adj Close Prices'!B382/'Adj Close Prices'!B381-1</f>
        <v>2.7116702878413612E-3</v>
      </c>
      <c r="C381" s="6">
        <f>'Adj Close Prices'!C382/'Adj Close Prices'!C381-1</f>
        <v>-2.0746887966806016E-3</v>
      </c>
      <c r="D381" s="6">
        <f>'Adj Close Prices'!D382/'Adj Close Prices'!D381-1</f>
        <v>-1.6017084890550537E-3</v>
      </c>
      <c r="E381" s="6">
        <f>'Adj Close Prices'!E382/'Adj Close Prices'!E381-1</f>
        <v>-2.059992771955188E-2</v>
      </c>
      <c r="F381" s="6">
        <f>'Adj Close Prices'!F382/'Adj Close Prices'!F381-1</f>
        <v>4.2220814861737566E-4</v>
      </c>
      <c r="G381" s="6">
        <f>'Adj Close Prices'!G382/'Adj Close Prices'!G381-1</f>
        <v>2.4451336866482265E-3</v>
      </c>
    </row>
    <row r="382" spans="1:7" x14ac:dyDescent="0.45">
      <c r="A382" s="2">
        <f>'Adj Close Prices'!A383</f>
        <v>45629</v>
      </c>
      <c r="B382" s="6">
        <f>'Adj Close Prices'!B383/'Adj Close Prices'!B382-1</f>
        <v>4.1992810830793204E-4</v>
      </c>
      <c r="C382" s="6">
        <f>'Adj Close Prices'!C383/'Adj Close Prices'!C382-1</f>
        <v>3.6382536382537634E-3</v>
      </c>
      <c r="D382" s="6">
        <f>'Adj Close Prices'!D383/'Adj Close Prices'!D382-1</f>
        <v>-2.1390374331550221E-3</v>
      </c>
      <c r="E382" s="6">
        <f>'Adj Close Prices'!E383/'Adj Close Prices'!E382-1</f>
        <v>4.4280442804427445E-3</v>
      </c>
      <c r="F382" s="6">
        <f>'Adj Close Prices'!F383/'Adj Close Prices'!F382-1</f>
        <v>2.11014982063773E-4</v>
      </c>
      <c r="G382" s="6">
        <f>'Adj Close Prices'!G383/'Adj Close Prices'!G382-1</f>
        <v>4.5145308360639014E-4</v>
      </c>
    </row>
    <row r="383" spans="1:7" x14ac:dyDescent="0.45">
      <c r="A383" s="2">
        <f>'Adj Close Prices'!A384</f>
        <v>45630</v>
      </c>
      <c r="B383" s="6">
        <f>'Adj Close Prices'!B384/'Adj Close Prices'!B383-1</f>
        <v>6.161957050991429E-3</v>
      </c>
      <c r="C383" s="6">
        <f>'Adj Close Prices'!C384/'Adj Close Prices'!C383-1</f>
        <v>-3.6250647332988217E-3</v>
      </c>
      <c r="D383" s="6">
        <f>'Adj Close Prices'!D384/'Adj Close Prices'!D383-1</f>
        <v>5.3590568060022381E-3</v>
      </c>
      <c r="E383" s="6">
        <f>'Adj Close Prices'!E384/'Adj Close Prices'!E383-1</f>
        <v>-7.7149155033062744E-3</v>
      </c>
      <c r="F383" s="6">
        <f>'Adj Close Prices'!F384/'Adj Close Prices'!F383-1</f>
        <v>2.1097046413487419E-4</v>
      </c>
      <c r="G383" s="6">
        <f>'Adj Close Prices'!G384/'Adj Close Prices'!G383-1</f>
        <v>6.0513696988528931E-3</v>
      </c>
    </row>
    <row r="384" spans="1:7" x14ac:dyDescent="0.45">
      <c r="A384" s="2">
        <f>'Adj Close Prices'!A385</f>
        <v>45631</v>
      </c>
      <c r="B384" s="6">
        <f>'Adj Close Prices'!B385/'Adj Close Prices'!B384-1</f>
        <v>-1.6019757701165593E-3</v>
      </c>
      <c r="C384" s="6">
        <f>'Adj Close Prices'!C385/'Adj Close Prices'!C384-1</f>
        <v>3.1185031185032575E-3</v>
      </c>
      <c r="D384" s="6">
        <f>'Adj Close Prices'!D385/'Adj Close Prices'!D384-1</f>
        <v>-1.0660980810236476E-3</v>
      </c>
      <c r="E384" s="6">
        <f>'Adj Close Prices'!E385/'Adj Close Prices'!E384-1</f>
        <v>1.4809329877822908E-3</v>
      </c>
      <c r="F384" s="6">
        <f>'Adj Close Prices'!F385/'Adj Close Prices'!F384-1</f>
        <v>2.1092596498650806E-4</v>
      </c>
      <c r="G384" s="6">
        <f>'Adj Close Prices'!G385/'Adj Close Prices'!G384-1</f>
        <v>-1.8697178007648363E-3</v>
      </c>
    </row>
    <row r="385" spans="1:7" x14ac:dyDescent="0.45">
      <c r="A385" s="2">
        <f>'Adj Close Prices'!A386</f>
        <v>45632</v>
      </c>
      <c r="B385" s="6">
        <f>'Adj Close Prices'!B386/'Adj Close Prices'!B385-1</f>
        <v>1.8051144910580241E-3</v>
      </c>
      <c r="C385" s="6">
        <f>'Adj Close Prices'!C386/'Adj Close Prices'!C385-1</f>
        <v>1.5544041450776813E-3</v>
      </c>
      <c r="D385" s="6">
        <f>'Adj Close Prices'!D386/'Adj Close Prices'!D385-1</f>
        <v>4.8025613660618305E-3</v>
      </c>
      <c r="E385" s="6">
        <f>'Adj Close Prices'!E386/'Adj Close Prices'!E385-1</f>
        <v>7.0240295748613679E-3</v>
      </c>
      <c r="F385" s="6">
        <f>'Adj Close Prices'!F386/'Adj Close Prices'!F385-1</f>
        <v>8.43525938422518E-4</v>
      </c>
      <c r="G385" s="6">
        <f>'Adj Close Prices'!G386/'Adj Close Prices'!G385-1</f>
        <v>2.4987243008345317E-3</v>
      </c>
    </row>
    <row r="386" spans="1:7" x14ac:dyDescent="0.45">
      <c r="A386" s="2">
        <f>'Adj Close Prices'!A387</f>
        <v>45635</v>
      </c>
      <c r="B386" s="6">
        <f>'Adj Close Prices'!B387/'Adj Close Prices'!B386-1</f>
        <v>-5.1553271714105398E-3</v>
      </c>
      <c r="C386" s="6">
        <f>'Adj Close Prices'!C387/'Adj Close Prices'!C386-1</f>
        <v>3.1039834454218429E-3</v>
      </c>
      <c r="D386" s="6">
        <f>'Adj Close Prices'!D387/'Adj Close Prices'!D386-1</f>
        <v>-5.8417419012214422E-3</v>
      </c>
      <c r="E386" s="6">
        <f>'Adj Close Prices'!E387/'Adj Close Prices'!E386-1</f>
        <v>-9.1776798825257133E-3</v>
      </c>
      <c r="F386" s="6">
        <f>'Adj Close Prices'!F387/'Adj Close Prices'!F386-1</f>
        <v>2.1070375052678614E-4</v>
      </c>
      <c r="G386" s="6">
        <f>'Adj Close Prices'!G387/'Adj Close Prices'!G386-1</f>
        <v>-6.1475006075253358E-3</v>
      </c>
    </row>
    <row r="387" spans="1:7" x14ac:dyDescent="0.45">
      <c r="A387" s="2">
        <f>'Adj Close Prices'!A388</f>
        <v>45636</v>
      </c>
      <c r="B387" s="6">
        <f>'Adj Close Prices'!B388/'Adj Close Prices'!B387-1</f>
        <v>-2.8845025071692065E-3</v>
      </c>
      <c r="C387" s="6">
        <f>'Adj Close Prices'!C388/'Adj Close Prices'!C387-1</f>
        <v>-8.7674058793193455E-3</v>
      </c>
      <c r="D387" s="6">
        <f>'Adj Close Prices'!D388/'Adj Close Prices'!D387-1</f>
        <v>-5.3418803418792127E-4</v>
      </c>
      <c r="E387" s="6">
        <f>'Adj Close Prices'!E388/'Adj Close Prices'!E387-1</f>
        <v>1.2967765839199785E-2</v>
      </c>
      <c r="F387" s="6">
        <f>'Adj Close Prices'!F388/'Adj Close Prices'!F387-1</f>
        <v>0</v>
      </c>
      <c r="G387" s="6">
        <f>'Adj Close Prices'!G388/'Adj Close Prices'!G387-1</f>
        <v>-2.9638979388189046E-3</v>
      </c>
    </row>
    <row r="388" spans="1:7" x14ac:dyDescent="0.45">
      <c r="A388" s="2">
        <f>'Adj Close Prices'!A389</f>
        <v>45637</v>
      </c>
      <c r="B388" s="6">
        <f>'Adj Close Prices'!B389/'Adj Close Prices'!B388-1</f>
        <v>7.7030458987166206E-3</v>
      </c>
      <c r="C388" s="6">
        <f>'Adj Close Prices'!C389/'Adj Close Prices'!C388-1</f>
        <v>1.5608740894901274E-3</v>
      </c>
      <c r="D388" s="6">
        <f>'Adj Close Prices'!D389/'Adj Close Prices'!D388-1</f>
        <v>-2.6723677177979965E-3</v>
      </c>
      <c r="E388" s="6">
        <f>'Adj Close Prices'!E389/'Adj Close Prices'!E388-1</f>
        <v>-3.2918800292611738E-3</v>
      </c>
      <c r="F388" s="6">
        <f>'Adj Close Prices'!F389/'Adj Close Prices'!F388-1</f>
        <v>0</v>
      </c>
      <c r="G388" s="6">
        <f>'Adj Close Prices'!G389/'Adj Close Prices'!G388-1</f>
        <v>8.1658353908102832E-3</v>
      </c>
    </row>
    <row r="389" spans="1:7" x14ac:dyDescent="0.45">
      <c r="A389" s="2">
        <f>'Adj Close Prices'!A390</f>
        <v>45638</v>
      </c>
      <c r="B389" s="6">
        <f>'Adj Close Prices'!B390/'Adj Close Prices'!B389-1</f>
        <v>-5.307518985228965E-3</v>
      </c>
      <c r="C389" s="6">
        <f>'Adj Close Prices'!C390/'Adj Close Prices'!C389-1</f>
        <v>-1.5584415584416478E-3</v>
      </c>
      <c r="D389" s="6">
        <f>'Adj Close Prices'!D390/'Adj Close Prices'!D389-1</f>
        <v>-2.143622722400762E-3</v>
      </c>
      <c r="E389" s="6">
        <f>'Adj Close Prices'!E390/'Adj Close Prices'!E389-1</f>
        <v>2.2018348623853434E-3</v>
      </c>
      <c r="F389" s="6">
        <f>'Adj Close Prices'!F390/'Adj Close Prices'!F389-1</f>
        <v>0</v>
      </c>
      <c r="G389" s="6">
        <f>'Adj Close Prices'!G390/'Adj Close Prices'!G389-1</f>
        <v>-5.4123973978417173E-3</v>
      </c>
    </row>
    <row r="390" spans="1:7" x14ac:dyDescent="0.45">
      <c r="A390" s="2">
        <f>'Adj Close Prices'!A391</f>
        <v>45639</v>
      </c>
      <c r="B390" s="6">
        <f>'Adj Close Prices'!B391/'Adj Close Prices'!B390-1</f>
        <v>-1.8457304897900872E-4</v>
      </c>
      <c r="C390" s="6">
        <f>'Adj Close Prices'!C391/'Adj Close Prices'!C390-1</f>
        <v>4.1623309053071544E-3</v>
      </c>
      <c r="D390" s="6">
        <f>'Adj Close Prices'!D391/'Adj Close Prices'!D390-1</f>
        <v>5.3705692803429628E-4</v>
      </c>
      <c r="E390" s="6">
        <f>'Adj Close Prices'!E391/'Adj Close Prices'!E390-1</f>
        <v>-7.3233247894544107E-3</v>
      </c>
      <c r="F390" s="6">
        <f>'Adj Close Prices'!F391/'Adj Close Prices'!F390-1</f>
        <v>0</v>
      </c>
      <c r="G390" s="6">
        <f>'Adj Close Prices'!G391/'Adj Close Prices'!G390-1</f>
        <v>-2.8093369138670887E-5</v>
      </c>
    </row>
    <row r="391" spans="1:7" x14ac:dyDescent="0.45">
      <c r="A391" s="2">
        <f>'Adj Close Prices'!A392</f>
        <v>45642</v>
      </c>
      <c r="B391" s="6">
        <f>'Adj Close Prices'!B392/'Adj Close Prices'!B391-1</f>
        <v>4.2627462826838602E-3</v>
      </c>
      <c r="C391" s="6">
        <f>'Adj Close Prices'!C392/'Adj Close Prices'!C391-1</f>
        <v>-1.2435233160621895E-2</v>
      </c>
      <c r="D391" s="6">
        <f>'Adj Close Prices'!D392/'Adj Close Prices'!D391-1</f>
        <v>-1.2345679012345734E-2</v>
      </c>
      <c r="E391" s="6">
        <f>'Adj Close Prices'!E392/'Adj Close Prices'!E391-1</f>
        <v>6.6396163777204809E-3</v>
      </c>
      <c r="F391" s="6">
        <f>'Adj Close Prices'!F392/'Adj Close Prices'!F391-1</f>
        <v>2.1065936380870731E-4</v>
      </c>
      <c r="G391" s="6">
        <f>'Adj Close Prices'!G392/'Adj Close Prices'!G391-1</f>
        <v>3.7993217739642482E-3</v>
      </c>
    </row>
    <row r="392" spans="1:7" x14ac:dyDescent="0.45">
      <c r="A392" s="2">
        <f>'Adj Close Prices'!A393</f>
        <v>45643</v>
      </c>
      <c r="B392" s="6">
        <f>'Adj Close Prices'!B393/'Adj Close Prices'!B392-1</f>
        <v>-4.3449197860963018E-3</v>
      </c>
      <c r="C392" s="6">
        <f>'Adj Close Prices'!C393/'Adj Close Prices'!C392-1</f>
        <v>-5.2465897166840136E-3</v>
      </c>
      <c r="D392" s="6">
        <f>'Adj Close Prices'!D393/'Adj Close Prices'!D392-1</f>
        <v>1.630434782608825E-3</v>
      </c>
      <c r="E392" s="6">
        <f>'Adj Close Prices'!E393/'Adj Close Prices'!E392-1</f>
        <v>-1.0260168559911964E-2</v>
      </c>
      <c r="F392" s="6">
        <f>'Adj Close Prices'!F393/'Adj Close Prices'!F392-1</f>
        <v>-2.106149957876724E-4</v>
      </c>
      <c r="G392" s="6">
        <f>'Adj Close Prices'!G393/'Adj Close Prices'!G392-1</f>
        <v>-3.8639660063185532E-3</v>
      </c>
    </row>
    <row r="393" spans="1:7" x14ac:dyDescent="0.45">
      <c r="A393" s="2">
        <f>'Adj Close Prices'!A394</f>
        <v>45644</v>
      </c>
      <c r="B393" s="6">
        <f>'Adj Close Prices'!B394/'Adj Close Prices'!B393-1</f>
        <v>-2.9405840886203349E-2</v>
      </c>
      <c r="C393" s="6">
        <f>'Adj Close Prices'!C394/'Adj Close Prices'!C393-1</f>
        <v>-1.7932489451476741E-2</v>
      </c>
      <c r="D393" s="6">
        <f>'Adj Close Prices'!D394/'Adj Close Prices'!D393-1</f>
        <v>-1.3564839934888773E-2</v>
      </c>
      <c r="E393" s="6">
        <f>'Adj Close Prices'!E394/'Adj Close Prices'!E393-1</f>
        <v>-1.0366530914476146E-2</v>
      </c>
      <c r="F393" s="6">
        <f>'Adj Close Prices'!F394/'Adj Close Prices'!F393-1</f>
        <v>-6.3197809142623296E-4</v>
      </c>
      <c r="G393" s="6">
        <f>'Adj Close Prices'!G394/'Adj Close Prices'!G393-1</f>
        <v>-2.9489637391333146E-2</v>
      </c>
    </row>
    <row r="394" spans="1:7" x14ac:dyDescent="0.45">
      <c r="A394" s="2">
        <f>'Adj Close Prices'!A395</f>
        <v>45645</v>
      </c>
      <c r="B394" s="6">
        <f>'Adj Close Prices'!B395/'Adj Close Prices'!B394-1</f>
        <v>-7.2629176177618771E-4</v>
      </c>
      <c r="C394" s="6">
        <f>'Adj Close Prices'!C395/'Adj Close Prices'!C394-1</f>
        <v>9.6670247046186653E-3</v>
      </c>
      <c r="D394" s="6">
        <f>'Adj Close Prices'!D395/'Adj Close Prices'!D394-1</f>
        <v>1.9251925192519392E-2</v>
      </c>
      <c r="E394" s="6">
        <f>'Adj Close Prices'!E395/'Adj Close Prices'!E394-1</f>
        <v>1.1971567527123028E-2</v>
      </c>
      <c r="F394" s="6">
        <f>'Adj Close Prices'!F395/'Adj Close Prices'!F394-1</f>
        <v>2.1079258010137103E-4</v>
      </c>
      <c r="G394" s="6">
        <f>'Adj Close Prices'!G395/'Adj Close Prices'!G394-1</f>
        <v>-8.6850346635070075E-4</v>
      </c>
    </row>
    <row r="395" spans="1:7" x14ac:dyDescent="0.45">
      <c r="A395" s="2">
        <f>'Adj Close Prices'!A396</f>
        <v>45646</v>
      </c>
      <c r="B395" s="6">
        <f>'Adj Close Prices'!B396/'Adj Close Prices'!B395-1</f>
        <v>1.1075346969854349E-2</v>
      </c>
      <c r="C395" s="6">
        <f>'Adj Close Prices'!C396/'Adj Close Prices'!C395-1</f>
        <v>1.2234042553191493E-2</v>
      </c>
      <c r="D395" s="6">
        <f>'Adj Close Prices'!D396/'Adj Close Prices'!D395-1</f>
        <v>9.7139773340528812E-3</v>
      </c>
      <c r="E395" s="6">
        <f>'Adj Close Prices'!E396/'Adj Close Prices'!E395-1</f>
        <v>1.2199630314232879E-2</v>
      </c>
      <c r="F395" s="6">
        <f>'Adj Close Prices'!F396/'Adj Close Prices'!F395-1</f>
        <v>4.2149631190713244E-4</v>
      </c>
      <c r="G395" s="6">
        <f>'Adj Close Prices'!G396/'Adj Close Prices'!G395-1</f>
        <v>1.0869139110322612E-2</v>
      </c>
    </row>
    <row r="396" spans="1:7" x14ac:dyDescent="0.45">
      <c r="A396" s="2">
        <f>'Adj Close Prices'!A397</f>
        <v>45649</v>
      </c>
      <c r="B396" s="6">
        <f>'Adj Close Prices'!B397/'Adj Close Prices'!B396-1</f>
        <v>7.2570430972511701E-3</v>
      </c>
      <c r="C396" s="6">
        <f>'Adj Close Prices'!C397/'Adj Close Prices'!C396-1</f>
        <v>6.8313189700472954E-3</v>
      </c>
      <c r="D396" s="6">
        <f>'Adj Close Prices'!D397/'Adj Close Prices'!D396-1</f>
        <v>-3.2068412613577291E-3</v>
      </c>
      <c r="E396" s="6">
        <f>'Adj Close Prices'!E397/'Adj Close Prices'!E396-1</f>
        <v>8.0350620891163071E-3</v>
      </c>
      <c r="F396" s="6">
        <f>'Adj Close Prices'!F397/'Adj Close Prices'!F396-1</f>
        <v>0</v>
      </c>
      <c r="G396" s="6">
        <f>'Adj Close Prices'!G397/'Adj Close Prices'!G396-1</f>
        <v>7.2907041835557074E-3</v>
      </c>
    </row>
    <row r="397" spans="1:7" x14ac:dyDescent="0.45">
      <c r="A397" s="2">
        <f>'Adj Close Prices'!A398</f>
        <v>45650</v>
      </c>
      <c r="B397" s="6">
        <f>'Adj Close Prices'!B398/'Adj Close Prices'!B397-1</f>
        <v>1.1248937977909934E-2</v>
      </c>
      <c r="C397" s="6">
        <f>'Adj Close Prices'!C398/'Adj Close Prices'!C397-1</f>
        <v>1.0438413361169019E-2</v>
      </c>
      <c r="D397" s="6">
        <f>'Adj Close Prices'!D398/'Adj Close Prices'!D397-1</f>
        <v>9.65147453083115E-3</v>
      </c>
      <c r="E397" s="6">
        <f>'Adj Close Prices'!E398/'Adj Close Prices'!E397-1</f>
        <v>1.5942028985507228E-2</v>
      </c>
      <c r="F397" s="6">
        <f>'Adj Close Prices'!F398/'Adj Close Prices'!F397-1</f>
        <v>2.1065936380870731E-4</v>
      </c>
      <c r="G397" s="6">
        <f>'Adj Close Prices'!G398/'Adj Close Prices'!G397-1</f>
        <v>1.1042704483368304E-2</v>
      </c>
    </row>
    <row r="398" spans="1:7" x14ac:dyDescent="0.45">
      <c r="A398" s="2">
        <f>'Adj Close Prices'!A399</f>
        <v>45652</v>
      </c>
      <c r="B398" s="6">
        <f>'Adj Close Prices'!B399/'Adj Close Prices'!B398-1</f>
        <v>-4.8729667966118662E-4</v>
      </c>
      <c r="C398" s="6">
        <f>'Adj Close Prices'!C399/'Adj Close Prices'!C398-1</f>
        <v>8.780991735537258E-3</v>
      </c>
      <c r="D398" s="6">
        <f>'Adj Close Prices'!D399/'Adj Close Prices'!D398-1</f>
        <v>-1.5932023366966863E-3</v>
      </c>
      <c r="E398" s="6">
        <f>'Adj Close Prices'!E399/'Adj Close Prices'!E398-1</f>
        <v>5.7061340941513272E-3</v>
      </c>
      <c r="F398" s="6">
        <f>'Adj Close Prices'!F399/'Adj Close Prices'!F398-1</f>
        <v>4.2122999157556684E-4</v>
      </c>
      <c r="G398" s="6">
        <f>'Adj Close Prices'!G399/'Adj Close Prices'!G398-1</f>
        <v>-4.0893701211086597E-4</v>
      </c>
    </row>
    <row r="399" spans="1:7" x14ac:dyDescent="0.45">
      <c r="A399" s="2">
        <f>'Adj Close Prices'!A400</f>
        <v>45653</v>
      </c>
      <c r="B399" s="6">
        <f>'Adj Close Prices'!B400/'Adj Close Prices'!B399-1</f>
        <v>-1.0826622732545532E-2</v>
      </c>
      <c r="C399" s="6">
        <f>'Adj Close Prices'!C400/'Adj Close Prices'!C399-1</f>
        <v>3.5842293906809264E-3</v>
      </c>
      <c r="D399" s="6">
        <f>'Adj Close Prices'!D400/'Adj Close Prices'!D399-1</f>
        <v>1.5957446808509967E-3</v>
      </c>
      <c r="E399" s="6">
        <f>'Adj Close Prices'!E400/'Adj Close Prices'!E399-1</f>
        <v>2.1276595744681437E-3</v>
      </c>
      <c r="F399" s="6">
        <f>'Adj Close Prices'!F400/'Adj Close Prices'!F399-1</f>
        <v>6.3157894736853848E-4</v>
      </c>
      <c r="G399" s="6">
        <f>'Adj Close Prices'!G400/'Adj Close Prices'!G399-1</f>
        <v>-1.1052441541147262E-2</v>
      </c>
    </row>
    <row r="400" spans="1:7" x14ac:dyDescent="0.45">
      <c r="A400" s="2">
        <f>'Adj Close Prices'!A401</f>
        <v>45656</v>
      </c>
      <c r="B400" s="6">
        <f>'Adj Close Prices'!B401/'Adj Close Prices'!B400-1</f>
        <v>-1.0962116963238566E-2</v>
      </c>
      <c r="C400" s="6">
        <f>'Adj Close Prices'!C401/'Adj Close Prices'!C400-1</f>
        <v>-3.5714285714285587E-3</v>
      </c>
      <c r="D400" s="6">
        <f>'Adj Close Prices'!D401/'Adj Close Prices'!D400-1</f>
        <v>7.9660116834838757E-3</v>
      </c>
      <c r="E400" s="6">
        <f>'Adj Close Prices'!E401/'Adj Close Prices'!E400-1</f>
        <v>-6.0155697098372984E-3</v>
      </c>
      <c r="F400" s="6">
        <f>'Adj Close Prices'!F401/'Adj Close Prices'!F400-1</f>
        <v>4.2078687144941895E-4</v>
      </c>
      <c r="G400" s="6">
        <f>'Adj Close Prices'!G401/'Adj Close Prices'!G400-1</f>
        <v>-1.0701993853471592E-2</v>
      </c>
    </row>
    <row r="401" spans="1:7" x14ac:dyDescent="0.45">
      <c r="A401" s="2">
        <f>'Adj Close Prices'!A402</f>
        <v>45657</v>
      </c>
      <c r="B401" s="6">
        <f>'Adj Close Prices'!B402/'Adj Close Prices'!B401-1</f>
        <v>-3.8835618792316673E-3</v>
      </c>
      <c r="C401" s="6">
        <f>'Adj Close Prices'!C402/'Adj Close Prices'!C401-1</f>
        <v>-2.5601638504865187E-3</v>
      </c>
      <c r="D401" s="6">
        <f>'Adj Close Prices'!D402/'Adj Close Prices'!D401-1</f>
        <v>0</v>
      </c>
      <c r="E401" s="6">
        <f>'Adj Close Prices'!E402/'Adj Close Prices'!E401-1</f>
        <v>3.5599857600576712E-4</v>
      </c>
      <c r="F401" s="6">
        <f>'Adj Close Prices'!F402/'Adj Close Prices'!F401-1</f>
        <v>-2.1030494216611739E-4</v>
      </c>
      <c r="G401" s="6">
        <f>'Adj Close Prices'!G402/'Adj Close Prices'!G401-1</f>
        <v>-4.2881690212376311E-3</v>
      </c>
    </row>
    <row r="402" spans="1:7" x14ac:dyDescent="0.45">
      <c r="A402" s="2">
        <f>'Adj Close Prices'!A403</f>
        <v>45659</v>
      </c>
      <c r="B402" s="6">
        <f>'Adj Close Prices'!B403/'Adj Close Prices'!B402-1</f>
        <v>-2.0873585426440799E-3</v>
      </c>
      <c r="C402" s="6">
        <f>'Adj Close Prices'!C403/'Adj Close Prices'!C402-1</f>
        <v>1.4887063655030675E-2</v>
      </c>
      <c r="D402" s="6">
        <f>'Adj Close Prices'!D403/'Adj Close Prices'!D402-1</f>
        <v>-2.6343519494205214E-3</v>
      </c>
      <c r="E402" s="6">
        <f>'Adj Close Prices'!E403/'Adj Close Prices'!E402-1</f>
        <v>6.0498220640567979E-3</v>
      </c>
      <c r="F402" s="6">
        <f>'Adj Close Prices'!F403/'Adj Close Prices'!F402-1</f>
        <v>4.2069835927649457E-4</v>
      </c>
      <c r="G402" s="6">
        <f>'Adj Close Prices'!G403/'Adj Close Prices'!G402-1</f>
        <v>-2.2204766713931345E-3</v>
      </c>
    </row>
    <row r="403" spans="1:7" x14ac:dyDescent="0.45">
      <c r="A403" s="2">
        <f>'Adj Close Prices'!A404</f>
        <v>45660</v>
      </c>
      <c r="B403" s="6">
        <f>'Adj Close Prices'!B404/'Adj Close Prices'!B403-1</f>
        <v>1.2187321728006628E-2</v>
      </c>
      <c r="C403" s="6">
        <f>'Adj Close Prices'!C404/'Adj Close Prices'!C403-1</f>
        <v>-1.5174506828529166E-3</v>
      </c>
      <c r="D403" s="6">
        <f>'Adj Close Prices'!D404/'Adj Close Prices'!D403-1</f>
        <v>1.0565240359217132E-3</v>
      </c>
      <c r="E403" s="6">
        <f>'Adj Close Prices'!E404/'Adj Close Prices'!E403-1</f>
        <v>-9.5507605235231052E-3</v>
      </c>
      <c r="F403" s="6">
        <f>'Adj Close Prices'!F404/'Adj Close Prices'!F403-1</f>
        <v>2.1026072329677348E-4</v>
      </c>
      <c r="G403" s="6">
        <f>'Adj Close Prices'!G404/'Adj Close Prices'!G403-1</f>
        <v>1.2592526957209138E-2</v>
      </c>
    </row>
    <row r="404" spans="1:7" x14ac:dyDescent="0.45">
      <c r="A404" s="2">
        <f>'Adj Close Prices'!A405</f>
        <v>45663</v>
      </c>
      <c r="B404" s="6">
        <f>'Adj Close Prices'!B405/'Adj Close Prices'!B404-1</f>
        <v>6.1996174340757104E-3</v>
      </c>
      <c r="C404" s="6">
        <f>'Adj Close Prices'!C405/'Adj Close Prices'!C404-1</f>
        <v>-2.5329280648428432E-3</v>
      </c>
      <c r="D404" s="6">
        <f>'Adj Close Prices'!D405/'Adj Close Prices'!D404-1</f>
        <v>-4.749340369393118E-3</v>
      </c>
      <c r="E404" s="6">
        <f>'Adj Close Prices'!E405/'Adj Close Prices'!E404-1</f>
        <v>-1.6785714285714293E-2</v>
      </c>
      <c r="F404" s="6">
        <f>'Adj Close Prices'!F405/'Adj Close Prices'!F404-1</f>
        <v>4.2043304603756049E-4</v>
      </c>
      <c r="G404" s="6">
        <f>'Adj Close Prices'!G405/'Adj Close Prices'!G404-1</f>
        <v>5.5381104794982594E-3</v>
      </c>
    </row>
    <row r="405" spans="1:7" x14ac:dyDescent="0.45">
      <c r="A405" s="2">
        <f>'Adj Close Prices'!A406</f>
        <v>45664</v>
      </c>
      <c r="B405" s="6">
        <f>'Adj Close Prices'!B406/'Adj Close Prices'!B405-1</f>
        <v>-1.1253500806246319E-2</v>
      </c>
      <c r="C405" s="6">
        <f>'Adj Close Prices'!C406/'Adj Close Prices'!C405-1</f>
        <v>-2.5393600812595452E-3</v>
      </c>
      <c r="D405" s="6">
        <f>'Adj Close Prices'!D406/'Adj Close Prices'!D405-1</f>
        <v>-4.2417815482501675E-3</v>
      </c>
      <c r="E405" s="6">
        <f>'Adj Close Prices'!E406/'Adj Close Prices'!E405-1</f>
        <v>7.2648020341445907E-3</v>
      </c>
      <c r="F405" s="6">
        <f>'Adj Close Prices'!F406/'Adj Close Prices'!F405-1</f>
        <v>-2.1012817818877316E-4</v>
      </c>
      <c r="G405" s="6">
        <f>'Adj Close Prices'!G406/'Adj Close Prices'!G405-1</f>
        <v>-1.1103914904014189E-2</v>
      </c>
    </row>
    <row r="406" spans="1:7" x14ac:dyDescent="0.45">
      <c r="A406" s="2">
        <f>'Adj Close Prices'!A407</f>
        <v>45665</v>
      </c>
      <c r="B406" s="6">
        <f>'Adj Close Prices'!B407/'Adj Close Prices'!B406-1</f>
        <v>1.0643411385016233E-3</v>
      </c>
      <c r="C406" s="6">
        <f>'Adj Close Prices'!C407/'Adj Close Prices'!C406-1</f>
        <v>1.0183299389001643E-3</v>
      </c>
      <c r="D406" s="6">
        <f>'Adj Close Prices'!D407/'Adj Close Prices'!D406-1</f>
        <v>0</v>
      </c>
      <c r="E406" s="6">
        <f>'Adj Close Prices'!E407/'Adj Close Prices'!E406-1</f>
        <v>3.6062026685890203E-4</v>
      </c>
      <c r="F406" s="6">
        <f>'Adj Close Prices'!F407/'Adj Close Prices'!F406-1</f>
        <v>2.1017234131992524E-4</v>
      </c>
      <c r="G406" s="6">
        <f>'Adj Close Prices'!G407/'Adj Close Prices'!G406-1</f>
        <v>1.5637110722250824E-3</v>
      </c>
    </row>
    <row r="407" spans="1:7" x14ac:dyDescent="0.45">
      <c r="A407" s="2">
        <f>'Adj Close Prices'!A408</f>
        <v>45667</v>
      </c>
      <c r="B407" s="6">
        <f>'Adj Close Prices'!B408/'Adj Close Prices'!B407-1</f>
        <v>-1.497067599547286E-2</v>
      </c>
      <c r="C407" s="6">
        <f>'Adj Close Prices'!C408/'Adj Close Prices'!C407-1</f>
        <v>-5.0864699898270915E-3</v>
      </c>
      <c r="D407" s="6">
        <f>'Adj Close Prices'!D408/'Adj Close Prices'!D407-1</f>
        <v>-5.8572949946751329E-3</v>
      </c>
      <c r="E407" s="6">
        <f>'Adj Close Prices'!E408/'Adj Close Prices'!E407-1</f>
        <v>-1.0814708002883866E-2</v>
      </c>
      <c r="F407" s="6">
        <f>'Adj Close Prices'!F408/'Adj Close Prices'!F407-1</f>
        <v>0</v>
      </c>
      <c r="G407" s="6">
        <f>'Adj Close Prices'!G408/'Adj Close Prices'!G407-1</f>
        <v>-1.541500373420579E-2</v>
      </c>
    </row>
    <row r="408" spans="1:7" x14ac:dyDescent="0.45">
      <c r="A408" s="2">
        <f>'Adj Close Prices'!A409</f>
        <v>45670</v>
      </c>
      <c r="B408" s="6">
        <f>'Adj Close Prices'!B409/'Adj Close Prices'!B408-1</f>
        <v>1.4623700840863396E-3</v>
      </c>
      <c r="C408" s="6">
        <f>'Adj Close Prices'!C409/'Adj Close Prices'!C408-1</f>
        <v>5.6237218813908196E-3</v>
      </c>
      <c r="D408" s="6">
        <f>'Adj Close Prices'!D409/'Adj Close Prices'!D408-1</f>
        <v>6.4274236743437907E-3</v>
      </c>
      <c r="E408" s="6">
        <f>'Adj Close Prices'!E409/'Adj Close Prices'!E408-1</f>
        <v>1.3119533527696792E-2</v>
      </c>
      <c r="F408" s="6">
        <f>'Adj Close Prices'!F409/'Adj Close Prices'!F408-1</f>
        <v>2.1012817818855112E-4</v>
      </c>
      <c r="G408" s="6">
        <f>'Adj Close Prices'!G409/'Adj Close Prices'!G408-1</f>
        <v>1.5754166359192023E-3</v>
      </c>
    </row>
    <row r="409" spans="1:7" x14ac:dyDescent="0.45">
      <c r="A409" s="2">
        <f>'Adj Close Prices'!A410</f>
        <v>45671</v>
      </c>
      <c r="B409" s="6">
        <f>'Adj Close Prices'!B410/'Adj Close Prices'!B409-1</f>
        <v>1.3906996957844253E-3</v>
      </c>
      <c r="C409" s="6">
        <f>'Adj Close Prices'!C410/'Adj Close Prices'!C409-1</f>
        <v>1.4743263853584043E-2</v>
      </c>
      <c r="D409" s="6">
        <f>'Adj Close Prices'!D410/'Adj Close Prices'!D409-1</f>
        <v>1.3304949441192093E-2</v>
      </c>
      <c r="E409" s="6">
        <f>'Adj Close Prices'!E410/'Adj Close Prices'!E409-1</f>
        <v>1.0431654676259061E-2</v>
      </c>
      <c r="F409" s="6">
        <f>'Adj Close Prices'!F410/'Adj Close Prices'!F409-1</f>
        <v>0</v>
      </c>
      <c r="G409" s="6">
        <f>'Adj Close Prices'!G410/'Adj Close Prices'!G409-1</f>
        <v>1.1462918572155978E-3</v>
      </c>
    </row>
    <row r="410" spans="1:7" x14ac:dyDescent="0.45">
      <c r="A410" s="2">
        <f>'Adj Close Prices'!A411</f>
        <v>45672</v>
      </c>
      <c r="B410" s="6">
        <f>'Adj Close Prices'!B411/'Adj Close Prices'!B410-1</f>
        <v>1.8175505598472474E-2</v>
      </c>
      <c r="C410" s="6">
        <f>'Adj Close Prices'!C411/'Adj Close Prices'!C410-1</f>
        <v>1.0521042084168375E-2</v>
      </c>
      <c r="D410" s="6">
        <f>'Adj Close Prices'!D411/'Adj Close Prices'!D410-1</f>
        <v>1.0504201680672232E-3</v>
      </c>
      <c r="E410" s="6">
        <f>'Adj Close Prices'!E411/'Adj Close Prices'!E410-1</f>
        <v>-3.2039871840512379E-3</v>
      </c>
      <c r="F410" s="6">
        <f>'Adj Close Prices'!F411/'Adj Close Prices'!F410-1</f>
        <v>8.4033613445377853E-4</v>
      </c>
      <c r="G410" s="6">
        <f>'Adj Close Prices'!G411/'Adj Close Prices'!G410-1</f>
        <v>1.8316247069092517E-2</v>
      </c>
    </row>
    <row r="411" spans="1:7" x14ac:dyDescent="0.45">
      <c r="A411" s="2">
        <f>'Adj Close Prices'!A412</f>
        <v>45673</v>
      </c>
      <c r="B411" s="6">
        <f>'Adj Close Prices'!B412/'Adj Close Prices'!B411-1</f>
        <v>-1.6879219804951662E-3</v>
      </c>
      <c r="C411" s="6">
        <f>'Adj Close Prices'!C412/'Adj Close Prices'!C411-1</f>
        <v>1.4873574615765772E-2</v>
      </c>
      <c r="D411" s="6">
        <f>'Adj Close Prices'!D412/'Adj Close Prices'!D411-1</f>
        <v>1.2067156348373631E-2</v>
      </c>
      <c r="E411" s="6">
        <f>'Adj Close Prices'!E412/'Adj Close Prices'!E411-1</f>
        <v>1.464285714285718E-2</v>
      </c>
      <c r="F411" s="6">
        <f>'Adj Close Prices'!F412/'Adj Close Prices'!F411-1</f>
        <v>2.099076406381073E-4</v>
      </c>
      <c r="G411" s="6">
        <f>'Adj Close Prices'!G412/'Adj Close Prices'!G411-1</f>
        <v>-2.1126334471723851E-3</v>
      </c>
    </row>
    <row r="412" spans="1:7" x14ac:dyDescent="0.45">
      <c r="A412" s="2">
        <f>'Adj Close Prices'!A413</f>
        <v>45674</v>
      </c>
      <c r="B412" s="6">
        <f>'Adj Close Prices'!B413/'Adj Close Prices'!B412-1</f>
        <v>9.4785920448141603E-3</v>
      </c>
      <c r="C412" s="6">
        <f>'Adj Close Prices'!C413/'Adj Close Prices'!C412-1</f>
        <v>7.816316560820713E-3</v>
      </c>
      <c r="D412" s="6">
        <f>'Adj Close Prices'!D413/'Adj Close Prices'!D412-1</f>
        <v>0</v>
      </c>
      <c r="E412" s="6">
        <f>'Adj Close Prices'!E413/'Adj Close Prices'!E412-1</f>
        <v>-2.4639211545230966E-3</v>
      </c>
      <c r="F412" s="6">
        <f>'Adj Close Prices'!F413/'Adj Close Prices'!F412-1</f>
        <v>2.0986358866736943E-4</v>
      </c>
      <c r="G412" s="6">
        <f>'Adj Close Prices'!G413/'Adj Close Prices'!G412-1</f>
        <v>9.9876207398923444E-3</v>
      </c>
    </row>
    <row r="413" spans="1:7" x14ac:dyDescent="0.45">
      <c r="A413" s="2">
        <f>'Adj Close Prices'!A414</f>
        <v>45678</v>
      </c>
      <c r="B413" s="6">
        <f>'Adj Close Prices'!B414/'Adj Close Prices'!B413-1</f>
        <v>9.068146443797831E-3</v>
      </c>
      <c r="C413" s="6">
        <f>'Adj Close Prices'!C414/'Adj Close Prices'!C413-1</f>
        <v>8.2404265632574081E-3</v>
      </c>
      <c r="D413" s="6">
        <f>'Adj Close Prices'!D414/'Adj Close Prices'!D413-1</f>
        <v>1.658890616899944E-2</v>
      </c>
      <c r="E413" s="6">
        <f>'Adj Close Prices'!E414/'Adj Close Prices'!E413-1</f>
        <v>-2.4700070571630484E-3</v>
      </c>
      <c r="F413" s="6">
        <f>'Adj Close Prices'!F414/'Adj Close Prices'!F413-1</f>
        <v>2.098195551827331E-4</v>
      </c>
      <c r="G413" s="6">
        <f>'Adj Close Prices'!G414/'Adj Close Prices'!G413-1</f>
        <v>8.7682289278179226E-3</v>
      </c>
    </row>
    <row r="414" spans="1:7" x14ac:dyDescent="0.45">
      <c r="A414" s="2">
        <f>'Adj Close Prices'!A415</f>
        <v>45679</v>
      </c>
      <c r="B414" s="6">
        <f>'Adj Close Prices'!B415/'Adj Close Prices'!B414-1</f>
        <v>5.935215612634881E-3</v>
      </c>
      <c r="C414" s="6">
        <f>'Adj Close Prices'!C415/'Adj Close Prices'!C414-1</f>
        <v>4.8076923076911804E-4</v>
      </c>
      <c r="D414" s="6">
        <f>'Adj Close Prices'!D415/'Adj Close Prices'!D414-1</f>
        <v>-5.6093829678734997E-3</v>
      </c>
      <c r="E414" s="6">
        <f>'Adj Close Prices'!E415/'Adj Close Prices'!E414-1</f>
        <v>-7.0746374248320532E-4</v>
      </c>
      <c r="F414" s="6">
        <f>'Adj Close Prices'!F415/'Adj Close Prices'!F414-1</f>
        <v>0</v>
      </c>
      <c r="G414" s="6">
        <f>'Adj Close Prices'!G415/'Adj Close Prices'!G414-1</f>
        <v>6.137971278989296E-3</v>
      </c>
    </row>
    <row r="415" spans="1:7" x14ac:dyDescent="0.45">
      <c r="A415" s="2">
        <f>'Adj Close Prices'!A416</f>
        <v>45680</v>
      </c>
      <c r="B415" s="6">
        <f>'Adj Close Prices'!B416/'Adj Close Prices'!B415-1</f>
        <v>5.5835194506483887E-3</v>
      </c>
      <c r="C415" s="6">
        <f>'Adj Close Prices'!C416/'Adj Close Prices'!C415-1</f>
        <v>0</v>
      </c>
      <c r="D415" s="6">
        <f>'Adj Close Prices'!D416/'Adj Close Prices'!D415-1</f>
        <v>6.1538461538461764E-3</v>
      </c>
      <c r="E415" s="6">
        <f>'Adj Close Prices'!E416/'Adj Close Prices'!E415-1</f>
        <v>7.0796460176991705E-3</v>
      </c>
      <c r="F415" s="6">
        <f>'Adj Close Prices'!F416/'Adj Close Prices'!F415-1</f>
        <v>0</v>
      </c>
      <c r="G415" s="6">
        <f>'Adj Close Prices'!G416/'Adj Close Prices'!G415-1</f>
        <v>5.3168067613484915E-3</v>
      </c>
    </row>
    <row r="416" spans="1:7" x14ac:dyDescent="0.45">
      <c r="A416" s="2">
        <f>'Adj Close Prices'!A417</f>
        <v>45681</v>
      </c>
      <c r="B416" s="6">
        <f>'Adj Close Prices'!B417/'Adj Close Prices'!B416-1</f>
        <v>-2.9502925430529015E-3</v>
      </c>
      <c r="C416" s="6">
        <f>'Adj Close Prices'!C417/'Adj Close Prices'!C416-1</f>
        <v>1.922152811148603E-3</v>
      </c>
      <c r="D416" s="6">
        <f>'Adj Close Prices'!D417/'Adj Close Prices'!D416-1</f>
        <v>1.0193679918450993E-3</v>
      </c>
      <c r="E416" s="6">
        <f>'Adj Close Prices'!E417/'Adj Close Prices'!E416-1</f>
        <v>-3.5149384885757584E-4</v>
      </c>
      <c r="F416" s="6">
        <f>'Adj Close Prices'!F417/'Adj Close Prices'!F416-1</f>
        <v>4.1955108034397171E-4</v>
      </c>
      <c r="G416" s="6">
        <f>'Adj Close Prices'!G417/'Adj Close Prices'!G416-1</f>
        <v>-2.8551723236233117E-3</v>
      </c>
    </row>
    <row r="417" spans="1:7" x14ac:dyDescent="0.45">
      <c r="A417" s="2">
        <f>'Adj Close Prices'!A418</f>
        <v>45684</v>
      </c>
      <c r="B417" s="6">
        <f>'Adj Close Prices'!B418/'Adj Close Prices'!B417-1</f>
        <v>-1.3947302801097128E-2</v>
      </c>
      <c r="C417" s="6">
        <f>'Adj Close Prices'!C418/'Adj Close Prices'!C417-1</f>
        <v>-5.2757793764989236E-3</v>
      </c>
      <c r="D417" s="6">
        <f>'Adj Close Prices'!D418/'Adj Close Prices'!D417-1</f>
        <v>0</v>
      </c>
      <c r="E417" s="6">
        <f>'Adj Close Prices'!E418/'Adj Close Prices'!E417-1</f>
        <v>9.1420534458508396E-3</v>
      </c>
      <c r="F417" s="6">
        <f>'Adj Close Prices'!F418/'Adj Close Prices'!F417-1</f>
        <v>4.1937513105483326E-4</v>
      </c>
      <c r="G417" s="6">
        <f>'Adj Close Prices'!G418/'Adj Close Prices'!G417-1</f>
        <v>-1.4580618725670957E-2</v>
      </c>
    </row>
    <row r="418" spans="1:7" x14ac:dyDescent="0.45">
      <c r="A418" s="2">
        <f>'Adj Close Prices'!A419</f>
        <v>45685</v>
      </c>
      <c r="B418" s="6">
        <f>'Adj Close Prices'!B419/'Adj Close Prices'!B418-1</f>
        <v>8.4968642524783089E-3</v>
      </c>
      <c r="C418" s="6">
        <f>'Adj Close Prices'!C419/'Adj Close Prices'!C418-1</f>
        <v>1.0125361620057838E-2</v>
      </c>
      <c r="D418" s="6">
        <f>'Adj Close Prices'!D419/'Adj Close Prices'!D418-1</f>
        <v>3.054989816700493E-3</v>
      </c>
      <c r="E418" s="6">
        <f>'Adj Close Prices'!E419/'Adj Close Prices'!E418-1</f>
        <v>-3.4843205574908165E-4</v>
      </c>
      <c r="F418" s="6">
        <f>'Adj Close Prices'!F419/'Adj Close Prices'!F418-1</f>
        <v>4.191993292810281E-4</v>
      </c>
      <c r="G418" s="6">
        <f>'Adj Close Prices'!G419/'Adj Close Prices'!G418-1</f>
        <v>9.2177855692257005E-3</v>
      </c>
    </row>
    <row r="419" spans="1:7" x14ac:dyDescent="0.45">
      <c r="A419" s="2">
        <f>'Adj Close Prices'!A420</f>
        <v>45686</v>
      </c>
      <c r="B419" s="6">
        <f>'Adj Close Prices'!B420/'Adj Close Prices'!B419-1</f>
        <v>-4.2460715479774036E-3</v>
      </c>
      <c r="C419" s="6">
        <f>'Adj Close Prices'!C420/'Adj Close Prices'!C419-1</f>
        <v>-1.5274463007159955E-2</v>
      </c>
      <c r="D419" s="6">
        <f>'Adj Close Prices'!D420/'Adj Close Prices'!D419-1</f>
        <v>-7.6142131979695105E-3</v>
      </c>
      <c r="E419" s="6">
        <f>'Adj Close Prices'!E420/'Adj Close Prices'!E419-1</f>
        <v>-3.8340885325898189E-3</v>
      </c>
      <c r="F419" s="6">
        <f>'Adj Close Prices'!F420/'Adj Close Prices'!F419-1</f>
        <v>0</v>
      </c>
      <c r="G419" s="6">
        <f>'Adj Close Prices'!G420/'Adj Close Prices'!G419-1</f>
        <v>-4.6788656676077789E-3</v>
      </c>
    </row>
    <row r="420" spans="1:7" x14ac:dyDescent="0.45">
      <c r="A420" s="2">
        <f>'Adj Close Prices'!A421</f>
        <v>45687</v>
      </c>
      <c r="B420" s="6">
        <f>'Adj Close Prices'!B421/'Adj Close Prices'!B420-1</f>
        <v>5.002853977100985E-3</v>
      </c>
      <c r="C420" s="6">
        <f>'Adj Close Prices'!C421/'Adj Close Prices'!C420-1</f>
        <v>1.0179350460494563E-2</v>
      </c>
      <c r="D420" s="6">
        <f>'Adj Close Prices'!D421/'Adj Close Prices'!D420-1</f>
        <v>1.5345268542199531E-2</v>
      </c>
      <c r="E420" s="6">
        <f>'Adj Close Prices'!E421/'Adj Close Prices'!E420-1</f>
        <v>6.6480055983204611E-3</v>
      </c>
      <c r="F420" s="6">
        <f>'Adj Close Prices'!F421/'Adj Close Prices'!F420-1</f>
        <v>4.1902367483759306E-4</v>
      </c>
      <c r="G420" s="6">
        <f>'Adj Close Prices'!G421/'Adj Close Prices'!G420-1</f>
        <v>5.2754283594842466E-3</v>
      </c>
    </row>
    <row r="421" spans="1:7" x14ac:dyDescent="0.45">
      <c r="A421" s="2">
        <f>'Adj Close Prices'!A422</f>
        <v>45688</v>
      </c>
      <c r="B421" s="6">
        <f>'Adj Close Prices'!B422/'Adj Close Prices'!B421-1</f>
        <v>-5.3955632767607176E-3</v>
      </c>
      <c r="C421" s="6">
        <f>'Adj Close Prices'!C422/'Adj Close Prices'!C421-1</f>
        <v>1.0556621880998041E-2</v>
      </c>
      <c r="D421" s="6">
        <f>'Adj Close Prices'!D422/'Adj Close Prices'!D421-1</f>
        <v>4.5340050377833396E-3</v>
      </c>
      <c r="E421" s="6">
        <f>'Adj Close Prices'!E422/'Adj Close Prices'!E421-1</f>
        <v>1.4946124435175623E-2</v>
      </c>
      <c r="F421" s="6">
        <f>'Adj Close Prices'!F422/'Adj Close Prices'!F421-1</f>
        <v>2.0942408376956045E-4</v>
      </c>
      <c r="G421" s="6">
        <f>'Adj Close Prices'!G422/'Adj Close Prices'!G421-1</f>
        <v>-5.0500891095305311E-3</v>
      </c>
    </row>
    <row r="422" spans="1:7" x14ac:dyDescent="0.45">
      <c r="A422" s="2">
        <f>'Adj Close Prices'!A423</f>
        <v>45691</v>
      </c>
      <c r="B422" s="6">
        <f>'Adj Close Prices'!B423/'Adj Close Prices'!B422-1</f>
        <v>-6.5669034782753766E-3</v>
      </c>
      <c r="C422" s="6">
        <f>'Adj Close Prices'!C423/'Adj Close Prices'!C422-1</f>
        <v>5.6980056980058258E-3</v>
      </c>
      <c r="D422" s="6">
        <f>'Adj Close Prices'!D423/'Adj Close Prices'!D422-1</f>
        <v>-5.0150451354069592E-4</v>
      </c>
      <c r="E422" s="6">
        <f>'Adj Close Prices'!E423/'Adj Close Prices'!E422-1</f>
        <v>4.452054794520599E-3</v>
      </c>
      <c r="F422" s="6">
        <f>'Adj Close Prices'!F423/'Adj Close Prices'!F422-1</f>
        <v>2.0938023450600696E-4</v>
      </c>
      <c r="G422" s="6">
        <f>'Adj Close Prices'!G423/'Adj Close Prices'!G422-1</f>
        <v>-7.6053055034998041E-3</v>
      </c>
    </row>
    <row r="423" spans="1:7" x14ac:dyDescent="0.45">
      <c r="A423" s="2">
        <f>'Adj Close Prices'!A424</f>
        <v>45692</v>
      </c>
      <c r="B423" s="6">
        <f>'Adj Close Prices'!B424/'Adj Close Prices'!B423-1</f>
        <v>6.6610312764159296E-3</v>
      </c>
      <c r="C423" s="6">
        <f>'Adj Close Prices'!C424/'Adj Close Prices'!C423-1</f>
        <v>4.7214353163371747E-4</v>
      </c>
      <c r="D423" s="6">
        <f>'Adj Close Prices'!D424/'Adj Close Prices'!D423-1</f>
        <v>2.0070245860510649E-3</v>
      </c>
      <c r="E423" s="6">
        <f>'Adj Close Prices'!E424/'Adj Close Prices'!E423-1</f>
        <v>-3.7504261847937093E-3</v>
      </c>
      <c r="F423" s="6">
        <f>'Adj Close Prices'!F424/'Adj Close Prices'!F423-1</f>
        <v>2.0933640360043526E-4</v>
      </c>
      <c r="G423" s="6">
        <f>'Adj Close Prices'!G424/'Adj Close Prices'!G423-1</f>
        <v>7.2248597900104183E-3</v>
      </c>
    </row>
    <row r="424" spans="1:7" x14ac:dyDescent="0.45">
      <c r="A424" s="2">
        <f>'Adj Close Prices'!A425</f>
        <v>45693</v>
      </c>
      <c r="B424" s="6">
        <f>'Adj Close Prices'!B425/'Adj Close Prices'!B424-1</f>
        <v>4.1146043262123566E-3</v>
      </c>
      <c r="C424" s="6">
        <f>'Adj Close Prices'!C425/'Adj Close Prices'!C424-1</f>
        <v>-2.9731005191128035E-2</v>
      </c>
      <c r="D424" s="6">
        <f>'Adj Close Prices'!D425/'Adj Close Prices'!D424-1</f>
        <v>-3.0045067601401909E-3</v>
      </c>
      <c r="E424" s="6">
        <f>'Adj Close Prices'!E425/'Adj Close Prices'!E424-1</f>
        <v>-2.7378507871320679E-3</v>
      </c>
      <c r="F424" s="6">
        <f>'Adj Close Prices'!F425/'Adj Close Prices'!F424-1</f>
        <v>2.0929259104218723E-4</v>
      </c>
      <c r="G424" s="6">
        <f>'Adj Close Prices'!G425/'Adj Close Prices'!G424-1</f>
        <v>3.9053377918445431E-3</v>
      </c>
    </row>
    <row r="425" spans="1:7" x14ac:dyDescent="0.45">
      <c r="A425" s="2">
        <f>'Adj Close Prices'!A426</f>
        <v>45694</v>
      </c>
      <c r="B425" s="6">
        <f>'Adj Close Prices'!B426/'Adj Close Prices'!B425-1</f>
        <v>3.6628811319809884E-3</v>
      </c>
      <c r="C425" s="6">
        <f>'Adj Close Prices'!C426/'Adj Close Prices'!C425-1</f>
        <v>-1.6050583657587492E-2</v>
      </c>
      <c r="D425" s="6">
        <f>'Adj Close Prices'!D426/'Adj Close Prices'!D425-1</f>
        <v>-9.54294324460081E-3</v>
      </c>
      <c r="E425" s="6">
        <f>'Adj Close Prices'!E426/'Adj Close Prices'!E425-1</f>
        <v>-3.0885380919698502E-3</v>
      </c>
      <c r="F425" s="6">
        <f>'Adj Close Prices'!F426/'Adj Close Prices'!F425-1</f>
        <v>0</v>
      </c>
      <c r="G425" s="6">
        <f>'Adj Close Prices'!G426/'Adj Close Prices'!G425-1</f>
        <v>3.6443305006872428E-3</v>
      </c>
    </row>
    <row r="426" spans="1:7" x14ac:dyDescent="0.45">
      <c r="A426" s="2">
        <f>'Adj Close Prices'!A427</f>
        <v>45695</v>
      </c>
      <c r="B426" s="6">
        <f>'Adj Close Prices'!B427/'Adj Close Prices'!B426-1</f>
        <v>-9.1821090521263526E-3</v>
      </c>
      <c r="C426" s="6">
        <f>'Adj Close Prices'!C427/'Adj Close Prices'!C426-1</f>
        <v>4.9431537320798746E-4</v>
      </c>
      <c r="D426" s="6">
        <f>'Adj Close Prices'!D427/'Adj Close Prices'!D426-1</f>
        <v>5.0709939148085859E-4</v>
      </c>
      <c r="E426" s="6">
        <f>'Adj Close Prices'!E427/'Adj Close Prices'!E426-1</f>
        <v>-4.8192771084337727E-3</v>
      </c>
      <c r="F426" s="6">
        <f>'Adj Close Prices'!F427/'Adj Close Prices'!F426-1</f>
        <v>-2.0924879681938346E-4</v>
      </c>
      <c r="G426" s="6">
        <f>'Adj Close Prices'!G427/'Adj Close Prices'!G426-1</f>
        <v>-9.4648528164431589E-3</v>
      </c>
    </row>
    <row r="427" spans="1:7" x14ac:dyDescent="0.45">
      <c r="A427" s="2">
        <f>'Adj Close Prices'!A428</f>
        <v>45698</v>
      </c>
      <c r="B427" s="6">
        <f>'Adj Close Prices'!B428/'Adj Close Prices'!B427-1</f>
        <v>6.5425433506567376E-3</v>
      </c>
      <c r="C427" s="6">
        <f>'Adj Close Prices'!C428/'Adj Close Prices'!C427-1</f>
        <v>5.4347826086957873E-3</v>
      </c>
      <c r="D427" s="6">
        <f>'Adj Close Prices'!D428/'Adj Close Prices'!D427-1</f>
        <v>-3.0410542321337442E-3</v>
      </c>
      <c r="E427" s="6">
        <f>'Adj Close Prices'!E428/'Adj Close Prices'!E427-1</f>
        <v>-2.421307506053294E-3</v>
      </c>
      <c r="F427" s="6">
        <f>'Adj Close Prices'!F428/'Adj Close Prices'!F427-1</f>
        <v>4.1858518208437445E-4</v>
      </c>
      <c r="G427" s="6">
        <f>'Adj Close Prices'!G428/'Adj Close Prices'!G427-1</f>
        <v>6.7159200661137675E-3</v>
      </c>
    </row>
    <row r="428" spans="1:7" x14ac:dyDescent="0.45">
      <c r="A428" s="2">
        <f>'Adj Close Prices'!A429</f>
        <v>45699</v>
      </c>
      <c r="B428" s="6">
        <f>'Adj Close Prices'!B429/'Adj Close Prices'!B428-1</f>
        <v>7.8534906259375425E-4</v>
      </c>
      <c r="C428" s="6">
        <f>'Adj Close Prices'!C429/'Adj Close Prices'!C428-1</f>
        <v>-6.8796068796068699E-3</v>
      </c>
      <c r="D428" s="6">
        <f>'Adj Close Prices'!D429/'Adj Close Prices'!D428-1</f>
        <v>-5.0838840874434243E-4</v>
      </c>
      <c r="E428" s="6">
        <f>'Adj Close Prices'!E429/'Adj Close Prices'!E428-1</f>
        <v>7.2815533980583602E-3</v>
      </c>
      <c r="F428" s="6">
        <f>'Adj Close Prices'!F429/'Adj Close Prices'!F428-1</f>
        <v>0</v>
      </c>
      <c r="G428" s="6">
        <f>'Adj Close Prices'!G429/'Adj Close Prices'!G428-1</f>
        <v>3.3627574611183597E-4</v>
      </c>
    </row>
    <row r="429" spans="1:7" x14ac:dyDescent="0.45">
      <c r="A429" s="2">
        <f>'Adj Close Prices'!A430</f>
        <v>45700</v>
      </c>
      <c r="B429" s="6">
        <f>'Adj Close Prices'!B430/'Adj Close Prices'!B429-1</f>
        <v>-3.3225919556540973E-3</v>
      </c>
      <c r="C429" s="6">
        <f>'Adj Close Prices'!C430/'Adj Close Prices'!C429-1</f>
        <v>8.9064819396338368E-3</v>
      </c>
      <c r="D429" s="6">
        <f>'Adj Close Prices'!D430/'Adj Close Prices'!D429-1</f>
        <v>6.1037639877925542E-3</v>
      </c>
      <c r="E429" s="6">
        <f>'Adj Close Prices'!E430/'Adj Close Prices'!E429-1</f>
        <v>1.0327022375215211E-2</v>
      </c>
      <c r="F429" s="6">
        <f>'Adj Close Prices'!F430/'Adj Close Prices'!F429-1</f>
        <v>-4.1841004184095532E-4</v>
      </c>
      <c r="G429" s="6">
        <f>'Adj Close Prices'!G430/'Adj Close Prices'!G429-1</f>
        <v>-2.7206108933194306E-3</v>
      </c>
    </row>
    <row r="430" spans="1:7" x14ac:dyDescent="0.45">
      <c r="A430" s="2">
        <f>'Adj Close Prices'!A431</f>
        <v>45701</v>
      </c>
      <c r="B430" s="6">
        <f>'Adj Close Prices'!B431/'Adj Close Prices'!B430-1</f>
        <v>1.065433711930841E-2</v>
      </c>
      <c r="C430" s="6">
        <f>'Adj Close Prices'!C431/'Adj Close Prices'!C430-1</f>
        <v>7.356547327121099E-3</v>
      </c>
      <c r="D430" s="6">
        <f>'Adj Close Prices'!D431/'Adj Close Prices'!D430-1</f>
        <v>1.2133468149646109E-2</v>
      </c>
      <c r="E430" s="6">
        <f>'Adj Close Prices'!E431/'Adj Close Prices'!E430-1</f>
        <v>4.0885860306643096E-3</v>
      </c>
      <c r="F430" s="6">
        <f>'Adj Close Prices'!F431/'Adj Close Prices'!F430-1</f>
        <v>8.3717036416919299E-4</v>
      </c>
      <c r="G430" s="6">
        <f>'Adj Close Prices'!G431/'Adj Close Prices'!G430-1</f>
        <v>1.0426339809450846E-2</v>
      </c>
    </row>
    <row r="431" spans="1:7" x14ac:dyDescent="0.45">
      <c r="A431" s="2">
        <f>'Adj Close Prices'!A432</f>
        <v>45702</v>
      </c>
      <c r="B431" s="6">
        <f>'Adj Close Prices'!B432/'Adj Close Prices'!B431-1</f>
        <v>1.6575501408988558E-5</v>
      </c>
      <c r="C431" s="6">
        <f>'Adj Close Prices'!C432/'Adj Close Prices'!C431-1</f>
        <v>8.2765335929892991E-3</v>
      </c>
      <c r="D431" s="6">
        <f>'Adj Close Prices'!D432/'Adj Close Prices'!D431-1</f>
        <v>2.1978021978022122E-2</v>
      </c>
      <c r="E431" s="6">
        <f>'Adj Close Prices'!E432/'Adj Close Prices'!E431-1</f>
        <v>0</v>
      </c>
      <c r="F431" s="6">
        <f>'Adj Close Prices'!F432/'Adj Close Prices'!F431-1</f>
        <v>6.2735257214563411E-4</v>
      </c>
      <c r="G431" s="6">
        <f>'Adj Close Prices'!G432/'Adj Close Prices'!G431-1</f>
        <v>-7.5223872786578383E-5</v>
      </c>
    </row>
    <row r="432" spans="1:7" x14ac:dyDescent="0.45">
      <c r="A432" s="2">
        <f>'Adj Close Prices'!A433</f>
        <v>45706</v>
      </c>
      <c r="B432" s="6">
        <f>'Adj Close Prices'!B433/'Adj Close Prices'!B432-1</f>
        <v>2.9338151199218565E-3</v>
      </c>
      <c r="C432" s="6">
        <f>'Adj Close Prices'!C433/'Adj Close Prices'!C432-1</f>
        <v>3.3800096571705573E-3</v>
      </c>
      <c r="D432" s="6">
        <f>'Adj Close Prices'!D433/'Adj Close Prices'!D432-1</f>
        <v>3.910068426197455E-3</v>
      </c>
      <c r="E432" s="6">
        <f>'Adj Close Prices'!E433/'Adj Close Prices'!E432-1</f>
        <v>1.4930437733288171E-2</v>
      </c>
      <c r="F432" s="6">
        <f>'Adj Close Prices'!F433/'Adj Close Prices'!F432-1</f>
        <v>-2.089864158829613E-4</v>
      </c>
      <c r="G432" s="6">
        <f>'Adj Close Prices'!G433/'Adj Close Prices'!G432-1</f>
        <v>2.4449597849089955E-3</v>
      </c>
    </row>
    <row r="433" spans="1:7" x14ac:dyDescent="0.45">
      <c r="A433" s="2">
        <f>'Adj Close Prices'!A434</f>
        <v>45707</v>
      </c>
      <c r="B433" s="6">
        <f>'Adj Close Prices'!B434/'Adj Close Prices'!B433-1</f>
        <v>2.2311099358760522E-3</v>
      </c>
      <c r="C433" s="6">
        <f>'Adj Close Prices'!C434/'Adj Close Prices'!C433-1</f>
        <v>5.2935514918190929E-3</v>
      </c>
      <c r="D433" s="6">
        <f>'Adj Close Prices'!D434/'Adj Close Prices'!D433-1</f>
        <v>2.9211295034081708E-3</v>
      </c>
      <c r="E433" s="6">
        <f>'Adj Close Prices'!E434/'Adj Close Prices'!E433-1</f>
        <v>3.3433634236041954E-3</v>
      </c>
      <c r="F433" s="6">
        <f>'Adj Close Prices'!F434/'Adj Close Prices'!F433-1</f>
        <v>6.2709030100327467E-4</v>
      </c>
      <c r="G433" s="6">
        <f>'Adj Close Prices'!G434/'Adj Close Prices'!G433-1</f>
        <v>2.3770019756688132E-3</v>
      </c>
    </row>
    <row r="434" spans="1:7" x14ac:dyDescent="0.45">
      <c r="A434" s="2">
        <f>'Adj Close Prices'!A435</f>
        <v>45708</v>
      </c>
      <c r="B434" s="6">
        <f>'Adj Close Prices'!B435/'Adj Close Prices'!B434-1</f>
        <v>-3.8751381033258481E-3</v>
      </c>
      <c r="C434" s="6">
        <f>'Adj Close Prices'!C435/'Adj Close Prices'!C434-1</f>
        <v>-3.3508855911920099E-3</v>
      </c>
      <c r="D434" s="6">
        <f>'Adj Close Prices'!D435/'Adj Close Prices'!D434-1</f>
        <v>-2.4271844660194164E-3</v>
      </c>
      <c r="E434" s="6">
        <f>'Adj Close Prices'!E435/'Adj Close Prices'!E434-1</f>
        <v>-1.3328890369878055E-3</v>
      </c>
      <c r="F434" s="6">
        <f>'Adj Close Prices'!F435/'Adj Close Prices'!F434-1</f>
        <v>0</v>
      </c>
      <c r="G434" s="6">
        <f>'Adj Close Prices'!G435/'Adj Close Prices'!G434-1</f>
        <v>-4.3342111345119338E-3</v>
      </c>
    </row>
    <row r="435" spans="1:7" x14ac:dyDescent="0.45">
      <c r="A435" s="2">
        <f>'Adj Close Prices'!A436</f>
        <v>45709</v>
      </c>
      <c r="B435" s="6">
        <f>'Adj Close Prices'!B436/'Adj Close Prices'!B435-1</f>
        <v>-1.7265925043040808E-2</v>
      </c>
      <c r="C435" s="6">
        <f>'Adj Close Prices'!C436/'Adj Close Prices'!C435-1</f>
        <v>-4.8030739673391443E-3</v>
      </c>
      <c r="D435" s="6">
        <f>'Adj Close Prices'!D436/'Adj Close Prices'!D435-1</f>
        <v>1.7518248175182549E-2</v>
      </c>
      <c r="E435" s="6">
        <f>'Adj Close Prices'!E436/'Adj Close Prices'!E435-1</f>
        <v>-5.6723390056723222E-3</v>
      </c>
      <c r="F435" s="6">
        <f>'Adj Close Prices'!F436/'Adj Close Prices'!F435-1</f>
        <v>8.3559640693553483E-4</v>
      </c>
      <c r="G435" s="6">
        <f>'Adj Close Prices'!G436/'Adj Close Prices'!G435-1</f>
        <v>-1.7064132302194945E-2</v>
      </c>
    </row>
    <row r="436" spans="1:7" x14ac:dyDescent="0.45">
      <c r="A436" s="2">
        <f>'Adj Close Prices'!A437</f>
        <v>45712</v>
      </c>
      <c r="B436" s="6">
        <f>'Adj Close Prices'!B437/'Adj Close Prices'!B436-1</f>
        <v>-4.7502737303123377E-3</v>
      </c>
      <c r="C436" s="6">
        <f>'Adj Close Prices'!C437/'Adj Close Prices'!C436-1</f>
        <v>-2.8957528957528345E-3</v>
      </c>
      <c r="D436" s="6">
        <f>'Adj Close Prices'!D437/'Adj Close Prices'!D436-1</f>
        <v>-9.5648015303684275E-4</v>
      </c>
      <c r="E436" s="6">
        <f>'Adj Close Prices'!E437/'Adj Close Prices'!E436-1</f>
        <v>-4.3624161073825274E-3</v>
      </c>
      <c r="F436" s="6">
        <f>'Adj Close Prices'!F437/'Adj Close Prices'!F436-1</f>
        <v>2.0872469213117917E-4</v>
      </c>
      <c r="G436" s="6">
        <f>'Adj Close Prices'!G437/'Adj Close Prices'!G436-1</f>
        <v>-4.9658080996221043E-3</v>
      </c>
    </row>
    <row r="437" spans="1:7" x14ac:dyDescent="0.45">
      <c r="A437" s="2">
        <f>'Adj Close Prices'!A438</f>
        <v>45713</v>
      </c>
      <c r="B437" s="6">
        <f>'Adj Close Prices'!B438/'Adj Close Prices'!B437-1</f>
        <v>-4.8744985867339441E-3</v>
      </c>
      <c r="C437" s="6">
        <f>'Adj Close Prices'!C438/'Adj Close Prices'!C437-1</f>
        <v>-2.9041626331074433E-3</v>
      </c>
      <c r="D437" s="6">
        <f>'Adj Close Prices'!D438/'Adj Close Prices'!D437-1</f>
        <v>-1.148875059837251E-2</v>
      </c>
      <c r="E437" s="6">
        <f>'Adj Close Prices'!E438/'Adj Close Prices'!E437-1</f>
        <v>-4.3815301651500826E-3</v>
      </c>
      <c r="F437" s="6">
        <f>'Adj Close Prices'!F438/'Adj Close Prices'!F437-1</f>
        <v>0</v>
      </c>
      <c r="G437" s="6">
        <f>'Adj Close Prices'!G438/'Adj Close Prices'!G437-1</f>
        <v>-4.6797230940992529E-3</v>
      </c>
    </row>
    <row r="438" spans="1:7" x14ac:dyDescent="0.45">
      <c r="A438" s="2">
        <f>'Adj Close Prices'!A439</f>
        <v>45714</v>
      </c>
      <c r="B438" s="6">
        <f>'Adj Close Prices'!B439/'Adj Close Prices'!B438-1</f>
        <v>3.4016498001521178E-4</v>
      </c>
      <c r="C438" s="6">
        <f>'Adj Close Prices'!C439/'Adj Close Prices'!C438-1</f>
        <v>-4.8543689320389438E-3</v>
      </c>
      <c r="D438" s="6">
        <f>'Adj Close Prices'!D439/'Adj Close Prices'!D438-1</f>
        <v>3.3898305084745228E-3</v>
      </c>
      <c r="E438" s="6">
        <f>'Adj Close Prices'!E439/'Adj Close Prices'!E438-1</f>
        <v>-3.6222071767095465E-2</v>
      </c>
      <c r="F438" s="6">
        <f>'Adj Close Prices'!F439/'Adj Close Prices'!F438-1</f>
        <v>4.1736227045063856E-4</v>
      </c>
      <c r="G438" s="6">
        <f>'Adj Close Prices'!G439/'Adj Close Prices'!G438-1</f>
        <v>1.3601421264564095E-4</v>
      </c>
    </row>
    <row r="439" spans="1:7" x14ac:dyDescent="0.45">
      <c r="A439" s="2">
        <f>'Adj Close Prices'!A440</f>
        <v>45715</v>
      </c>
      <c r="B439" s="6">
        <f>'Adj Close Prices'!B440/'Adj Close Prices'!B439-1</f>
        <v>-1.591430757459833E-2</v>
      </c>
      <c r="C439" s="6">
        <f>'Adj Close Prices'!C440/'Adj Close Prices'!C439-1</f>
        <v>3.9024390243902474E-3</v>
      </c>
      <c r="D439" s="6">
        <f>'Adj Close Prices'!D440/'Adj Close Prices'!D439-1</f>
        <v>-2.8957528957528345E-3</v>
      </c>
      <c r="E439" s="6">
        <f>'Adj Close Prices'!E440/'Adj Close Prices'!E439-1</f>
        <v>1.1942395504039416E-2</v>
      </c>
      <c r="F439" s="6">
        <f>'Adj Close Prices'!F440/'Adj Close Prices'!F439-1</f>
        <v>0</v>
      </c>
      <c r="G439" s="6">
        <f>'Adj Close Prices'!G440/'Adj Close Prices'!G439-1</f>
        <v>-1.5867845743921638E-2</v>
      </c>
    </row>
    <row r="440" spans="1:7" x14ac:dyDescent="0.45">
      <c r="A440" s="2">
        <f>'Adj Close Prices'!A441</f>
        <v>45716</v>
      </c>
      <c r="B440" s="6">
        <f>'Adj Close Prices'!B441/'Adj Close Prices'!B440-1</f>
        <v>1.5757010314621844E-2</v>
      </c>
      <c r="C440" s="6">
        <f>'Adj Close Prices'!C441/'Adj Close Prices'!C440-1</f>
        <v>1.1175898931000905E-2</v>
      </c>
      <c r="D440" s="6">
        <f>'Adj Close Prices'!D441/'Adj Close Prices'!D440-1</f>
        <v>1.6456921587608919E-2</v>
      </c>
      <c r="E440" s="6">
        <f>'Adj Close Prices'!E441/'Adj Close Prices'!E440-1</f>
        <v>1.7702186740714998E-2</v>
      </c>
      <c r="F440" s="6">
        <f>'Adj Close Prices'!F441/'Adj Close Prices'!F440-1</f>
        <v>1.2515644555695093E-3</v>
      </c>
      <c r="G440" s="6">
        <f>'Adj Close Prices'!G441/'Adj Close Prices'!G440-1</f>
        <v>1.5857553279331693E-2</v>
      </c>
    </row>
    <row r="441" spans="1:7" x14ac:dyDescent="0.45">
      <c r="A441" s="2">
        <f>'Adj Close Prices'!A442</f>
        <v>45719</v>
      </c>
      <c r="B441" s="6">
        <f>'Adj Close Prices'!B442/'Adj Close Prices'!B441-1</f>
        <v>-1.7162490857444035E-2</v>
      </c>
      <c r="C441" s="6">
        <f>'Adj Close Prices'!C442/'Adj Close Prices'!C441-1</f>
        <v>-6.7275348390195555E-3</v>
      </c>
      <c r="D441" s="6">
        <f>'Adj Close Prices'!D442/'Adj Close Prices'!D441-1</f>
        <v>-6.6666666666667096E-3</v>
      </c>
      <c r="E441" s="6">
        <f>'Adj Close Prices'!E442/'Adj Close Prices'!E441-1</f>
        <v>-6.1391541609822076E-3</v>
      </c>
      <c r="F441" s="6">
        <f>'Adj Close Prices'!F442/'Adj Close Prices'!F441-1</f>
        <v>2.083333333333659E-4</v>
      </c>
      <c r="G441" s="6">
        <f>'Adj Close Prices'!G442/'Adj Close Prices'!G441-1</f>
        <v>-1.7600104794517124E-2</v>
      </c>
    </row>
    <row r="442" spans="1:7" x14ac:dyDescent="0.45">
      <c r="A442" s="2">
        <f>'Adj Close Prices'!A443</f>
        <v>45720</v>
      </c>
      <c r="B442" s="6">
        <f>'Adj Close Prices'!B443/'Adj Close Prices'!B442-1</f>
        <v>-1.2062580042227711E-2</v>
      </c>
      <c r="C442" s="6">
        <f>'Adj Close Prices'!C443/'Adj Close Prices'!C442-1</f>
        <v>-1.9351717464925144E-2</v>
      </c>
      <c r="D442" s="6">
        <f>'Adj Close Prices'!D443/'Adj Close Prices'!D442-1</f>
        <v>-2.4448705656759273E-2</v>
      </c>
      <c r="E442" s="6">
        <f>'Adj Close Prices'!E443/'Adj Close Prices'!E442-1</f>
        <v>-1.8531228551818768E-2</v>
      </c>
      <c r="F442" s="6">
        <f>'Adj Close Prices'!F443/'Adj Close Prices'!F442-1</f>
        <v>0</v>
      </c>
      <c r="G442" s="6">
        <f>'Adj Close Prices'!G443/'Adj Close Prices'!G442-1</f>
        <v>-1.2234794545370575E-2</v>
      </c>
    </row>
    <row r="443" spans="1:7" x14ac:dyDescent="0.45">
      <c r="A443" s="2">
        <f>'Adj Close Prices'!A444</f>
        <v>45721</v>
      </c>
      <c r="B443" s="6">
        <f>'Adj Close Prices'!B444/'Adj Close Prices'!B443-1</f>
        <v>1.0948585442760894E-2</v>
      </c>
      <c r="C443" s="6">
        <f>'Adj Close Prices'!C444/'Adj Close Prices'!C443-1</f>
        <v>-6.4134188455845509E-3</v>
      </c>
      <c r="D443" s="6">
        <f>'Adj Close Prices'!D444/'Adj Close Prices'!D443-1</f>
        <v>-5.4054054054055722E-3</v>
      </c>
      <c r="E443" s="6">
        <f>'Adj Close Prices'!E444/'Adj Close Prices'!E443-1</f>
        <v>-1.573426573426584E-2</v>
      </c>
      <c r="F443" s="6">
        <f>'Adj Close Prices'!F444/'Adj Close Prices'!F443-1</f>
        <v>2.0828993959609576E-4</v>
      </c>
      <c r="G443" s="6">
        <f>'Adj Close Prices'!G444/'Adj Close Prices'!G443-1</f>
        <v>1.115930039770574E-2</v>
      </c>
    </row>
    <row r="444" spans="1:7" x14ac:dyDescent="0.45">
      <c r="A444" s="2">
        <f>'Adj Close Prices'!A445</f>
        <v>45722</v>
      </c>
      <c r="B444" s="6">
        <f>'Adj Close Prices'!B445/'Adj Close Prices'!B444-1</f>
        <v>-1.7951828106047452E-2</v>
      </c>
      <c r="C444" s="6">
        <f>'Adj Close Prices'!C445/'Adj Close Prices'!C444-1</f>
        <v>-1.3406156901688115E-2</v>
      </c>
      <c r="D444" s="6">
        <f>'Adj Close Prices'!D445/'Adj Close Prices'!D444-1</f>
        <v>-1.9762845849802257E-2</v>
      </c>
      <c r="E444" s="6">
        <f>'Adj Close Prices'!E445/'Adj Close Prices'!E444-1</f>
        <v>-1.7761989342804929E-3</v>
      </c>
      <c r="F444" s="6">
        <f>'Adj Close Prices'!F445/'Adj Close Prices'!F444-1</f>
        <v>2.0824656393170216E-4</v>
      </c>
      <c r="G444" s="6">
        <f>'Adj Close Prices'!G445/'Adj Close Prices'!G444-1</f>
        <v>-1.7815637505091964E-2</v>
      </c>
    </row>
    <row r="445" spans="1:7" x14ac:dyDescent="0.45">
      <c r="A445" s="2">
        <f>'Adj Close Prices'!A446</f>
        <v>45723</v>
      </c>
      <c r="B445" s="6">
        <f>'Adj Close Prices'!B446/'Adj Close Prices'!B445-1</f>
        <v>5.1522744115466423E-3</v>
      </c>
      <c r="C445" s="6">
        <f>'Adj Close Prices'!C446/'Adj Close Prices'!C445-1</f>
        <v>3.0699547055863086E-2</v>
      </c>
      <c r="D445" s="6">
        <f>'Adj Close Prices'!D446/'Adj Close Prices'!D445-1</f>
        <v>1.8649193548387233E-2</v>
      </c>
      <c r="E445" s="6">
        <f>'Adj Close Prices'!E446/'Adj Close Prices'!E445-1</f>
        <v>2.9893238434163694E-2</v>
      </c>
      <c r="F445" s="6">
        <f>'Adj Close Prices'!F446/'Adj Close Prices'!F445-1</f>
        <v>2.0820320632930489E-4</v>
      </c>
      <c r="G445" s="6">
        <f>'Adj Close Prices'!G446/'Adj Close Prices'!G445-1</f>
        <v>5.5170923564047403E-3</v>
      </c>
    </row>
    <row r="446" spans="1:7" x14ac:dyDescent="0.45">
      <c r="A446" s="2">
        <f>'Adj Close Prices'!A447</f>
        <v>45726</v>
      </c>
      <c r="B446" s="6">
        <f>'Adj Close Prices'!B447/'Adj Close Prices'!B446-1</f>
        <v>-2.6033072358950804E-2</v>
      </c>
      <c r="C446" s="6">
        <f>'Adj Close Prices'!C447/'Adj Close Prices'!C446-1</f>
        <v>-2.44140625E-2</v>
      </c>
      <c r="D446" s="6">
        <f>'Adj Close Prices'!D447/'Adj Close Prices'!D446-1</f>
        <v>-3.4636318654132081E-3</v>
      </c>
      <c r="E446" s="6">
        <f>'Adj Close Prices'!E447/'Adj Close Prices'!E446-1</f>
        <v>-7.6019350380097661E-3</v>
      </c>
      <c r="F446" s="6">
        <f>'Adj Close Prices'!F447/'Adj Close Prices'!F446-1</f>
        <v>6.2447960033318317E-4</v>
      </c>
      <c r="G446" s="6">
        <f>'Adj Close Prices'!G447/'Adj Close Prices'!G446-1</f>
        <v>-2.697311527003432E-2</v>
      </c>
    </row>
    <row r="447" spans="1:7" x14ac:dyDescent="0.45">
      <c r="A447" s="2">
        <f>'Adj Close Prices'!A448</f>
        <v>45727</v>
      </c>
      <c r="B447" s="6">
        <f>'Adj Close Prices'!B448/'Adj Close Prices'!B447-1</f>
        <v>-8.5251338247751551E-3</v>
      </c>
      <c r="C447" s="6">
        <f>'Adj Close Prices'!C448/'Adj Close Prices'!C447-1</f>
        <v>-2.6526526526526539E-2</v>
      </c>
      <c r="D447" s="6">
        <f>'Adj Close Prices'!D448/'Adj Close Prices'!D447-1</f>
        <v>-2.0357497517378365E-2</v>
      </c>
      <c r="E447" s="6">
        <f>'Adj Close Prices'!E448/'Adj Close Prices'!E447-1</f>
        <v>-2.4721448467966534E-2</v>
      </c>
      <c r="F447" s="6">
        <f>'Adj Close Prices'!F448/'Adj Close Prices'!F447-1</f>
        <v>-4.1605991262749775E-4</v>
      </c>
      <c r="G447" s="6">
        <f>'Adj Close Prices'!G448/'Adj Close Prices'!G447-1</f>
        <v>-7.5642749641556817E-3</v>
      </c>
    </row>
    <row r="448" spans="1:7" x14ac:dyDescent="0.45">
      <c r="A448" s="2">
        <f>'Adj Close Prices'!A449</f>
        <v>45728</v>
      </c>
      <c r="B448" s="6">
        <f>'Adj Close Prices'!B449/'Adj Close Prices'!B448-1</f>
        <v>5.0718051263405339E-3</v>
      </c>
      <c r="C448" s="6">
        <f>'Adj Close Prices'!C449/'Adj Close Prices'!C448-1</f>
        <v>-4.6272493573265017E-3</v>
      </c>
      <c r="D448" s="6">
        <f>'Adj Close Prices'!D449/'Adj Close Prices'!D448-1</f>
        <v>3.5478966041562199E-3</v>
      </c>
      <c r="E448" s="6">
        <f>'Adj Close Prices'!E449/'Adj Close Prices'!E448-1</f>
        <v>-7.4973223848625592E-3</v>
      </c>
      <c r="F448" s="6">
        <f>'Adj Close Prices'!F449/'Adj Close Prices'!F448-1</f>
        <v>-2.0811654526531331E-4</v>
      </c>
      <c r="G448" s="6">
        <f>'Adj Close Prices'!G449/'Adj Close Prices'!G448-1</f>
        <v>4.8832751862859514E-3</v>
      </c>
    </row>
    <row r="449" spans="1:7" x14ac:dyDescent="0.45">
      <c r="A449" s="2">
        <f>'Adj Close Prices'!A450</f>
        <v>45729</v>
      </c>
      <c r="B449" s="6">
        <f>'Adj Close Prices'!B450/'Adj Close Prices'!B449-1</f>
        <v>-1.3203349671724873E-2</v>
      </c>
      <c r="C449" s="6">
        <f>'Adj Close Prices'!C450/'Adj Close Prices'!C449-1</f>
        <v>-1.4462809917355379E-2</v>
      </c>
      <c r="D449" s="6">
        <f>'Adj Close Prices'!D450/'Adj Close Prices'!D449-1</f>
        <v>-9.0909090909090384E-3</v>
      </c>
      <c r="E449" s="6">
        <f>'Adj Close Prices'!E450/'Adj Close Prices'!E449-1</f>
        <v>-2.0863309352518011E-2</v>
      </c>
      <c r="F449" s="6">
        <f>'Adj Close Prices'!F450/'Adj Close Prices'!F449-1</f>
        <v>4.1631973355538143E-4</v>
      </c>
      <c r="G449" s="6">
        <f>'Adj Close Prices'!G450/'Adj Close Prices'!G449-1</f>
        <v>-1.3887475019154216E-2</v>
      </c>
    </row>
    <row r="450" spans="1:7" x14ac:dyDescent="0.45">
      <c r="A450" s="2">
        <f>'Adj Close Prices'!A451</f>
        <v>45730</v>
      </c>
      <c r="B450" s="6">
        <f>'Adj Close Prices'!B451/'Adj Close Prices'!B450-1</f>
        <v>2.0748180868417565E-2</v>
      </c>
      <c r="C450" s="6">
        <f>'Adj Close Prices'!C451/'Adj Close Prices'!C450-1</f>
        <v>1.5199161425576646E-2</v>
      </c>
      <c r="D450" s="6">
        <f>'Adj Close Prices'!D451/'Adj Close Prices'!D450-1</f>
        <v>1.3251783893985625E-2</v>
      </c>
      <c r="E450" s="6">
        <f>'Adj Close Prices'!E451/'Adj Close Prices'!E450-1</f>
        <v>2.0205731080088274E-2</v>
      </c>
      <c r="F450" s="6">
        <f>'Adj Close Prices'!F451/'Adj Close Prices'!F450-1</f>
        <v>-2.0807324178118147E-4</v>
      </c>
      <c r="G450" s="6">
        <f>'Adj Close Prices'!G451/'Adj Close Prices'!G450-1</f>
        <v>2.1262222608588566E-2</v>
      </c>
    </row>
    <row r="451" spans="1:7" x14ac:dyDescent="0.45">
      <c r="A451" s="2">
        <f>'Adj Close Prices'!A452</f>
        <v>45733</v>
      </c>
      <c r="B451" s="6">
        <f>'Adj Close Prices'!B452/'Adj Close Prices'!B451-1</f>
        <v>7.1645328688656473E-3</v>
      </c>
      <c r="C451" s="6">
        <f>'Adj Close Prices'!C452/'Adj Close Prices'!C451-1</f>
        <v>1.7552916881775849E-2</v>
      </c>
      <c r="D451" s="6">
        <f>'Adj Close Prices'!D452/'Adj Close Prices'!D451-1</f>
        <v>6.0362173038230882E-3</v>
      </c>
      <c r="E451" s="6">
        <f>'Adj Close Prices'!E452/'Adj Close Prices'!E451-1</f>
        <v>2.1966150522146233E-2</v>
      </c>
      <c r="F451" s="6">
        <f>'Adj Close Prices'!F452/'Adj Close Prices'!F451-1</f>
        <v>2.0811654526542434E-4</v>
      </c>
      <c r="G451" s="6">
        <f>'Adj Close Prices'!G452/'Adj Close Prices'!G451-1</f>
        <v>6.4161108579108284E-3</v>
      </c>
    </row>
    <row r="452" spans="1:7" x14ac:dyDescent="0.45">
      <c r="A452" s="2">
        <f>'Adj Close Prices'!A453</f>
        <v>45734</v>
      </c>
      <c r="B452" s="6">
        <f>'Adj Close Prices'!B453/'Adj Close Prices'!B452-1</f>
        <v>-1.042966660723843E-2</v>
      </c>
      <c r="C452" s="6">
        <f>'Adj Close Prices'!C453/'Adj Close Prices'!C452-1</f>
        <v>7.6103500761033338E-3</v>
      </c>
      <c r="D452" s="6">
        <f>'Adj Close Prices'!D453/'Adj Close Prices'!D452-1</f>
        <v>1.4499999999999957E-2</v>
      </c>
      <c r="E452" s="6">
        <f>'Adj Close Prices'!E453/'Adj Close Prices'!E452-1</f>
        <v>8.4566596194504129E-3</v>
      </c>
      <c r="F452" s="6">
        <f>'Adj Close Prices'!F453/'Adj Close Prices'!F452-1</f>
        <v>0</v>
      </c>
      <c r="G452" s="6">
        <f>'Adj Close Prices'!G453/'Adj Close Prices'!G452-1</f>
        <v>-1.0653537993096207E-2</v>
      </c>
    </row>
    <row r="453" spans="1:7" x14ac:dyDescent="0.45">
      <c r="A453" s="2">
        <f>'Adj Close Prices'!A454</f>
        <v>45735</v>
      </c>
      <c r="B453" s="6">
        <f>'Adj Close Prices'!B454/'Adj Close Prices'!B453-1</f>
        <v>1.0827853346545346E-2</v>
      </c>
      <c r="C453" s="6">
        <f>'Adj Close Prices'!C454/'Adj Close Prices'!C453-1</f>
        <v>-3.0211480362537513E-3</v>
      </c>
      <c r="D453" s="6">
        <f>'Adj Close Prices'!D454/'Adj Close Prices'!D453-1</f>
        <v>-1.4785608674222628E-3</v>
      </c>
      <c r="E453" s="6">
        <f>'Adj Close Prices'!E454/'Adj Close Prices'!E453-1</f>
        <v>-2.4458420684836391E-3</v>
      </c>
      <c r="F453" s="6">
        <f>'Adj Close Prices'!F454/'Adj Close Prices'!F453-1</f>
        <v>6.242197253434334E-4</v>
      </c>
      <c r="G453" s="6">
        <f>'Adj Close Prices'!G454/'Adj Close Prices'!G453-1</f>
        <v>1.0802098082694389E-2</v>
      </c>
    </row>
    <row r="454" spans="1:7" x14ac:dyDescent="0.45">
      <c r="A454" s="2">
        <f>'Adj Close Prices'!A455</f>
        <v>45736</v>
      </c>
      <c r="B454" s="6">
        <f>'Adj Close Prices'!B455/'Adj Close Prices'!B454-1</f>
        <v>-2.2457491177414468E-3</v>
      </c>
      <c r="C454" s="6">
        <f>'Adj Close Prices'!C455/'Adj Close Prices'!C454-1</f>
        <v>-1.0101010101010166E-3</v>
      </c>
      <c r="D454" s="6">
        <f>'Adj Close Prices'!D455/'Adj Close Prices'!D454-1</f>
        <v>6.9101678183611792E-3</v>
      </c>
      <c r="E454" s="6">
        <f>'Adj Close Prices'!E455/'Adj Close Prices'!E454-1</f>
        <v>3.5026269702276291E-3</v>
      </c>
      <c r="F454" s="6">
        <f>'Adj Close Prices'!F455/'Adj Close Prices'!F454-1</f>
        <v>2.0794343938446147E-4</v>
      </c>
      <c r="G454" s="6">
        <f>'Adj Close Prices'!G455/'Adj Close Prices'!G454-1</f>
        <v>-2.1884305675471394E-3</v>
      </c>
    </row>
    <row r="455" spans="1:7" x14ac:dyDescent="0.45">
      <c r="A455" s="2">
        <f>'Adj Close Prices'!A456</f>
        <v>45737</v>
      </c>
      <c r="B455" s="6">
        <f>'Adj Close Prices'!B456/'Adj Close Prices'!B455-1</f>
        <v>-2.6795284030001199E-4</v>
      </c>
      <c r="C455" s="6">
        <f>'Adj Close Prices'!C456/'Adj Close Prices'!C455-1</f>
        <v>1.5166835187057082E-3</v>
      </c>
      <c r="D455" s="6">
        <f>'Adj Close Prices'!D456/'Adj Close Prices'!D455-1</f>
        <v>5.3921568627453009E-3</v>
      </c>
      <c r="E455" s="6">
        <f>'Adj Close Prices'!E456/'Adj Close Prices'!E455-1</f>
        <v>1.7452006980802626E-3</v>
      </c>
      <c r="F455" s="6">
        <f>'Adj Close Prices'!F456/'Adj Close Prices'!F455-1</f>
        <v>2.0790020790006913E-4</v>
      </c>
      <c r="G455" s="6">
        <f>'Adj Close Prices'!G456/'Adj Close Prices'!G455-1</f>
        <v>8.2820049162246612E-4</v>
      </c>
    </row>
    <row r="456" spans="1:7" x14ac:dyDescent="0.45">
      <c r="A456" s="2">
        <f>'Adj Close Prices'!A457</f>
        <v>45740</v>
      </c>
      <c r="B456" s="6">
        <f>'Adj Close Prices'!B457/'Adj Close Prices'!B456-1</f>
        <v>1.788617886178856E-2</v>
      </c>
      <c r="C456" s="6">
        <f>'Adj Close Prices'!C457/'Adj Close Prices'!C456-1</f>
        <v>1.3124684502776374E-2</v>
      </c>
      <c r="D456" s="6">
        <f>'Adj Close Prices'!D457/'Adj Close Prices'!D456-1</f>
        <v>-2.9254022428084614E-3</v>
      </c>
      <c r="E456" s="6">
        <f>'Adj Close Prices'!E457/'Adj Close Prices'!E456-1</f>
        <v>1.0801393728222974E-2</v>
      </c>
      <c r="F456" s="6">
        <f>'Adj Close Prices'!F457/'Adj Close Prices'!F456-1</f>
        <v>-6.2357098316356829E-4</v>
      </c>
      <c r="G456" s="6">
        <f>'Adj Close Prices'!G457/'Adj Close Prices'!G456-1</f>
        <v>1.7642481698505907E-2</v>
      </c>
    </row>
    <row r="457" spans="1:7" x14ac:dyDescent="0.45">
      <c r="A457" s="2">
        <f>'Adj Close Prices'!A458</f>
        <v>45741</v>
      </c>
      <c r="B457" s="6">
        <f>'Adj Close Prices'!B458/'Adj Close Prices'!B457-1</f>
        <v>2.1591826703648564E-3</v>
      </c>
      <c r="C457" s="6">
        <f>'Adj Close Prices'!C458/'Adj Close Prices'!C457-1</f>
        <v>1.195814648729443E-2</v>
      </c>
      <c r="D457" s="6">
        <f>'Adj Close Prices'!D458/'Adj Close Prices'!D457-1</f>
        <v>9.29095354523235E-3</v>
      </c>
      <c r="E457" s="6">
        <f>'Adj Close Prices'!E458/'Adj Close Prices'!E457-1</f>
        <v>5.170630816959676E-3</v>
      </c>
      <c r="F457" s="6">
        <f>'Adj Close Prices'!F458/'Adj Close Prices'!F457-1</f>
        <v>6.239600665558509E-4</v>
      </c>
      <c r="G457" s="6">
        <f>'Adj Close Prices'!G458/'Adj Close Prices'!G457-1</f>
        <v>1.5777902613929307E-3</v>
      </c>
    </row>
    <row r="458" spans="1:7" x14ac:dyDescent="0.45">
      <c r="A458" s="2">
        <f>'Adj Close Prices'!A459</f>
        <v>45742</v>
      </c>
      <c r="B458" s="6">
        <f>'Adj Close Prices'!B459/'Adj Close Prices'!B458-1</f>
        <v>-1.1315665014276055E-2</v>
      </c>
      <c r="C458" s="6">
        <f>'Adj Close Prices'!C459/'Adj Close Prices'!C458-1</f>
        <v>-3.9389463318560969E-3</v>
      </c>
      <c r="D458" s="6">
        <f>'Adj Close Prices'!D459/'Adj Close Prices'!D458-1</f>
        <v>-5.3294573643410947E-3</v>
      </c>
      <c r="E458" s="6">
        <f>'Adj Close Prices'!E459/'Adj Close Prices'!E458-1</f>
        <v>-5.1440329218106484E-3</v>
      </c>
      <c r="F458" s="6">
        <f>'Adj Close Prices'!F459/'Adj Close Prices'!F458-1</f>
        <v>-2.078569943878561E-4</v>
      </c>
      <c r="G458" s="6">
        <f>'Adj Close Prices'!G459/'Adj Close Prices'!G458-1</f>
        <v>-1.1156966136140922E-2</v>
      </c>
    </row>
    <row r="459" spans="1:7" x14ac:dyDescent="0.45">
      <c r="A459" s="2">
        <f>'Adj Close Prices'!A460</f>
        <v>45743</v>
      </c>
      <c r="B459" s="6">
        <f>'Adj Close Prices'!B460/'Adj Close Prices'!B459-1</f>
        <v>-3.1536240100632495E-3</v>
      </c>
      <c r="C459" s="6">
        <f>'Adj Close Prices'!C460/'Adj Close Prices'!C459-1</f>
        <v>5.9317844784974039E-3</v>
      </c>
      <c r="D459" s="6">
        <f>'Adj Close Prices'!D460/'Adj Close Prices'!D459-1</f>
        <v>1.9483682415977199E-3</v>
      </c>
      <c r="E459" s="6">
        <f>'Adj Close Prices'!E460/'Adj Close Prices'!E459-1</f>
        <v>-2.4129610479145525E-3</v>
      </c>
      <c r="F459" s="6">
        <f>'Adj Close Prices'!F460/'Adj Close Prices'!F459-1</f>
        <v>2.0790020790006913E-4</v>
      </c>
      <c r="G459" s="6">
        <f>'Adj Close Prices'!G460/'Adj Close Prices'!G459-1</f>
        <v>-3.3069512500416565E-3</v>
      </c>
    </row>
    <row r="460" spans="1:7" x14ac:dyDescent="0.45">
      <c r="A460" s="2">
        <f>'Adj Close Prices'!A461</f>
        <v>45744</v>
      </c>
      <c r="B460" s="6">
        <f>'Adj Close Prices'!B461/'Adj Close Prices'!B460-1</f>
        <v>-2.019017150981961E-2</v>
      </c>
      <c r="C460" s="6">
        <f>'Adj Close Prices'!C461/'Adj Close Prices'!C460-1</f>
        <v>-1.0810810810810922E-2</v>
      </c>
      <c r="D460" s="6">
        <f>'Adj Close Prices'!D461/'Adj Close Prices'!D460-1</f>
        <v>-9.2367525522606408E-3</v>
      </c>
      <c r="E460" s="6">
        <f>'Adj Close Prices'!E461/'Adj Close Prices'!E460-1</f>
        <v>-1.0366275051831408E-2</v>
      </c>
      <c r="F460" s="6">
        <f>'Adj Close Prices'!F461/'Adj Close Prices'!F460-1</f>
        <v>6.2357098316367932E-4</v>
      </c>
      <c r="G460" s="6">
        <f>'Adj Close Prices'!G461/'Adj Close Prices'!G460-1</f>
        <v>-1.9737165660809519E-2</v>
      </c>
    </row>
    <row r="461" spans="1:7" x14ac:dyDescent="0.45">
      <c r="A461" s="2">
        <f>'Adj Close Prices'!A462</f>
        <v>45747</v>
      </c>
      <c r="B461" s="6">
        <f>'Adj Close Prices'!B462/'Adj Close Prices'!B461-1</f>
        <v>6.7659489560849551E-3</v>
      </c>
      <c r="C461" s="6">
        <f>'Adj Close Prices'!C462/'Adj Close Prices'!C461-1</f>
        <v>1.9870839542972529E-3</v>
      </c>
      <c r="D461" s="6">
        <f>'Adj Close Prices'!D462/'Adj Close Prices'!D461-1</f>
        <v>1.9627085377822429E-3</v>
      </c>
      <c r="E461" s="6">
        <f>'Adj Close Prices'!E462/'Adj Close Prices'!E461-1</f>
        <v>6.2849162011173743E-3</v>
      </c>
      <c r="F461" s="6">
        <f>'Adj Close Prices'!F462/'Adj Close Prices'!F461-1</f>
        <v>2.0772746157038391E-4</v>
      </c>
      <c r="G461" s="6">
        <f>'Adj Close Prices'!G462/'Adj Close Prices'!G461-1</f>
        <v>5.5348999722271142E-3</v>
      </c>
    </row>
    <row r="462" spans="1:7" x14ac:dyDescent="0.45">
      <c r="A462" s="2">
        <f>'Adj Close Prices'!A463</f>
        <v>45748</v>
      </c>
      <c r="B462" s="6">
        <f>'Adj Close Prices'!B463/'Adj Close Prices'!B462-1</f>
        <v>3.3512305862852809E-3</v>
      </c>
      <c r="C462" s="6">
        <f>'Adj Close Prices'!C463/'Adj Close Prices'!C462-1</f>
        <v>5.9494298463063089E-3</v>
      </c>
      <c r="D462" s="6">
        <f>'Adj Close Prices'!D463/'Adj Close Prices'!D462-1</f>
        <v>1.9588638589618235E-3</v>
      </c>
      <c r="E462" s="6">
        <f>'Adj Close Prices'!E463/'Adj Close Prices'!E462-1</f>
        <v>1.179736294240108E-2</v>
      </c>
      <c r="F462" s="6">
        <f>'Adj Close Prices'!F463/'Adj Close Prices'!F462-1</f>
        <v>2.0768431983375635E-4</v>
      </c>
      <c r="G462" s="6">
        <f>'Adj Close Prices'!G463/'Adj Close Prices'!G462-1</f>
        <v>3.7812909847751985E-3</v>
      </c>
    </row>
    <row r="463" spans="1:7" x14ac:dyDescent="0.45">
      <c r="A463" s="2">
        <f>'Adj Close Prices'!A464</f>
        <v>45749</v>
      </c>
      <c r="B463" s="6">
        <f>'Adj Close Prices'!B464/'Adj Close Prices'!B463-1</f>
        <v>6.069530239908083E-3</v>
      </c>
      <c r="C463" s="6">
        <f>'Adj Close Prices'!C464/'Adj Close Prices'!C463-1</f>
        <v>5.4213898472152966E-3</v>
      </c>
      <c r="D463" s="6">
        <f>'Adj Close Prices'!D464/'Adj Close Prices'!D463-1</f>
        <v>-5.8651026392961825E-3</v>
      </c>
      <c r="E463" s="6">
        <f>'Adj Close Prices'!E464/'Adj Close Prices'!E463-1</f>
        <v>-7.8875171467763794E-3</v>
      </c>
      <c r="F463" s="6">
        <f>'Adj Close Prices'!F464/'Adj Close Prices'!F463-1</f>
        <v>0</v>
      </c>
      <c r="G463" s="6">
        <f>'Adj Close Prices'!G464/'Adj Close Prices'!G463-1</f>
        <v>6.7316875730063508E-3</v>
      </c>
    </row>
    <row r="464" spans="1:7" x14ac:dyDescent="0.45">
      <c r="A464" s="2">
        <f>'Adj Close Prices'!A465</f>
        <v>45750</v>
      </c>
      <c r="B464" s="6">
        <f>'Adj Close Prices'!B465/'Adj Close Prices'!B464-1</f>
        <v>-4.7834933780744548E-2</v>
      </c>
      <c r="C464" s="6">
        <f>'Adj Close Prices'!C465/'Adj Close Prices'!C464-1</f>
        <v>-3.9705882352941146E-2</v>
      </c>
      <c r="D464" s="6">
        <f>'Adj Close Prices'!D465/'Adj Close Prices'!D464-1</f>
        <v>-1.9665683382497523E-2</v>
      </c>
      <c r="E464" s="6">
        <f>'Adj Close Prices'!E465/'Adj Close Prices'!E464-1</f>
        <v>-2.4541997926028403E-2</v>
      </c>
      <c r="F464" s="6">
        <f>'Adj Close Prices'!F465/'Adj Close Prices'!F464-1</f>
        <v>1.245847176079673E-3</v>
      </c>
      <c r="G464" s="6">
        <f>'Adj Close Prices'!G465/'Adj Close Prices'!G464-1</f>
        <v>-4.8399042140864434E-2</v>
      </c>
    </row>
    <row r="465" spans="1:7" x14ac:dyDescent="0.45">
      <c r="A465" s="2">
        <f>'Adj Close Prices'!A466</f>
        <v>45751</v>
      </c>
      <c r="B465" s="6">
        <f>'Adj Close Prices'!B466/'Adj Close Prices'!B465-1</f>
        <v>-6.0098226671165711E-2</v>
      </c>
      <c r="C465" s="6">
        <f>'Adj Close Prices'!C466/'Adj Close Prices'!C465-1</f>
        <v>-7.1975497702909674E-2</v>
      </c>
      <c r="D465" s="6">
        <f>'Adj Close Prices'!D466/'Adj Close Prices'!D465-1</f>
        <v>-6.9207622868605934E-2</v>
      </c>
      <c r="E465" s="6">
        <f>'Adj Close Prices'!E466/'Adj Close Prices'!E465-1</f>
        <v>-7.866761162296243E-2</v>
      </c>
      <c r="F465" s="6">
        <f>'Adj Close Prices'!F466/'Adj Close Prices'!F465-1</f>
        <v>-6.2214848610542273E-4</v>
      </c>
      <c r="G465" s="6">
        <f>'Adj Close Prices'!G466/'Adj Close Prices'!G465-1</f>
        <v>-5.9746021039523756E-2</v>
      </c>
    </row>
    <row r="466" spans="1:7" x14ac:dyDescent="0.45">
      <c r="A466" s="2">
        <f>'Adj Close Prices'!A467</f>
        <v>45754</v>
      </c>
      <c r="B466" s="6">
        <f>'Adj Close Prices'!B467/'Adj Close Prices'!B466-1</f>
        <v>-2.4331870761866714E-3</v>
      </c>
      <c r="C466" s="6">
        <f>'Adj Close Prices'!C467/'Adj Close Prices'!C466-1</f>
        <v>-3.300330033003307E-2</v>
      </c>
      <c r="D466" s="6">
        <f>'Adj Close Prices'!D467/'Adj Close Prices'!D466-1</f>
        <v>-3.7715517241379226E-2</v>
      </c>
      <c r="E466" s="6">
        <f>'Adj Close Prices'!E467/'Adj Close Prices'!E466-1</f>
        <v>-3.7692307692307692E-2</v>
      </c>
      <c r="F466" s="6">
        <f>'Adj Close Prices'!F467/'Adj Close Prices'!F466-1</f>
        <v>-1.2450715916164645E-3</v>
      </c>
      <c r="G466" s="6">
        <f>'Adj Close Prices'!G467/'Adj Close Prices'!G466-1</f>
        <v>-2.3353941297848957E-3</v>
      </c>
    </row>
    <row r="467" spans="1:7" x14ac:dyDescent="0.45">
      <c r="A467" s="2">
        <f>'Adj Close Prices'!A468</f>
        <v>45755</v>
      </c>
      <c r="B467" s="6">
        <f>'Adj Close Prices'!B468/'Adj Close Prices'!B467-1</f>
        <v>-1.4974609140709361E-2</v>
      </c>
      <c r="C467" s="6">
        <f>'Adj Close Prices'!C468/'Adj Close Prices'!C467-1</f>
        <v>-2.1046643913537944E-2</v>
      </c>
      <c r="D467" s="6">
        <f>'Adj Close Prices'!D468/'Adj Close Prices'!D467-1</f>
        <v>-2.1276595744680771E-2</v>
      </c>
      <c r="E467" s="6">
        <f>'Adj Close Prices'!E468/'Adj Close Prices'!E467-1</f>
        <v>-4.3165467625899234E-2</v>
      </c>
      <c r="F467" s="6">
        <f>'Adj Close Prices'!F468/'Adj Close Prices'!F467-1</f>
        <v>0</v>
      </c>
      <c r="G467" s="6">
        <f>'Adj Close Prices'!G468/'Adj Close Prices'!G467-1</f>
        <v>-1.5696608615948682E-2</v>
      </c>
    </row>
    <row r="468" spans="1:7" x14ac:dyDescent="0.45">
      <c r="A468" s="2">
        <f>'Adj Close Prices'!A469</f>
        <v>45756</v>
      </c>
      <c r="B468" s="6">
        <f>'Adj Close Prices'!B469/'Adj Close Prices'!B468-1</f>
        <v>9.513081247843469E-2</v>
      </c>
      <c r="C468" s="6">
        <f>'Adj Close Prices'!C469/'Adj Close Prices'!C468-1</f>
        <v>0.10342823939570001</v>
      </c>
      <c r="D468" s="6">
        <f>'Adj Close Prices'!D469/'Adj Close Prices'!D468-1</f>
        <v>6.3501144164759715E-2</v>
      </c>
      <c r="E468" s="6">
        <f>'Adj Close Prices'!E469/'Adj Close Prices'!E468-1</f>
        <v>7.8529657477025783E-2</v>
      </c>
      <c r="F468" s="6">
        <f>'Adj Close Prices'!F469/'Adj Close Prices'!F468-1</f>
        <v>-1.2466237274050274E-3</v>
      </c>
      <c r="G468" s="6">
        <f>'Adj Close Prices'!G469/'Adj Close Prices'!G468-1</f>
        <v>9.5149695551479452E-2</v>
      </c>
    </row>
    <row r="469" spans="1:7" x14ac:dyDescent="0.45">
      <c r="A469" s="2">
        <f>'Adj Close Prices'!A470</f>
        <v>45757</v>
      </c>
      <c r="B469" s="6">
        <f>'Adj Close Prices'!B470/'Adj Close Prices'!B469-1</f>
        <v>-3.5121209874712567E-2</v>
      </c>
      <c r="C469" s="6">
        <f>'Adj Close Prices'!C470/'Adj Close Prices'!C469-1</f>
        <v>-4.8973143759873605E-2</v>
      </c>
      <c r="D469" s="6">
        <f>'Adj Close Prices'!D470/'Adj Close Prices'!D469-1</f>
        <v>-2.8509951586874749E-2</v>
      </c>
      <c r="E469" s="6">
        <f>'Adj Close Prices'!E470/'Adj Close Prices'!E469-1</f>
        <v>-5.6932610379550663E-2</v>
      </c>
      <c r="F469" s="6">
        <f>'Adj Close Prices'!F470/'Adj Close Prices'!F469-1</f>
        <v>0</v>
      </c>
      <c r="G469" s="6">
        <f>'Adj Close Prices'!G470/'Adj Close Prices'!G469-1</f>
        <v>-3.4603959398118667E-2</v>
      </c>
    </row>
    <row r="470" spans="1:7" x14ac:dyDescent="0.45">
      <c r="A470" s="2">
        <f>'Adj Close Prices'!A471</f>
        <v>45758</v>
      </c>
      <c r="B470" s="6">
        <f>'Adj Close Prices'!B471/'Adj Close Prices'!B470-1</f>
        <v>1.8824071761971428E-2</v>
      </c>
      <c r="C470" s="6">
        <f>'Adj Close Prices'!C471/'Adj Close Prices'!C470-1</f>
        <v>3.3222591362127574E-3</v>
      </c>
      <c r="D470" s="6">
        <f>'Adj Close Prices'!D471/'Adj Close Prices'!D470-1</f>
        <v>-5.5370985603531153E-4</v>
      </c>
      <c r="E470" s="6">
        <f>'Adj Close Prices'!E471/'Adj Close Prices'!E470-1</f>
        <v>1.4373716632443356E-2</v>
      </c>
      <c r="F470" s="6">
        <f>'Adj Close Prices'!F471/'Adj Close Prices'!F470-1</f>
        <v>6.2408986894113561E-4</v>
      </c>
      <c r="G470" s="6">
        <f>'Adj Close Prices'!G471/'Adj Close Prices'!G470-1</f>
        <v>1.8088252601526911E-2</v>
      </c>
    </row>
    <row r="471" spans="1:7" x14ac:dyDescent="0.45">
      <c r="A471" s="2">
        <f>'Adj Close Prices'!A472</f>
        <v>45761</v>
      </c>
      <c r="B471" s="6">
        <f>'Adj Close Prices'!B472/'Adj Close Prices'!B471-1</f>
        <v>8.4462962613827131E-3</v>
      </c>
      <c r="C471" s="6">
        <f>'Adj Close Prices'!C472/'Adj Close Prices'!C471-1</f>
        <v>5.5187637969094094E-3</v>
      </c>
      <c r="D471" s="6">
        <f>'Adj Close Prices'!D472/'Adj Close Prices'!D471-1</f>
        <v>7.7562326869806686E-3</v>
      </c>
      <c r="E471" s="6">
        <f>'Adj Close Prices'!E472/'Adj Close Prices'!E471-1</f>
        <v>1.3765182186234792E-2</v>
      </c>
      <c r="F471" s="6">
        <f>'Adj Close Prices'!F472/'Adj Close Prices'!F471-1</f>
        <v>1.2474012474010809E-3</v>
      </c>
      <c r="G471" s="6">
        <f>'Adj Close Prices'!G472/'Adj Close Prices'!G471-1</f>
        <v>7.9446614522640235E-3</v>
      </c>
    </row>
    <row r="472" spans="1:7" x14ac:dyDescent="0.45">
      <c r="A472" s="2">
        <f>'Adj Close Prices'!A473</f>
        <v>45762</v>
      </c>
      <c r="B472" s="6">
        <f>'Adj Close Prices'!B473/'Adj Close Prices'!B472-1</f>
        <v>-2.4491016844583324E-3</v>
      </c>
      <c r="C472" s="6">
        <f>'Adj Close Prices'!C473/'Adj Close Prices'!C472-1</f>
        <v>7.6838638858398589E-3</v>
      </c>
      <c r="D472" s="6">
        <f>'Adj Close Prices'!D473/'Adj Close Prices'!D472-1</f>
        <v>1.3743815283122629E-2</v>
      </c>
      <c r="E472" s="6">
        <f>'Adj Close Prices'!E473/'Adj Close Prices'!E472-1</f>
        <v>1.2380191693290854E-2</v>
      </c>
      <c r="F472" s="6">
        <f>'Adj Close Prices'!F473/'Adj Close Prices'!F472-1</f>
        <v>2.0764119601346387E-4</v>
      </c>
      <c r="G472" s="6">
        <f>'Adj Close Prices'!G473/'Adj Close Prices'!G472-1</f>
        <v>-1.7277227356473635E-3</v>
      </c>
    </row>
    <row r="473" spans="1:7" x14ac:dyDescent="0.45">
      <c r="A473" s="2">
        <f>'Adj Close Prices'!A474</f>
        <v>45763</v>
      </c>
      <c r="B473" s="6">
        <f>'Adj Close Prices'!B474/'Adj Close Prices'!B473-1</f>
        <v>-2.2302185239327033E-2</v>
      </c>
      <c r="C473" s="6">
        <f>'Adj Close Prices'!C474/'Adj Close Prices'!C473-1</f>
        <v>-3.8126361655773655E-3</v>
      </c>
      <c r="D473" s="6">
        <f>'Adj Close Prices'!D474/'Adj Close Prices'!D473-1</f>
        <v>-4.3383947939263923E-3</v>
      </c>
      <c r="E473" s="6">
        <f>'Adj Close Prices'!E474/'Adj Close Prices'!E473-1</f>
        <v>-4.7337278106509562E-3</v>
      </c>
      <c r="F473" s="6">
        <f>'Adj Close Prices'!F474/'Adj Close Prices'!F473-1</f>
        <v>6.2279427029277024E-4</v>
      </c>
      <c r="G473" s="6">
        <f>'Adj Close Prices'!G474/'Adj Close Prices'!G473-1</f>
        <v>-2.240476446368278E-2</v>
      </c>
    </row>
    <row r="474" spans="1:7" x14ac:dyDescent="0.45">
      <c r="A474" s="2">
        <f>'Adj Close Prices'!A475</f>
        <v>45764</v>
      </c>
      <c r="B474" s="6">
        <f>'Adj Close Prices'!B475/'Adj Close Prices'!B474-1</f>
        <v>9.9677963502542433E-4</v>
      </c>
      <c r="C474" s="6">
        <f>'Adj Close Prices'!C475/'Adj Close Prices'!C474-1</f>
        <v>1.5308911973756167E-2</v>
      </c>
      <c r="D474" s="6">
        <f>'Adj Close Prices'!D475/'Adj Close Prices'!D474-1</f>
        <v>1.5250544662309462E-2</v>
      </c>
      <c r="E474" s="6">
        <f>'Adj Close Prices'!E475/'Adj Close Prices'!E474-1</f>
        <v>2.0214030915576719E-2</v>
      </c>
      <c r="F474" s="6">
        <f>'Adj Close Prices'!F475/'Adj Close Prices'!F474-1</f>
        <v>0</v>
      </c>
      <c r="G474" s="6">
        <f>'Adj Close Prices'!G475/'Adj Close Prices'!G474-1</f>
        <v>1.323044670764606E-3</v>
      </c>
    </row>
    <row r="475" spans="1:7" x14ac:dyDescent="0.45">
      <c r="A475" s="2">
        <f>'Adj Close Prices'!A476</f>
        <v>45768</v>
      </c>
      <c r="B475" s="6">
        <f>'Adj Close Prices'!B476/'Adj Close Prices'!B475-1</f>
        <v>-2.3247797778628954E-2</v>
      </c>
      <c r="C475" s="6">
        <f>'Adj Close Prices'!C476/'Adj Close Prices'!C475-1</f>
        <v>-2.4771136241249381E-2</v>
      </c>
      <c r="D475" s="6">
        <f>'Adj Close Prices'!D476/'Adj Close Prices'!D475-1</f>
        <v>-2.0386266094420513E-2</v>
      </c>
      <c r="E475" s="6">
        <f>'Adj Close Prices'!E476/'Adj Close Prices'!E475-1</f>
        <v>-1.9036519036518929E-2</v>
      </c>
      <c r="F475" s="6">
        <f>'Adj Close Prices'!F476/'Adj Close Prices'!F475-1</f>
        <v>6.2240663900392512E-4</v>
      </c>
      <c r="G475" s="6">
        <f>'Adj Close Prices'!G476/'Adj Close Prices'!G475-1</f>
        <v>-2.3567538507843544E-2</v>
      </c>
    </row>
    <row r="476" spans="1:7" x14ac:dyDescent="0.45">
      <c r="A476" s="2">
        <f>'Adj Close Prices'!A477</f>
        <v>45769</v>
      </c>
      <c r="B476" s="6">
        <f>'Adj Close Prices'!B477/'Adj Close Prices'!B476-1</f>
        <v>2.517350899894133E-2</v>
      </c>
      <c r="C476" s="6">
        <f>'Adj Close Prices'!C477/'Adj Close Prices'!C476-1</f>
        <v>2.5400331308669255E-2</v>
      </c>
      <c r="D476" s="6">
        <f>'Adj Close Prices'!D477/'Adj Close Prices'!D476-1</f>
        <v>1.642935377875121E-2</v>
      </c>
      <c r="E476" s="6">
        <f>'Adj Close Prices'!E477/'Adj Close Prices'!E476-1</f>
        <v>1.3861386138613874E-2</v>
      </c>
      <c r="F476" s="6">
        <f>'Adj Close Prices'!F477/'Adj Close Prices'!F476-1</f>
        <v>0</v>
      </c>
      <c r="G476" s="6">
        <f>'Adj Close Prices'!G477/'Adj Close Prices'!G476-1</f>
        <v>2.5121214999835439E-2</v>
      </c>
    </row>
    <row r="477" spans="1:7" x14ac:dyDescent="0.45">
      <c r="A477" s="2">
        <f>'Adj Close Prices'!A478</f>
        <v>45770</v>
      </c>
      <c r="B477" s="6">
        <f>'Adj Close Prices'!B478/'Adj Close Prices'!B477-1</f>
        <v>1.6006884681583511E-2</v>
      </c>
      <c r="C477" s="6">
        <f>'Adj Close Prices'!C478/'Adj Close Prices'!C477-1</f>
        <v>1.7232094776521212E-2</v>
      </c>
      <c r="D477" s="6">
        <f>'Adj Close Prices'!D478/'Adj Close Prices'!D477-1</f>
        <v>1.7780172413793149E-2</v>
      </c>
      <c r="E477" s="6">
        <f>'Adj Close Prices'!E478/'Adj Close Prices'!E477-1</f>
        <v>1.4453124999999956E-2</v>
      </c>
      <c r="F477" s="6">
        <f>'Adj Close Prices'!F478/'Adj Close Prices'!F477-1</f>
        <v>-2.0733982998133449E-4</v>
      </c>
      <c r="G477" s="6">
        <f>'Adj Close Prices'!G478/'Adj Close Prices'!G477-1</f>
        <v>1.6657305442558945E-2</v>
      </c>
    </row>
    <row r="478" spans="1:7" x14ac:dyDescent="0.45">
      <c r="A478" s="2">
        <f>'Adj Close Prices'!A479</f>
        <v>45771</v>
      </c>
      <c r="B478" s="6">
        <f>'Adj Close Prices'!B479/'Adj Close Prices'!B478-1</f>
        <v>2.1138027744837862E-2</v>
      </c>
      <c r="C478" s="6">
        <f>'Adj Close Prices'!C479/'Adj Close Prices'!C478-1</f>
        <v>1.6940179989412441E-2</v>
      </c>
      <c r="D478" s="6">
        <f>'Adj Close Prices'!D479/'Adj Close Prices'!D478-1</f>
        <v>6.3525674960296374E-3</v>
      </c>
      <c r="E478" s="6">
        <f>'Adj Close Prices'!E479/'Adj Close Prices'!E478-1</f>
        <v>7.7011936850213125E-3</v>
      </c>
      <c r="F478" s="6">
        <f>'Adj Close Prices'!F479/'Adj Close Prices'!F478-1</f>
        <v>8.2953131480700826E-4</v>
      </c>
      <c r="G478" s="6">
        <f>'Adj Close Prices'!G479/'Adj Close Prices'!G478-1</f>
        <v>2.0262842155194027E-2</v>
      </c>
    </row>
    <row r="479" spans="1:7" x14ac:dyDescent="0.45">
      <c r="A479" s="2">
        <f>'Adj Close Prices'!A480</f>
        <v>45772</v>
      </c>
      <c r="B479" s="6">
        <f>'Adj Close Prices'!B480/'Adj Close Prices'!B479-1</f>
        <v>7.2258064516128595E-3</v>
      </c>
      <c r="C479" s="6">
        <f>'Adj Close Prices'!C480/'Adj Close Prices'!C479-1</f>
        <v>0</v>
      </c>
      <c r="D479" s="6">
        <f>'Adj Close Prices'!D480/'Adj Close Prices'!D479-1</f>
        <v>4.2083114150446299E-3</v>
      </c>
      <c r="E479" s="6">
        <f>'Adj Close Prices'!E480/'Adj Close Prices'!E479-1</f>
        <v>8.7886893389375054E-3</v>
      </c>
      <c r="F479" s="6">
        <f>'Adj Close Prices'!F480/'Adj Close Prices'!F479-1</f>
        <v>8.2884376295067064E-4</v>
      </c>
      <c r="G479" s="6">
        <f>'Adj Close Prices'!G480/'Adj Close Prices'!G479-1</f>
        <v>7.3731307363287257E-3</v>
      </c>
    </row>
    <row r="480" spans="1:7" x14ac:dyDescent="0.45">
      <c r="A480" s="2">
        <f>'Adj Close Prices'!A481</f>
        <v>45775</v>
      </c>
      <c r="B480" s="6">
        <f>'Adj Close Prices'!B481/'Adj Close Prices'!B480-1</f>
        <v>4.3922257604034343E-4</v>
      </c>
      <c r="C480" s="6">
        <f>'Adj Close Prices'!C481/'Adj Close Prices'!C480-1</f>
        <v>6.7673086933888182E-3</v>
      </c>
      <c r="D480" s="6">
        <f>'Adj Close Prices'!D481/'Adj Close Prices'!D480-1</f>
        <v>4.7145102147720941E-3</v>
      </c>
      <c r="E480" s="6">
        <f>'Adj Close Prices'!E481/'Adj Close Prices'!E480-1</f>
        <v>6.439393939394078E-3</v>
      </c>
      <c r="F480" s="6">
        <f>'Adj Close Prices'!F481/'Adj Close Prices'!F480-1</f>
        <v>8.2815734989671874E-4</v>
      </c>
      <c r="G480" s="6">
        <f>'Adj Close Prices'!G481/'Adj Close Prices'!G480-1</f>
        <v>6.370787045582027E-4</v>
      </c>
    </row>
    <row r="481" spans="1:7" x14ac:dyDescent="0.45">
      <c r="A481" s="2">
        <f>'Adj Close Prices'!A482</f>
        <v>45776</v>
      </c>
      <c r="B481" s="6">
        <f>'Adj Close Prices'!B482/'Adj Close Prices'!B481-1</f>
        <v>6.3476383858340757E-3</v>
      </c>
      <c r="C481" s="6">
        <f>'Adj Close Prices'!C482/'Adj Close Prices'!C481-1</f>
        <v>-2.7404343329886283E-2</v>
      </c>
      <c r="D481" s="6">
        <f>'Adj Close Prices'!D482/'Adj Close Prices'!D481-1</f>
        <v>-6.777893639207444E-3</v>
      </c>
      <c r="E481" s="6">
        <f>'Adj Close Prices'!E482/'Adj Close Prices'!E481-1</f>
        <v>-4.8927361686111892E-3</v>
      </c>
      <c r="F481" s="6">
        <f>'Adj Close Prices'!F482/'Adj Close Prices'!F481-1</f>
        <v>-4.1373603640881829E-4</v>
      </c>
      <c r="G481" s="6">
        <f>'Adj Close Prices'!G482/'Adj Close Prices'!G481-1</f>
        <v>5.8024070583895249E-3</v>
      </c>
    </row>
    <row r="482" spans="1:7" x14ac:dyDescent="0.45">
      <c r="A482" s="2">
        <f>'Adj Close Prices'!A483</f>
        <v>45777</v>
      </c>
      <c r="B482" s="6">
        <f>'Adj Close Prices'!B483/'Adj Close Prices'!B482-1</f>
        <v>1.8177521676694397E-3</v>
      </c>
      <c r="C482" s="6">
        <f>'Adj Close Prices'!C483/'Adj Close Prices'!C482-1</f>
        <v>0</v>
      </c>
      <c r="D482" s="6">
        <f>'Adj Close Prices'!D483/'Adj Close Prices'!D482-1</f>
        <v>-5.7742782152230276E-3</v>
      </c>
      <c r="E482" s="6">
        <f>'Adj Close Prices'!E483/'Adj Close Prices'!E482-1</f>
        <v>-1.3237518910741319E-2</v>
      </c>
      <c r="F482" s="6">
        <f>'Adj Close Prices'!F483/'Adj Close Prices'!F482-1</f>
        <v>6.2086092715230023E-4</v>
      </c>
      <c r="G482" s="6">
        <f>'Adj Close Prices'!G483/'Adj Close Prices'!G482-1</f>
        <v>1.4835941461870394E-3</v>
      </c>
    </row>
    <row r="483" spans="1:7" x14ac:dyDescent="0.45">
      <c r="A483" s="2">
        <f>'Adj Close Prices'!A484</f>
        <v>45778</v>
      </c>
      <c r="B483" s="6">
        <f>'Adj Close Prices'!B484/'Adj Close Prices'!B483-1</f>
        <v>5.6429517536698004E-3</v>
      </c>
      <c r="C483" s="6">
        <f>'Adj Close Prices'!C484/'Adj Close Prices'!C483-1</f>
        <v>-1.5948963317384268E-2</v>
      </c>
      <c r="D483" s="6">
        <f>'Adj Close Prices'!D484/'Adj Close Prices'!D483-1</f>
        <v>-9.5036958817317219E-3</v>
      </c>
      <c r="E483" s="6">
        <f>'Adj Close Prices'!E484/'Adj Close Prices'!E483-1</f>
        <v>-9.5822154082023658E-3</v>
      </c>
      <c r="F483" s="6">
        <f>'Adj Close Prices'!F484/'Adj Close Prices'!F483-1</f>
        <v>-6.2047569803513891E-4</v>
      </c>
      <c r="G483" s="6">
        <f>'Adj Close Prices'!G484/'Adj Close Prices'!G483-1</f>
        <v>6.2954856017252148E-3</v>
      </c>
    </row>
    <row r="484" spans="1:7" x14ac:dyDescent="0.45">
      <c r="A484" s="2">
        <f>'Adj Close Prices'!A485</f>
        <v>45779</v>
      </c>
      <c r="B484" s="6">
        <f>'Adj Close Prices'!B485/'Adj Close Prices'!B484-1</f>
        <v>1.4668735565819935E-2</v>
      </c>
      <c r="C484" s="6">
        <f>'Adj Close Prices'!C485/'Adj Close Prices'!C484-1</f>
        <v>2.2690437601296409E-2</v>
      </c>
      <c r="D484" s="6">
        <f>'Adj Close Prices'!D485/'Adj Close Prices'!D484-1</f>
        <v>1.4925373134328179E-2</v>
      </c>
      <c r="E484" s="6">
        <f>'Adj Close Prices'!E485/'Adj Close Prices'!E484-1</f>
        <v>2.2058823529411686E-2</v>
      </c>
      <c r="F484" s="6">
        <f>'Adj Close Prices'!F485/'Adj Close Prices'!F484-1</f>
        <v>6.2086092715230023E-4</v>
      </c>
      <c r="G484" s="6">
        <f>'Adj Close Prices'!G485/'Adj Close Prices'!G484-1</f>
        <v>1.4726639103660899E-2</v>
      </c>
    </row>
    <row r="485" spans="1:7" x14ac:dyDescent="0.45">
      <c r="A485" s="2">
        <f>'Adj Close Prices'!A486</f>
        <v>45782</v>
      </c>
      <c r="B485" s="6">
        <f>'Adj Close Prices'!B486/'Adj Close Prices'!B485-1</f>
        <v>-5.5657307466614458E-3</v>
      </c>
      <c r="C485" s="6">
        <f>'Adj Close Prices'!C486/'Adj Close Prices'!C485-1</f>
        <v>-1.2678288431061779E-2</v>
      </c>
      <c r="D485" s="6">
        <f>'Adj Close Prices'!D486/'Adj Close Prices'!D485-1</f>
        <v>-8.4033613445377853E-3</v>
      </c>
      <c r="E485" s="6">
        <f>'Adj Close Prices'!E486/'Adj Close Prices'!E485-1</f>
        <v>-7.1942446043166131E-3</v>
      </c>
      <c r="F485" s="6">
        <f>'Adj Close Prices'!F486/'Adj Close Prices'!F485-1</f>
        <v>-6.2047569803513891E-4</v>
      </c>
      <c r="G485" s="6">
        <f>'Adj Close Prices'!G486/'Adj Close Prices'!G485-1</f>
        <v>-6.3816018541639208E-3</v>
      </c>
    </row>
    <row r="486" spans="1:7" x14ac:dyDescent="0.45">
      <c r="A486" s="2">
        <f>'Adj Close Prices'!A487</f>
        <v>45783</v>
      </c>
      <c r="B486" s="6">
        <f>'Adj Close Prices'!B487/'Adj Close Prices'!B486-1</f>
        <v>-8.17180459194633E-3</v>
      </c>
      <c r="C486" s="6">
        <f>'Adj Close Prices'!C487/'Adj Close Prices'!C486-1</f>
        <v>6.9555912252541319E-3</v>
      </c>
      <c r="D486" s="6">
        <f>'Adj Close Prices'!D487/'Adj Close Prices'!D486-1</f>
        <v>7.9449152542374613E-3</v>
      </c>
      <c r="E486" s="6">
        <f>'Adj Close Prices'!E487/'Adj Close Prices'!E486-1</f>
        <v>3.8138825324196546E-4</v>
      </c>
      <c r="F486" s="6">
        <f>'Adj Close Prices'!F487/'Adj Close Prices'!F486-1</f>
        <v>6.2086092715230023E-4</v>
      </c>
      <c r="G486" s="6">
        <f>'Adj Close Prices'!G487/'Adj Close Prices'!G486-1</f>
        <v>-7.6933015006097616E-3</v>
      </c>
    </row>
    <row r="487" spans="1:7" x14ac:dyDescent="0.45">
      <c r="A487" s="2">
        <f>'Adj Close Prices'!A488</f>
        <v>45784</v>
      </c>
      <c r="B487" s="6">
        <f>'Adj Close Prices'!B488/'Adj Close Prices'!B487-1</f>
        <v>3.9663223177746065E-3</v>
      </c>
      <c r="C487" s="6">
        <f>'Adj Close Prices'!C488/'Adj Close Prices'!C487-1</f>
        <v>5.3134962805527763E-3</v>
      </c>
      <c r="D487" s="6">
        <f>'Adj Close Prices'!D488/'Adj Close Prices'!D487-1</f>
        <v>0</v>
      </c>
      <c r="E487" s="6">
        <f>'Adj Close Prices'!E488/'Adj Close Prices'!E487-1</f>
        <v>8.7685855890202724E-3</v>
      </c>
      <c r="F487" s="6">
        <f>'Adj Close Prices'!F488/'Adj Close Prices'!F487-1</f>
        <v>2.0682523267834263E-4</v>
      </c>
      <c r="G487" s="6">
        <f>'Adj Close Prices'!G488/'Adj Close Prices'!G487-1</f>
        <v>4.346430291248371E-3</v>
      </c>
    </row>
    <row r="488" spans="1:7" x14ac:dyDescent="0.45">
      <c r="A488" s="2">
        <f>'Adj Close Prices'!A489</f>
        <v>45785</v>
      </c>
      <c r="B488" s="6">
        <f>'Adj Close Prices'!B489/'Adj Close Prices'!B488-1</f>
        <v>6.3210444089283335E-3</v>
      </c>
      <c r="C488" s="6">
        <f>'Adj Close Prices'!C489/'Adj Close Prices'!C488-1</f>
        <v>1.0042283298097088E-2</v>
      </c>
      <c r="D488" s="6">
        <f>'Adj Close Prices'!D489/'Adj Close Prices'!D488-1</f>
        <v>1.4713610089332585E-2</v>
      </c>
      <c r="E488" s="6">
        <f>'Adj Close Prices'!E489/'Adj Close Prices'!E488-1</f>
        <v>1.1337868480725266E-3</v>
      </c>
      <c r="F488" s="6">
        <f>'Adj Close Prices'!F489/'Adj Close Prices'!F488-1</f>
        <v>-4.1356492969391034E-4</v>
      </c>
      <c r="G488" s="6">
        <f>'Adj Close Prices'!G489/'Adj Close Prices'!G488-1</f>
        <v>5.803309022653691E-3</v>
      </c>
    </row>
    <row r="489" spans="1:7" x14ac:dyDescent="0.45">
      <c r="A489" s="2">
        <f>'Adj Close Prices'!A490</f>
        <v>45786</v>
      </c>
      <c r="B489" s="6">
        <f>'Adj Close Prices'!B490/'Adj Close Prices'!B489-1</f>
        <v>-7.8516747265289233E-4</v>
      </c>
      <c r="C489" s="6">
        <f>'Adj Close Prices'!C490/'Adj Close Prices'!C489-1</f>
        <v>3.1397174254317317E-3</v>
      </c>
      <c r="D489" s="6">
        <f>'Adj Close Prices'!D490/'Adj Close Prices'!D489-1</f>
        <v>5.1786639047126659E-3</v>
      </c>
      <c r="E489" s="6">
        <f>'Adj Close Prices'!E490/'Adj Close Prices'!E489-1</f>
        <v>7.5500188750488029E-4</v>
      </c>
      <c r="F489" s="6">
        <f>'Adj Close Prices'!F490/'Adj Close Prices'!F489-1</f>
        <v>2.0686801820435363E-4</v>
      </c>
      <c r="G489" s="6">
        <f>'Adj Close Prices'!G490/'Adj Close Prices'!G489-1</f>
        <v>-7.1504868510496866E-4</v>
      </c>
    </row>
    <row r="490" spans="1:7" x14ac:dyDescent="0.45">
      <c r="A490" s="2">
        <f>'Adj Close Prices'!A491</f>
        <v>45789</v>
      </c>
      <c r="B490" s="6">
        <f>'Adj Close Prices'!B491/'Adj Close Prices'!B490-1</f>
        <v>3.3199392802928607E-2</v>
      </c>
      <c r="C490" s="6">
        <f>'Adj Close Prices'!C491/'Adj Close Prices'!C490-1</f>
        <v>2.5039123630672844E-2</v>
      </c>
      <c r="D490" s="6">
        <f>'Adj Close Prices'!D491/'Adj Close Prices'!D490-1</f>
        <v>2.5244719216898526E-2</v>
      </c>
      <c r="E490" s="6">
        <f>'Adj Close Prices'!E491/'Adj Close Prices'!E490-1</f>
        <v>2.866842700867589E-2</v>
      </c>
      <c r="F490" s="6">
        <f>'Adj Close Prices'!F491/'Adj Close Prices'!F490-1</f>
        <v>2.0682523267834263E-4</v>
      </c>
      <c r="G490" s="6">
        <f>'Adj Close Prices'!G491/'Adj Close Prices'!G490-1</f>
        <v>3.2562412763476489E-2</v>
      </c>
    </row>
    <row r="491" spans="1:7" x14ac:dyDescent="0.45">
      <c r="A491" s="2">
        <f>'Adj Close Prices'!A492</f>
        <v>45790</v>
      </c>
      <c r="B491" s="6">
        <f>'Adj Close Prices'!B492/'Adj Close Prices'!B491-1</f>
        <v>7.2250838317144961E-3</v>
      </c>
      <c r="C491" s="6">
        <f>'Adj Close Prices'!C492/'Adj Close Prices'!C491-1</f>
        <v>8.6513994910941694E-3</v>
      </c>
      <c r="D491" s="6">
        <f>'Adj Close Prices'!D492/'Adj Close Prices'!D491-1</f>
        <v>2.0603015075376874E-2</v>
      </c>
      <c r="E491" s="6">
        <f>'Adj Close Prices'!E492/'Adj Close Prices'!E491-1</f>
        <v>1.6134946828016083E-2</v>
      </c>
      <c r="F491" s="6">
        <f>'Adj Close Prices'!F492/'Adj Close Prices'!F491-1</f>
        <v>-4.1356492969391034E-4</v>
      </c>
      <c r="G491" s="6">
        <f>'Adj Close Prices'!G492/'Adj Close Prices'!G491-1</f>
        <v>7.2447897060332611E-3</v>
      </c>
    </row>
    <row r="492" spans="1:7" x14ac:dyDescent="0.45">
      <c r="A492" s="2">
        <f>'Adj Close Prices'!A493</f>
        <v>45791</v>
      </c>
      <c r="B492" s="6">
        <f>'Adj Close Prices'!B493/'Adj Close Prices'!B492-1</f>
        <v>5.6630971993398838E-4</v>
      </c>
      <c r="C492" s="6">
        <f>'Adj Close Prices'!C493/'Adj Close Prices'!C492-1</f>
        <v>-6.5590312815337892E-3</v>
      </c>
      <c r="D492" s="6">
        <f>'Adj Close Prices'!D493/'Adj Close Prices'!D492-1</f>
        <v>5.9084194977843119E-3</v>
      </c>
      <c r="E492" s="6">
        <f>'Adj Close Prices'!E493/'Adj Close Prices'!E492-1</f>
        <v>3.2479249368460028E-3</v>
      </c>
      <c r="F492" s="6">
        <f>'Adj Close Prices'!F493/'Adj Close Prices'!F492-1</f>
        <v>2.0686801820435363E-4</v>
      </c>
      <c r="G492" s="6">
        <f>'Adj Close Prices'!G493/'Adj Close Prices'!G492-1</f>
        <v>1.0243708528268058E-3</v>
      </c>
    </row>
    <row r="493" spans="1:7" x14ac:dyDescent="0.45">
      <c r="A493" s="2">
        <f>'Adj Close Prices'!A494</f>
        <v>45792</v>
      </c>
      <c r="B493" s="6">
        <f>'Adj Close Prices'!B494/'Adj Close Prices'!B493-1</f>
        <v>4.9223908755682277E-3</v>
      </c>
      <c r="C493" s="6">
        <f>'Adj Close Prices'!C494/'Adj Close Prices'!C493-1</f>
        <v>1.523616048755505E-3</v>
      </c>
      <c r="D493" s="6">
        <f>'Adj Close Prices'!D494/'Adj Close Prices'!D493-1</f>
        <v>-3.9158100832108467E-3</v>
      </c>
      <c r="E493" s="6">
        <f>'Adj Close Prices'!E494/'Adj Close Prices'!E493-1</f>
        <v>3.9568345323741649E-3</v>
      </c>
      <c r="F493" s="6">
        <f>'Adj Close Prices'!F494/'Adj Close Prices'!F493-1</f>
        <v>4.1365046535668526E-4</v>
      </c>
      <c r="G493" s="6">
        <f>'Adj Close Prices'!G494/'Adj Close Prices'!G493-1</f>
        <v>4.1323225689300358E-3</v>
      </c>
    </row>
    <row r="494" spans="1:7" x14ac:dyDescent="0.45">
      <c r="A494" s="2">
        <f>'Adj Close Prices'!A495</f>
        <v>45793</v>
      </c>
      <c r="B494" s="6">
        <f>'Adj Close Prices'!B495/'Adj Close Prices'!B494-1</f>
        <v>6.5025942108138945E-3</v>
      </c>
      <c r="C494" s="6">
        <f>'Adj Close Prices'!C495/'Adj Close Prices'!C494-1</f>
        <v>1.1156186612576224E-2</v>
      </c>
      <c r="D494" s="6">
        <f>'Adj Close Prices'!D495/'Adj Close Prices'!D494-1</f>
        <v>1.7199017199017064E-2</v>
      </c>
      <c r="E494" s="6">
        <f>'Adj Close Prices'!E495/'Adj Close Prices'!E494-1</f>
        <v>9.6739519885344905E-3</v>
      </c>
      <c r="F494" s="6">
        <f>'Adj Close Prices'!F495/'Adj Close Prices'!F494-1</f>
        <v>4.134794293984001E-4</v>
      </c>
      <c r="G494" s="6">
        <f>'Adj Close Prices'!G495/'Adj Close Prices'!G494-1</f>
        <v>7.0053338561277823E-3</v>
      </c>
    </row>
    <row r="495" spans="1:7" x14ac:dyDescent="0.45">
      <c r="A495" s="2">
        <f>'Adj Close Prices'!A496</f>
        <v>45796</v>
      </c>
      <c r="B495" s="6">
        <f>'Adj Close Prices'!B496/'Adj Close Prices'!B495-1</f>
        <v>1.2548115239177093E-3</v>
      </c>
      <c r="C495" s="6">
        <f>'Adj Close Prices'!C496/'Adj Close Prices'!C495-1</f>
        <v>0</v>
      </c>
      <c r="D495" s="6">
        <f>'Adj Close Prices'!D496/'Adj Close Prices'!D495-1</f>
        <v>4.3478260869564966E-3</v>
      </c>
      <c r="E495" s="6">
        <f>'Adj Close Prices'!E496/'Adj Close Prices'!E495-1</f>
        <v>8.1618168914123768E-3</v>
      </c>
      <c r="F495" s="6">
        <f>'Adj Close Prices'!F496/'Adj Close Prices'!F495-1</f>
        <v>2.0665426741062198E-4</v>
      </c>
      <c r="G495" s="6">
        <f>'Adj Close Prices'!G496/'Adj Close Prices'!G495-1</f>
        <v>8.7607852483140292E-4</v>
      </c>
    </row>
    <row r="496" spans="1:7" x14ac:dyDescent="0.45">
      <c r="A496" s="2">
        <f>'Adj Close Prices'!A497</f>
        <v>45797</v>
      </c>
      <c r="B496" s="6">
        <f>'Adj Close Prices'!B497/'Adj Close Prices'!B496-1</f>
        <v>-3.708909851474318E-3</v>
      </c>
      <c r="C496" s="6">
        <f>'Adj Close Prices'!C497/'Adj Close Prices'!C496-1</f>
        <v>4.0120361083249012E-3</v>
      </c>
      <c r="D496" s="6">
        <f>'Adj Close Prices'!D497/'Adj Close Prices'!D496-1</f>
        <v>1.1544011544011745E-2</v>
      </c>
      <c r="E496" s="6">
        <f>'Adj Close Prices'!E497/'Adj Close Prices'!E496-1</f>
        <v>2.1119324181626542E-3</v>
      </c>
      <c r="F496" s="6">
        <f>'Adj Close Prices'!F497/'Adj Close Prices'!F496-1</f>
        <v>4.1322314049585529E-4</v>
      </c>
      <c r="G496" s="6">
        <f>'Adj Close Prices'!G497/'Adj Close Prices'!G496-1</f>
        <v>-3.880213093120144E-3</v>
      </c>
    </row>
    <row r="497" spans="1:7" x14ac:dyDescent="0.45">
      <c r="A497" s="2">
        <f>'Adj Close Prices'!A498</f>
        <v>45798</v>
      </c>
      <c r="B497" s="6">
        <f>'Adj Close Prices'!B498/'Adj Close Prices'!B497-1</f>
        <v>-1.6624736520024386E-2</v>
      </c>
      <c r="C497" s="6">
        <f>'Adj Close Prices'!C498/'Adj Close Prices'!C497-1</f>
        <v>-2.0979020979020935E-2</v>
      </c>
      <c r="D497" s="6">
        <f>'Adj Close Prices'!D498/'Adj Close Prices'!D497-1</f>
        <v>-2.1398002853067144E-2</v>
      </c>
      <c r="E497" s="6">
        <f>'Adj Close Prices'!E498/'Adj Close Prices'!E497-1</f>
        <v>-2.5289778714436162E-2</v>
      </c>
      <c r="F497" s="6">
        <f>'Adj Close Prices'!F498/'Adj Close Prices'!F497-1</f>
        <v>-2.0652622883121641E-4</v>
      </c>
      <c r="G497" s="6">
        <f>'Adj Close Prices'!G498/'Adj Close Prices'!G497-1</f>
        <v>-1.6131774528865606E-2</v>
      </c>
    </row>
    <row r="498" spans="1:7" x14ac:dyDescent="0.45">
      <c r="A498" s="2">
        <f>'Adj Close Prices'!A499</f>
        <v>45799</v>
      </c>
      <c r="B498" s="6">
        <f>'Adj Close Prices'!B499/'Adj Close Prices'!B498-1</f>
        <v>1.5557476231631284E-4</v>
      </c>
      <c r="C498" s="6">
        <f>'Adj Close Prices'!C499/'Adj Close Prices'!C498-1</f>
        <v>-5.1020408163271469E-4</v>
      </c>
      <c r="D498" s="6">
        <f>'Adj Close Prices'!D499/'Adj Close Prices'!D498-1</f>
        <v>-5.3449951409134666E-3</v>
      </c>
      <c r="E498" s="6">
        <f>'Adj Close Prices'!E499/'Adj Close Prices'!E498-1</f>
        <v>-7.2072072072071336E-4</v>
      </c>
      <c r="F498" s="6">
        <f>'Adj Close Prices'!F499/'Adj Close Prices'!F498-1</f>
        <v>0</v>
      </c>
      <c r="G498" s="6">
        <f>'Adj Close Prices'!G499/'Adj Close Prices'!G498-1</f>
        <v>-4.4827550807402528E-4</v>
      </c>
    </row>
    <row r="499" spans="1:7" x14ac:dyDescent="0.45">
      <c r="A499" s="2">
        <f>'Adj Close Prices'!A500</f>
        <v>45800</v>
      </c>
      <c r="B499" s="6">
        <f>'Adj Close Prices'!B500/'Adj Close Prices'!B499-1</f>
        <v>-6.4121398572392074E-3</v>
      </c>
      <c r="C499" s="6">
        <f>'Adj Close Prices'!C500/'Adj Close Prices'!C499-1</f>
        <v>3.0627871362940429E-3</v>
      </c>
      <c r="D499" s="6">
        <f>'Adj Close Prices'!D500/'Adj Close Prices'!D499-1</f>
        <v>6.8392769907181794E-3</v>
      </c>
      <c r="E499" s="6">
        <f>'Adj Close Prices'!E500/'Adj Close Prices'!E499-1</f>
        <v>5.0486837360259607E-3</v>
      </c>
      <c r="F499" s="6">
        <f>'Adj Close Prices'!F500/'Adj Close Prices'!F499-1</f>
        <v>4.1313778145024571E-4</v>
      </c>
      <c r="G499" s="6">
        <f>'Adj Close Prices'!G500/'Adj Close Prices'!G499-1</f>
        <v>-6.7048955837042401E-3</v>
      </c>
    </row>
    <row r="500" spans="1:7" x14ac:dyDescent="0.45">
      <c r="A500" s="2">
        <f>'Adj Close Prices'!A501</f>
        <v>45804</v>
      </c>
      <c r="B500" s="6">
        <f>'Adj Close Prices'!B501/'Adj Close Prices'!B500-1</f>
        <v>2.0508627887559028E-2</v>
      </c>
      <c r="C500" s="6">
        <f>'Adj Close Prices'!C501/'Adj Close Prices'!C500-1</f>
        <v>1.7811704834605591E-2</v>
      </c>
      <c r="D500" s="6">
        <f>'Adj Close Prices'!D501/'Adj Close Prices'!D500-1</f>
        <v>1.7467248908296984E-2</v>
      </c>
      <c r="E500" s="6">
        <f>'Adj Close Prices'!E501/'Adj Close Prices'!E500-1</f>
        <v>2.0093290276282705E-2</v>
      </c>
      <c r="F500" s="6">
        <f>'Adj Close Prices'!F501/'Adj Close Prices'!F500-1</f>
        <v>1.0324179227749752E-3</v>
      </c>
      <c r="G500" s="6">
        <f>'Adj Close Prices'!G501/'Adj Close Prices'!G500-1</f>
        <v>2.0455536350366899E-2</v>
      </c>
    </row>
    <row r="501" spans="1:7" x14ac:dyDescent="0.45">
      <c r="A501" s="2">
        <f>'Adj Close Prices'!A502</f>
        <v>45805</v>
      </c>
      <c r="B501" s="6">
        <f>'Adj Close Prices'!B502/'Adj Close Prices'!B501-1</f>
        <v>-5.8976937631034509E-3</v>
      </c>
      <c r="C501" s="6">
        <f>'Adj Close Prices'!C502/'Adj Close Prices'!C501-1</f>
        <v>9.9999999999988987E-4</v>
      </c>
      <c r="D501" s="6">
        <f>'Adj Close Prices'!D502/'Adj Close Prices'!D501-1</f>
        <v>3.3381020505485193E-3</v>
      </c>
      <c r="E501" s="6">
        <f>'Adj Close Prices'!E502/'Adj Close Prices'!E501-1</f>
        <v>-2.110446711220515E-3</v>
      </c>
      <c r="F501" s="6">
        <f>'Adj Close Prices'!F502/'Adj Close Prices'!F501-1</f>
        <v>-2.0627062706268795E-4</v>
      </c>
      <c r="G501" s="6">
        <f>'Adj Close Prices'!G502/'Adj Close Prices'!G501-1</f>
        <v>-5.5678177768244685E-3</v>
      </c>
    </row>
    <row r="502" spans="1:7" x14ac:dyDescent="0.45">
      <c r="A502" s="2">
        <f>'Adj Close Prices'!A503</f>
        <v>45806</v>
      </c>
      <c r="B502" s="6">
        <f>'Adj Close Prices'!B503/'Adj Close Prices'!B502-1</f>
        <v>3.9608374342001706E-3</v>
      </c>
      <c r="C502" s="6">
        <f>'Adj Close Prices'!C503/'Adj Close Prices'!C502-1</f>
        <v>0</v>
      </c>
      <c r="D502" s="6">
        <f>'Adj Close Prices'!D503/'Adj Close Prices'!D502-1</f>
        <v>4.7528517110266844E-3</v>
      </c>
      <c r="E502" s="6">
        <f>'Adj Close Prices'!E503/'Adj Close Prices'!E502-1</f>
        <v>3.5248501938667243E-3</v>
      </c>
      <c r="F502" s="6">
        <f>'Adj Close Prices'!F503/'Adj Close Prices'!F502-1</f>
        <v>2.0631318341246541E-4</v>
      </c>
      <c r="G502" s="6">
        <f>'Adj Close Prices'!G503/'Adj Close Prices'!G502-1</f>
        <v>4.0111674161424915E-3</v>
      </c>
    </row>
    <row r="503" spans="1:7" x14ac:dyDescent="0.45">
      <c r="A503" s="2">
        <f>'Adj Close Prices'!A504</f>
        <v>45807</v>
      </c>
      <c r="B503" s="6">
        <f>'Adj Close Prices'!B504/'Adj Close Prices'!B503-1</f>
        <v>-1.0588878262057788E-3</v>
      </c>
      <c r="C503" s="6">
        <f>'Adj Close Prices'!C504/'Adj Close Prices'!C503-1</f>
        <v>2.4975024975024684E-3</v>
      </c>
      <c r="D503" s="6">
        <f>'Adj Close Prices'!D504/'Adj Close Prices'!D503-1</f>
        <v>7.5685903500473106E-3</v>
      </c>
      <c r="E503" s="6">
        <f>'Adj Close Prices'!E504/'Adj Close Prices'!E503-1</f>
        <v>-2.8099754127151044E-3</v>
      </c>
      <c r="F503" s="6">
        <f>'Adj Close Prices'!F504/'Adj Close Prices'!F503-1</f>
        <v>4.125412541253759E-4</v>
      </c>
      <c r="G503" s="6">
        <f>'Adj Close Prices'!G504/'Adj Close Prices'!G503-1</f>
        <v>-8.4571173408098943E-5</v>
      </c>
    </row>
    <row r="504" spans="1:7" x14ac:dyDescent="0.45">
      <c r="A504" s="2">
        <f>'Adj Close Prices'!A505</f>
        <v>45810</v>
      </c>
      <c r="B504" s="6">
        <f>'Adj Close Prices'!B505/'Adj Close Prices'!B504-1</f>
        <v>5.8129594802529549E-3</v>
      </c>
      <c r="C504" s="6">
        <f>'Adj Close Prices'!C505/'Adj Close Prices'!C504-1</f>
        <v>-3.4877927254608476E-3</v>
      </c>
      <c r="D504" s="6">
        <f>'Adj Close Prices'!D505/'Adj Close Prices'!D504-1</f>
        <v>-4.6948356807512415E-3</v>
      </c>
      <c r="E504" s="6">
        <f>'Adj Close Prices'!E505/'Adj Close Prices'!E504-1</f>
        <v>-6.3402606551602458E-3</v>
      </c>
      <c r="F504" s="6">
        <f>'Adj Close Prices'!F505/'Adj Close Prices'!F504-1</f>
        <v>4.1237113402070591E-4</v>
      </c>
      <c r="G504" s="6">
        <f>'Adj Close Prices'!G505/'Adj Close Prices'!G504-1</f>
        <v>4.1054319584279408E-3</v>
      </c>
    </row>
    <row r="505" spans="1:7" x14ac:dyDescent="0.45">
      <c r="A505" s="2">
        <f>'Adj Close Prices'!A506</f>
        <v>45811</v>
      </c>
      <c r="B505" s="6">
        <f>'Adj Close Prices'!B506/'Adj Close Prices'!B505-1</f>
        <v>5.6093829678736107E-3</v>
      </c>
      <c r="C505" s="6">
        <f>'Adj Close Prices'!C506/'Adj Close Prices'!C505-1</f>
        <v>-5.0000000000005596E-4</v>
      </c>
      <c r="D505" s="6">
        <f>'Adj Close Prices'!D506/'Adj Close Prices'!D505-1</f>
        <v>7.547169811320753E-3</v>
      </c>
      <c r="E505" s="6">
        <f>'Adj Close Prices'!E506/'Adj Close Prices'!E505-1</f>
        <v>-2.8358738036158293E-3</v>
      </c>
      <c r="F505" s="6">
        <f>'Adj Close Prices'!F506/'Adj Close Prices'!F505-1</f>
        <v>0</v>
      </c>
      <c r="G505" s="6">
        <f>'Adj Close Prices'!G506/'Adj Close Prices'!G505-1</f>
        <v>5.7968817122786565E-3</v>
      </c>
    </row>
    <row r="506" spans="1:7" x14ac:dyDescent="0.45">
      <c r="A506" s="2">
        <f>'Adj Close Prices'!A507</f>
        <v>45812</v>
      </c>
      <c r="B506" s="6">
        <f>'Adj Close Prices'!B507/'Adj Close Prices'!B506-1</f>
        <v>-2.7045300878969503E-4</v>
      </c>
      <c r="C506" s="6">
        <f>'Adj Close Prices'!C507/'Adj Close Prices'!C506-1</f>
        <v>-1.5007503751874873E-3</v>
      </c>
      <c r="D506" s="6">
        <f>'Adj Close Prices'!D507/'Adj Close Prices'!D506-1</f>
        <v>-6.0861423220973654E-3</v>
      </c>
      <c r="E506" s="6">
        <f>'Adj Close Prices'!E507/'Adj Close Prices'!E506-1</f>
        <v>-1.0664770707429216E-3</v>
      </c>
      <c r="F506" s="6">
        <f>'Adj Close Prices'!F507/'Adj Close Prices'!F506-1</f>
        <v>6.183017312446637E-4</v>
      </c>
      <c r="G506" s="6">
        <f>'Adj Close Prices'!G507/'Adj Close Prices'!G506-1</f>
        <v>7.7047280230946313E-5</v>
      </c>
    </row>
    <row r="507" spans="1:7" x14ac:dyDescent="0.45">
      <c r="A507" s="2">
        <f>'Adj Close Prices'!A508</f>
        <v>45813</v>
      </c>
      <c r="B507" s="6">
        <f>'Adj Close Prices'!B508/'Adj Close Prices'!B507-1</f>
        <v>-4.6496686054375846E-3</v>
      </c>
      <c r="C507" s="6">
        <f>'Adj Close Prices'!C508/'Adj Close Prices'!C507-1</f>
        <v>1.0020040080160886E-3</v>
      </c>
      <c r="D507" s="6">
        <f>'Adj Close Prices'!D508/'Adj Close Prices'!D507-1</f>
        <v>3.2972209138011355E-3</v>
      </c>
      <c r="E507" s="6">
        <f>'Adj Close Prices'!E508/'Adj Close Prices'!E507-1</f>
        <v>6.7615658362989439E-3</v>
      </c>
      <c r="F507" s="6">
        <f>'Adj Close Prices'!F508/'Adj Close Prices'!F507-1</f>
        <v>-6.1791967044266816E-4</v>
      </c>
      <c r="G507" s="6">
        <f>'Adj Close Prices'!G508/'Adj Close Prices'!G507-1</f>
        <v>-5.2806817154091856E-3</v>
      </c>
    </row>
    <row r="508" spans="1:7" x14ac:dyDescent="0.45">
      <c r="A508" s="2">
        <f>'Adj Close Prices'!A509</f>
        <v>45814</v>
      </c>
      <c r="B508" s="6">
        <f>'Adj Close Prices'!B509/'Adj Close Prices'!B508-1</f>
        <v>1.0090200275187255E-2</v>
      </c>
      <c r="C508" s="6">
        <f>'Adj Close Prices'!C509/'Adj Close Prices'!C508-1</f>
        <v>1.1011011011010874E-2</v>
      </c>
      <c r="D508" s="6">
        <f>'Adj Close Prices'!D509/'Adj Close Prices'!D508-1</f>
        <v>3.7558685446008599E-3</v>
      </c>
      <c r="E508" s="6">
        <f>'Adj Close Prices'!E509/'Adj Close Prices'!E508-1</f>
        <v>6.3626723223753068E-3</v>
      </c>
      <c r="F508" s="6">
        <f>'Adj Close Prices'!F509/'Adj Close Prices'!F508-1</f>
        <v>0</v>
      </c>
      <c r="G508" s="6">
        <f>'Adj Close Prices'!G509/'Adj Close Prices'!G508-1</f>
        <v>1.0284057522027101E-2</v>
      </c>
    </row>
    <row r="509" spans="1:7" x14ac:dyDescent="0.45">
      <c r="A509" s="2">
        <f>'Adj Close Prices'!A510</f>
        <v>45817</v>
      </c>
      <c r="B509" s="6">
        <f>'Adj Close Prices'!B510/'Adj Close Prices'!B509-1</f>
        <v>9.4176210416563322E-4</v>
      </c>
      <c r="C509" s="6">
        <f>'Adj Close Prices'!C510/'Adj Close Prices'!C509-1</f>
        <v>9.9009900990099098E-4</v>
      </c>
      <c r="D509" s="6">
        <f>'Adj Close Prices'!D510/'Adj Close Prices'!D509-1</f>
        <v>4.6772684752105498E-3</v>
      </c>
      <c r="E509" s="6">
        <f>'Adj Close Prices'!E510/'Adj Close Prices'!E509-1</f>
        <v>-1.0537407797680531E-3</v>
      </c>
      <c r="F509" s="6">
        <f>'Adj Close Prices'!F510/'Adj Close Prices'!F509-1</f>
        <v>6.183017312446637E-4</v>
      </c>
      <c r="G509" s="6">
        <f>'Adj Close Prices'!G510/'Adj Close Prices'!G509-1</f>
        <v>9.1994327016498012E-4</v>
      </c>
    </row>
    <row r="510" spans="1:7" x14ac:dyDescent="0.45">
      <c r="A510" s="2">
        <f>'Adj Close Prices'!A511</f>
        <v>45818</v>
      </c>
      <c r="B510" s="6">
        <f>'Adj Close Prices'!B511/'Adj Close Prices'!B510-1</f>
        <v>5.7460642819939789E-3</v>
      </c>
      <c r="C510" s="6">
        <f>'Adj Close Prices'!C511/'Adj Close Prices'!C510-1</f>
        <v>5.4401582591492303E-3</v>
      </c>
      <c r="D510" s="6">
        <f>'Adj Close Prices'!D511/'Adj Close Prices'!D510-1</f>
        <v>0</v>
      </c>
      <c r="E510" s="6">
        <f>'Adj Close Prices'!E511/'Adj Close Prices'!E510-1</f>
        <v>2.1097046413500742E-3</v>
      </c>
      <c r="F510" s="6">
        <f>'Adj Close Prices'!F511/'Adj Close Prices'!F510-1</f>
        <v>-2.0597322348092639E-4</v>
      </c>
      <c r="G510" s="6">
        <f>'Adj Close Prices'!G511/'Adj Close Prices'!G510-1</f>
        <v>5.4796208388765422E-3</v>
      </c>
    </row>
    <row r="511" spans="1:7" x14ac:dyDescent="0.45">
      <c r="A511" s="2">
        <f>'Adj Close Prices'!A512</f>
        <v>45819</v>
      </c>
      <c r="B511" s="6">
        <f>'Adj Close Prices'!B512/'Adj Close Prices'!B511-1</f>
        <v>-2.8399124638747164E-3</v>
      </c>
      <c r="C511" s="6">
        <f>'Adj Close Prices'!C512/'Adj Close Prices'!C511-1</f>
        <v>4.4269552385638455E-3</v>
      </c>
      <c r="D511" s="6">
        <f>'Adj Close Prices'!D512/'Adj Close Prices'!D511-1</f>
        <v>0</v>
      </c>
      <c r="E511" s="6">
        <f>'Adj Close Prices'!E512/'Adj Close Prices'!E511-1</f>
        <v>-3.8596491228070073E-3</v>
      </c>
      <c r="F511" s="6">
        <f>'Adj Close Prices'!F512/'Adj Close Prices'!F511-1</f>
        <v>4.1203131438005691E-4</v>
      </c>
      <c r="G511" s="6">
        <f>'Adj Close Prices'!G512/'Adj Close Prices'!G511-1</f>
        <v>-2.7406107173610916E-3</v>
      </c>
    </row>
    <row r="512" spans="1:7" x14ac:dyDescent="0.45">
      <c r="A512" s="2">
        <f>'Adj Close Prices'!A513</f>
        <v>45820</v>
      </c>
      <c r="B512" s="6">
        <f>'Adj Close Prices'!B513/'Adj Close Prices'!B512-1</f>
        <v>3.6521418639325898E-3</v>
      </c>
      <c r="C512" s="6">
        <f>'Adj Close Prices'!C513/'Adj Close Prices'!C512-1</f>
        <v>-6.8560235063663821E-3</v>
      </c>
      <c r="D512" s="6">
        <f>'Adj Close Prices'!D513/'Adj Close Prices'!D512-1</f>
        <v>4.655493482308426E-4</v>
      </c>
      <c r="E512" s="6">
        <f>'Adj Close Prices'!E513/'Adj Close Prices'!E512-1</f>
        <v>-1.0567101091933928E-3</v>
      </c>
      <c r="F512" s="6">
        <f>'Adj Close Prices'!F513/'Adj Close Prices'!F512-1</f>
        <v>4.1186161449746628E-4</v>
      </c>
      <c r="G512" s="6">
        <f>'Adj Close Prices'!G513/'Adj Close Prices'!G512-1</f>
        <v>3.8191705757815164E-3</v>
      </c>
    </row>
    <row r="513" spans="1:7" x14ac:dyDescent="0.45">
      <c r="A513" s="2">
        <f>'Adj Close Prices'!A514</f>
        <v>45821</v>
      </c>
      <c r="B513" s="6">
        <f>'Adj Close Prices'!B514/'Adj Close Prices'!B513-1</f>
        <v>-1.1083476606186027E-2</v>
      </c>
      <c r="C513" s="6">
        <f>'Adj Close Prices'!C514/'Adj Close Prices'!C513-1</f>
        <v>-1.2327416173570027E-2</v>
      </c>
      <c r="D513" s="6">
        <f>'Adj Close Prices'!D514/'Adj Close Prices'!D513-1</f>
        <v>-7.4453234062354934E-3</v>
      </c>
      <c r="E513" s="6">
        <f>'Adj Close Prices'!E514/'Adj Close Prices'!E513-1</f>
        <v>-6.6995768688292712E-3</v>
      </c>
      <c r="F513" s="6">
        <f>'Adj Close Prices'!F514/'Adj Close Prices'!F513-1</f>
        <v>2.0584602717188538E-4</v>
      </c>
      <c r="G513" s="6">
        <f>'Adj Close Prices'!G514/'Adj Close Prices'!G513-1</f>
        <v>-1.1296472437037353E-2</v>
      </c>
    </row>
    <row r="514" spans="1:7" x14ac:dyDescent="0.45">
      <c r="A514" s="2">
        <f>'Adj Close Prices'!A515</f>
        <v>45824</v>
      </c>
      <c r="B514" s="6">
        <f>'Adj Close Prices'!B515/'Adj Close Prices'!B514-1</f>
        <v>9.7729766224996517E-3</v>
      </c>
      <c r="C514" s="6">
        <f>'Adj Close Prices'!C515/'Adj Close Prices'!C514-1</f>
        <v>-9.4857713429855606E-3</v>
      </c>
      <c r="D514" s="6">
        <f>'Adj Close Prices'!D515/'Adj Close Prices'!D514-1</f>
        <v>-1.6877637130801704E-2</v>
      </c>
      <c r="E514" s="6">
        <f>'Adj Close Prices'!E515/'Adj Close Prices'!E514-1</f>
        <v>-1.3844515441959526E-2</v>
      </c>
      <c r="F514" s="6">
        <f>'Adj Close Prices'!F515/'Adj Close Prices'!F514-1</f>
        <v>2.0580366330524846E-4</v>
      </c>
      <c r="G514" s="6">
        <f>'Adj Close Prices'!G515/'Adj Close Prices'!G514-1</f>
        <v>9.3960809508513154E-3</v>
      </c>
    </row>
    <row r="515" spans="1:7" x14ac:dyDescent="0.45">
      <c r="A515" s="2">
        <f>'Adj Close Prices'!A516</f>
        <v>45825</v>
      </c>
      <c r="B515" s="6">
        <f>'Adj Close Prices'!B516/'Adj Close Prices'!B515-1</f>
        <v>-8.2909868948917165E-3</v>
      </c>
      <c r="C515" s="6">
        <f>'Adj Close Prices'!C516/'Adj Close Prices'!C515-1</f>
        <v>0</v>
      </c>
      <c r="D515" s="6">
        <f>'Adj Close Prices'!D516/'Adj Close Prices'!D515-1</f>
        <v>1.0014306151645336E-2</v>
      </c>
      <c r="E515" s="6">
        <f>'Adj Close Prices'!E516/'Adj Close Prices'!E515-1</f>
        <v>4.3196544276455917E-3</v>
      </c>
      <c r="F515" s="6">
        <f>'Adj Close Prices'!F516/'Adj Close Prices'!F515-1</f>
        <v>2.057613168724437E-4</v>
      </c>
      <c r="G515" s="6">
        <f>'Adj Close Prices'!G516/'Adj Close Prices'!G515-1</f>
        <v>-8.352229029092828E-3</v>
      </c>
    </row>
    <row r="516" spans="1:7" x14ac:dyDescent="0.45">
      <c r="A516" s="2">
        <f>'Adj Close Prices'!A517</f>
        <v>45826</v>
      </c>
      <c r="B516" s="6">
        <f>'Adj Close Prices'!B517/'Adj Close Prices'!B516-1</f>
        <v>-2.359762675296917E-4</v>
      </c>
      <c r="C516" s="6">
        <f>'Adj Close Prices'!C517/'Adj Close Prices'!C516-1</f>
        <v>8.5685483870967527E-3</v>
      </c>
      <c r="D516" s="6">
        <f>'Adj Close Prices'!D517/'Adj Close Prices'!D516-1</f>
        <v>1.5580736543909346E-2</v>
      </c>
      <c r="E516" s="6">
        <f>'Adj Close Prices'!E517/'Adj Close Prices'!E516-1</f>
        <v>5.734767025089571E-3</v>
      </c>
      <c r="F516" s="6">
        <f>'Adj Close Prices'!F517/'Adj Close Prices'!F516-1</f>
        <v>0</v>
      </c>
      <c r="G516" s="6">
        <f>'Adj Close Prices'!G517/'Adj Close Prices'!G516-1</f>
        <v>-3.1256633677267942E-4</v>
      </c>
    </row>
    <row r="517" spans="1:7" x14ac:dyDescent="0.45">
      <c r="A517" s="2">
        <f>'Adj Close Prices'!A518</f>
        <v>45828</v>
      </c>
      <c r="B517" s="6">
        <f>'Adj Close Prices'!B518/'Adj Close Prices'!B517-1</f>
        <v>-3.2707286643961497E-3</v>
      </c>
      <c r="C517" s="6">
        <f>'Adj Close Prices'!C518/'Adj Close Prices'!C517-1</f>
        <v>-4.9975012493763682E-4</v>
      </c>
      <c r="D517" s="6">
        <f>'Adj Close Prices'!D518/'Adj Close Prices'!D517-1</f>
        <v>4.6490004649000216E-3</v>
      </c>
      <c r="E517" s="6">
        <f>'Adj Close Prices'!E518/'Adj Close Prices'!E517-1</f>
        <v>-8.9094796863863346E-3</v>
      </c>
      <c r="F517" s="6">
        <f>'Adj Close Prices'!F518/'Adj Close Prices'!F517-1</f>
        <v>4.1143797572518181E-4</v>
      </c>
      <c r="G517" s="6">
        <f>'Adj Close Prices'!G518/'Adj Close Prices'!G517-1</f>
        <v>-2.1752724524565226E-3</v>
      </c>
    </row>
    <row r="518" spans="1:7" x14ac:dyDescent="0.45">
      <c r="A518" s="2">
        <f>'Adj Close Prices'!A519</f>
        <v>45831</v>
      </c>
      <c r="B518" s="6">
        <f>'Adj Close Prices'!B519/'Adj Close Prices'!B518-1</f>
        <v>1.050405953991862E-2</v>
      </c>
      <c r="C518" s="6">
        <f>'Adj Close Prices'!C519/'Adj Close Prices'!C518-1</f>
        <v>-1.0000000000000009E-3</v>
      </c>
      <c r="D518" s="6">
        <f>'Adj Close Prices'!D519/'Adj Close Prices'!D518-1</f>
        <v>-1.2494215640906914E-2</v>
      </c>
      <c r="E518" s="6">
        <f>'Adj Close Prices'!E519/'Adj Close Prices'!E518-1</f>
        <v>-9.349154980222818E-3</v>
      </c>
      <c r="F518" s="6">
        <f>'Adj Close Prices'!F519/'Adj Close Prices'!F518-1</f>
        <v>6.1690314620599374E-4</v>
      </c>
      <c r="G518" s="6">
        <f>'Adj Close Prices'!G519/'Adj Close Prices'!G518-1</f>
        <v>9.6031234029003709E-3</v>
      </c>
    </row>
    <row r="519" spans="1:7" x14ac:dyDescent="0.45">
      <c r="A519" s="2">
        <f>'Adj Close Prices'!A520</f>
        <v>45832</v>
      </c>
      <c r="B519" s="6">
        <f>'Adj Close Prices'!B520/'Adj Close Prices'!B519-1</f>
        <v>1.0913777807535885E-2</v>
      </c>
      <c r="C519" s="6">
        <f>'Adj Close Prices'!C520/'Adj Close Prices'!C519-1</f>
        <v>2.0020020020019569E-3</v>
      </c>
      <c r="D519" s="6">
        <f>'Adj Close Prices'!D520/'Adj Close Prices'!D519-1</f>
        <v>1.2183692596063889E-2</v>
      </c>
      <c r="E519" s="6">
        <f>'Adj Close Prices'!E520/'Adj Close Prices'!E519-1</f>
        <v>1.3067150635208691E-2</v>
      </c>
      <c r="F519" s="6">
        <f>'Adj Close Prices'!F520/'Adj Close Prices'!F519-1</f>
        <v>2.0550760378146293E-4</v>
      </c>
      <c r="G519" s="6">
        <f>'Adj Close Prices'!G520/'Adj Close Prices'!G519-1</f>
        <v>1.1125015767216029E-2</v>
      </c>
    </row>
    <row r="520" spans="1:7" x14ac:dyDescent="0.45">
      <c r="A520" s="2">
        <f>'Adj Close Prices'!A521</f>
        <v>45833</v>
      </c>
      <c r="B520" s="6">
        <f>'Adj Close Prices'!B521/'Adj Close Prices'!B520-1</f>
        <v>7.4511946748812008E-4</v>
      </c>
      <c r="C520" s="6">
        <f>'Adj Close Prices'!C521/'Adj Close Prices'!C520-1</f>
        <v>1.9980019980019303E-3</v>
      </c>
      <c r="D520" s="6">
        <f>'Adj Close Prices'!D521/'Adj Close Prices'!D520-1</f>
        <v>4.629629629628873E-4</v>
      </c>
      <c r="E520" s="6">
        <f>'Adj Close Prices'!E521/'Adj Close Prices'!E520-1</f>
        <v>1.4331780723755294E-3</v>
      </c>
      <c r="F520" s="6">
        <f>'Adj Close Prices'!F521/'Adj Close Prices'!F520-1</f>
        <v>0</v>
      </c>
      <c r="G520" s="6">
        <f>'Adj Close Prices'!G521/'Adj Close Prices'!G520-1</f>
        <v>-6.5657834046328745E-6</v>
      </c>
    </row>
    <row r="521" spans="1:7" x14ac:dyDescent="0.45">
      <c r="A521" s="2">
        <f>'Adj Close Prices'!A522</f>
        <v>45834</v>
      </c>
      <c r="B521" s="6">
        <f>'Adj Close Prices'!B522/'Adj Close Prices'!B521-1</f>
        <v>7.8592938217678654E-3</v>
      </c>
      <c r="C521" s="6">
        <f>'Adj Close Prices'!C522/'Adj Close Prices'!C521-1</f>
        <v>8.9730807577268479E-3</v>
      </c>
      <c r="D521" s="6">
        <f>'Adj Close Prices'!D522/'Adj Close Prices'!D521-1</f>
        <v>1.4345210550671172E-2</v>
      </c>
      <c r="E521" s="6">
        <f>'Adj Close Prices'!E522/'Adj Close Prices'!E521-1</f>
        <v>3.9355992844365417E-3</v>
      </c>
      <c r="F521" s="6">
        <f>'Adj Close Prices'!F522/'Adj Close Prices'!F521-1</f>
        <v>6.1639613725095188E-4</v>
      </c>
      <c r="G521" s="6">
        <f>'Adj Close Prices'!G522/'Adj Close Prices'!G521-1</f>
        <v>8.0201570873994488E-3</v>
      </c>
    </row>
    <row r="522" spans="1:7" x14ac:dyDescent="0.45">
      <c r="A522" s="2">
        <f>'Adj Close Prices'!A523</f>
        <v>45835</v>
      </c>
      <c r="B522" s="6">
        <f>'Adj Close Prices'!B523/'Adj Close Prices'!B522-1</f>
        <v>4.3997176300625274E-3</v>
      </c>
      <c r="C522" s="6">
        <f>'Adj Close Prices'!C523/'Adj Close Prices'!C522-1</f>
        <v>8.8932806324111269E-3</v>
      </c>
      <c r="D522" s="6">
        <f>'Adj Close Prices'!D523/'Adj Close Prices'!D522-1</f>
        <v>1.1405109489051046E-2</v>
      </c>
      <c r="E522" s="6">
        <f>'Adj Close Prices'!E523/'Adj Close Prices'!E522-1</f>
        <v>-5.3456878118317563E-3</v>
      </c>
      <c r="F522" s="6">
        <f>'Adj Close Prices'!F523/'Adj Close Prices'!F522-1</f>
        <v>4.1067761806967695E-4</v>
      </c>
      <c r="G522" s="6">
        <f>'Adj Close Prices'!G523/'Adj Close Prices'!G522-1</f>
        <v>5.2222679982607545E-3</v>
      </c>
    </row>
    <row r="523" spans="1:7" x14ac:dyDescent="0.45">
      <c r="A523" s="2">
        <f>'Adj Close Prices'!A524</f>
        <v>45838</v>
      </c>
      <c r="B523" s="6">
        <f>'Adj Close Prices'!B524/'Adj Close Prices'!B523-1</f>
        <v>5.5736257988592275E-3</v>
      </c>
      <c r="C523" s="6">
        <f>'Adj Close Prices'!C524/'Adj Close Prices'!C523-1</f>
        <v>4.8971596474034484E-4</v>
      </c>
      <c r="D523" s="6">
        <f>'Adj Close Prices'!D524/'Adj Close Prices'!D523-1</f>
        <v>1.8042399639150997E-3</v>
      </c>
      <c r="E523" s="6">
        <f>'Adj Close Prices'!E524/'Adj Close Prices'!E523-1</f>
        <v>6.0910068075956669E-3</v>
      </c>
      <c r="F523" s="6">
        <f>'Adj Close Prices'!F524/'Adj Close Prices'!F523-1</f>
        <v>4.1050903119876914E-4</v>
      </c>
      <c r="G523" s="6">
        <f>'Adj Close Prices'!G524/'Adj Close Prices'!G523-1</f>
        <v>5.1611189228066845E-3</v>
      </c>
    </row>
    <row r="524" spans="1:7" x14ac:dyDescent="0.45">
      <c r="A524" s="2">
        <f>'Adj Close Prices'!A525</f>
        <v>45839</v>
      </c>
      <c r="B524" s="6">
        <f>'Adj Close Prices'!B525/'Adj Close Prices'!B524-1</f>
        <v>-3.7385000487633047E-4</v>
      </c>
      <c r="C524" s="6">
        <f>'Adj Close Prices'!C525/'Adj Close Prices'!C524-1</f>
        <v>4.405286343612369E-3</v>
      </c>
      <c r="D524" s="6">
        <f>'Adj Close Prices'!D525/'Adj Close Prices'!D524-1</f>
        <v>-9.0049527239977056E-4</v>
      </c>
      <c r="E524" s="6">
        <f>'Adj Close Prices'!E525/'Adj Close Prices'!E524-1</f>
        <v>1.7806267806268483E-3</v>
      </c>
      <c r="F524" s="6">
        <f>'Adj Close Prices'!F525/'Adj Close Prices'!F524-1</f>
        <v>-4.1034058268374363E-4</v>
      </c>
      <c r="G524" s="6">
        <f>'Adj Close Prices'!G525/'Adj Close Prices'!G524-1</f>
        <v>-1.1152404374578095E-3</v>
      </c>
    </row>
    <row r="525" spans="1:7" x14ac:dyDescent="0.45">
      <c r="A525" s="2">
        <f>'Adj Close Prices'!A526</f>
        <v>45840</v>
      </c>
      <c r="B525" s="6">
        <f>'Adj Close Prices'!B526/'Adj Close Prices'!B525-1</f>
        <v>4.4390965706759822E-3</v>
      </c>
      <c r="C525" s="6">
        <f>'Adj Close Prices'!C526/'Adj Close Prices'!C525-1</f>
        <v>9.2592592592593004E-3</v>
      </c>
      <c r="D525" s="6">
        <f>'Adj Close Prices'!D526/'Adj Close Prices'!D525-1</f>
        <v>7.6611086074807044E-3</v>
      </c>
      <c r="E525" s="6">
        <f>'Adj Close Prices'!E526/'Adj Close Prices'!E525-1</f>
        <v>3.5549235691445524E-4</v>
      </c>
      <c r="F525" s="6">
        <f>'Adj Close Prices'!F526/'Adj Close Prices'!F525-1</f>
        <v>2.0525451559927355E-4</v>
      </c>
      <c r="G525" s="6">
        <f>'Adj Close Prices'!G526/'Adj Close Prices'!G525-1</f>
        <v>4.7418369092064871E-3</v>
      </c>
    </row>
    <row r="526" spans="1:7" x14ac:dyDescent="0.45">
      <c r="A526" s="2">
        <f>'Adj Close Prices'!A527</f>
        <v>45841</v>
      </c>
      <c r="B526" s="6">
        <f>'Adj Close Prices'!B527/'Adj Close Prices'!B526-1</f>
        <v>7.6086252671112575E-3</v>
      </c>
      <c r="C526" s="6">
        <f>'Adj Close Prices'!C527/'Adj Close Prices'!C526-1</f>
        <v>6.7600193143408926E-3</v>
      </c>
      <c r="D526" s="6">
        <f>'Adj Close Prices'!D527/'Adj Close Prices'!D526-1</f>
        <v>1.6547406082289884E-2</v>
      </c>
      <c r="E526" s="6">
        <f>'Adj Close Prices'!E527/'Adj Close Prices'!E526-1</f>
        <v>1.2437810945273631E-2</v>
      </c>
      <c r="F526" s="6">
        <f>'Adj Close Prices'!F527/'Adj Close Prices'!F526-1</f>
        <v>2.0521239482884646E-4</v>
      </c>
      <c r="G526" s="6">
        <f>'Adj Close Prices'!G527/'Adj Close Prices'!G526-1</f>
        <v>8.3421518737323286E-3</v>
      </c>
    </row>
    <row r="527" spans="1:7" x14ac:dyDescent="0.45">
      <c r="A527" s="2">
        <f>'Adj Close Prices'!A528</f>
        <v>45845</v>
      </c>
      <c r="B527" s="6">
        <f>'Adj Close Prices'!B528/'Adj Close Prices'!B527-1</f>
        <v>-6.9085183638056824E-3</v>
      </c>
      <c r="C527" s="6">
        <f>'Adj Close Prices'!C528/'Adj Close Prices'!C527-1</f>
        <v>-3.3573141486811231E-3</v>
      </c>
      <c r="D527" s="6">
        <f>'Adj Close Prices'!D528/'Adj Close Prices'!D527-1</f>
        <v>-1.7597888253409688E-2</v>
      </c>
      <c r="E527" s="6">
        <f>'Adj Close Prices'!E528/'Adj Close Prices'!E527-1</f>
        <v>-8.4240084240083668E-3</v>
      </c>
      <c r="F527" s="6">
        <f>'Adj Close Prices'!F528/'Adj Close Prices'!F527-1</f>
        <v>-2.0517029134192732E-4</v>
      </c>
      <c r="G527" s="6">
        <f>'Adj Close Prices'!G528/'Adj Close Prices'!G527-1</f>
        <v>-7.8622662182132874E-3</v>
      </c>
    </row>
    <row r="528" spans="1:7" x14ac:dyDescent="0.45">
      <c r="A528" s="2">
        <f>'Adj Close Prices'!A529</f>
        <v>45846</v>
      </c>
      <c r="B528" s="6">
        <f>'Adj Close Prices'!B529/'Adj Close Prices'!B528-1</f>
        <v>-7.9272633145666127E-4</v>
      </c>
      <c r="C528" s="6">
        <f>'Adj Close Prices'!C529/'Adj Close Prices'!C528-1</f>
        <v>3.8498556304138454E-3</v>
      </c>
      <c r="D528" s="6">
        <f>'Adj Close Prices'!D529/'Adj Close Prices'!D528-1</f>
        <v>7.1652485445587999E-3</v>
      </c>
      <c r="E528" s="6">
        <f>'Adj Close Prices'!E529/'Adj Close Prices'!E528-1</f>
        <v>3.1858407079645712E-3</v>
      </c>
      <c r="F528" s="6">
        <f>'Adj Close Prices'!F529/'Adj Close Prices'!F528-1</f>
        <v>0</v>
      </c>
      <c r="G528" s="6">
        <f>'Adj Close Prices'!G529/'Adj Close Prices'!G528-1</f>
        <v>-7.1910227785265679E-4</v>
      </c>
    </row>
    <row r="529" spans="1:7" x14ac:dyDescent="0.45">
      <c r="A529" s="2">
        <f>'Adj Close Prices'!A530</f>
        <v>45847</v>
      </c>
      <c r="B529" s="6">
        <f>'Adj Close Prices'!B530/'Adj Close Prices'!B529-1</f>
        <v>5.9258779528195138E-3</v>
      </c>
      <c r="C529" s="6">
        <f>'Adj Close Prices'!C530/'Adj Close Prices'!C529-1</f>
        <v>4.3144774688399501E-3</v>
      </c>
      <c r="D529" s="6">
        <f>'Adj Close Prices'!D530/'Adj Close Prices'!D529-1</f>
        <v>2.667852378835045E-3</v>
      </c>
      <c r="E529" s="6">
        <f>'Adj Close Prices'!E530/'Adj Close Prices'!E529-1</f>
        <v>2.4700070571630484E-3</v>
      </c>
      <c r="F529" s="6">
        <f>'Adj Close Prices'!F530/'Adj Close Prices'!F529-1</f>
        <v>6.1563718448587323E-4</v>
      </c>
      <c r="G529" s="6">
        <f>'Adj Close Prices'!G530/'Adj Close Prices'!G529-1</f>
        <v>6.0621539440142147E-3</v>
      </c>
    </row>
    <row r="530" spans="1:7" x14ac:dyDescent="0.45">
      <c r="A530" s="2">
        <f>'Adj Close Prices'!A531</f>
        <v>45848</v>
      </c>
      <c r="B530" s="6">
        <f>'Adj Close Prices'!B531/'Adj Close Prices'!B530-1</f>
        <v>2.9132933090827429E-3</v>
      </c>
      <c r="C530" s="6">
        <f>'Adj Close Prices'!C531/'Adj Close Prices'!C530-1</f>
        <v>1.193317422434359E-2</v>
      </c>
      <c r="D530" s="6">
        <f>'Adj Close Prices'!D531/'Adj Close Prices'!D530-1</f>
        <v>4.8780487804878092E-3</v>
      </c>
      <c r="E530" s="6">
        <f>'Adj Close Prices'!E531/'Adj Close Prices'!E530-1</f>
        <v>1.4431538190777804E-2</v>
      </c>
      <c r="F530" s="6">
        <f>'Adj Close Prices'!F531/'Adj Close Prices'!F530-1</f>
        <v>0</v>
      </c>
      <c r="G530" s="6">
        <f>'Adj Close Prices'!G531/'Adj Close Prices'!G530-1</f>
        <v>2.7493713327746416E-3</v>
      </c>
    </row>
    <row r="531" spans="1:7" x14ac:dyDescent="0.45">
      <c r="A531" s="2">
        <f>'Adj Close Prices'!A532</f>
        <v>45849</v>
      </c>
      <c r="B531" s="6">
        <f>'Adj Close Prices'!B532/'Adj Close Prices'!B531-1</f>
        <v>-3.8356604076391632E-3</v>
      </c>
      <c r="C531" s="6">
        <f>'Adj Close Prices'!C532/'Adj Close Prices'!C531-1</f>
        <v>2.3584905660378741E-3</v>
      </c>
      <c r="D531" s="6">
        <f>'Adj Close Prices'!D532/'Adj Close Prices'!D531-1</f>
        <v>1.765225066195919E-3</v>
      </c>
      <c r="E531" s="6">
        <f>'Adj Close Prices'!E532/'Adj Close Prices'!E531-1</f>
        <v>4.5107564191533278E-3</v>
      </c>
      <c r="F531" s="6">
        <f>'Adj Close Prices'!F532/'Adj Close Prices'!F531-1</f>
        <v>4.1017227235440323E-4</v>
      </c>
      <c r="G531" s="6">
        <f>'Adj Close Prices'!G532/'Adj Close Prices'!G531-1</f>
        <v>-3.3007083864743381E-3</v>
      </c>
    </row>
    <row r="532" spans="1:7" x14ac:dyDescent="0.45">
      <c r="A532" s="2">
        <f>'Adj Close Prices'!A533</f>
        <v>45852</v>
      </c>
      <c r="B532" s="6">
        <f>'Adj Close Prices'!B533/'Adj Close Prices'!B532-1</f>
        <v>2.0782652124180512E-3</v>
      </c>
      <c r="C532" s="6">
        <f>'Adj Close Prices'!C533/'Adj Close Prices'!C532-1</f>
        <v>9.4117647058822307E-4</v>
      </c>
      <c r="D532" s="6">
        <f>'Adj Close Prices'!D533/'Adj Close Prices'!D532-1</f>
        <v>1.7621145374449032E-3</v>
      </c>
      <c r="E532" s="6">
        <f>'Adj Close Prices'!E533/'Adj Close Prices'!E532-1</f>
        <v>5.8721934369603268E-3</v>
      </c>
      <c r="F532" s="6">
        <f>'Adj Close Prices'!F533/'Adj Close Prices'!F532-1</f>
        <v>2.0500205002038641E-4</v>
      </c>
      <c r="G532" s="6">
        <f>'Adj Close Prices'!G533/'Adj Close Prices'!G532-1</f>
        <v>1.4074066974028021E-3</v>
      </c>
    </row>
    <row r="533" spans="1:7" x14ac:dyDescent="0.45">
      <c r="A533" s="2">
        <f>'Adj Close Prices'!A534</f>
        <v>45853</v>
      </c>
      <c r="B533" s="6">
        <f>'Adj Close Prices'!B534/'Adj Close Prices'!B533-1</f>
        <v>-4.3890675241158306E-3</v>
      </c>
      <c r="C533" s="6">
        <f>'Adj Close Prices'!C534/'Adj Close Prices'!C533-1</f>
        <v>-4.7014574518099428E-3</v>
      </c>
      <c r="D533" s="6">
        <f>'Adj Close Prices'!D534/'Adj Close Prices'!D533-1</f>
        <v>3.5180299032542273E-3</v>
      </c>
      <c r="E533" s="6">
        <f>'Adj Close Prices'!E534/'Adj Close Prices'!E533-1</f>
        <v>6.8681318681318437E-4</v>
      </c>
      <c r="F533" s="6">
        <f>'Adj Close Prices'!F534/'Adj Close Prices'!F533-1</f>
        <v>0</v>
      </c>
      <c r="G533" s="6">
        <f>'Adj Close Prices'!G534/'Adj Close Prices'!G533-1</f>
        <v>-3.9530672962646562E-3</v>
      </c>
    </row>
    <row r="534" spans="1:7" x14ac:dyDescent="0.45">
      <c r="A534" s="2">
        <f>'Adj Close Prices'!A535</f>
        <v>45854</v>
      </c>
      <c r="B534" s="6">
        <f>'Adj Close Prices'!B535/'Adj Close Prices'!B534-1</f>
        <v>3.6171621425227229E-3</v>
      </c>
      <c r="C534" s="6">
        <f>'Adj Close Prices'!C535/'Adj Close Prices'!C534-1</f>
        <v>1.3698630136986356E-2</v>
      </c>
      <c r="D534" s="6">
        <f>'Adj Close Prices'!D535/'Adj Close Prices'!D534-1</f>
        <v>1.0517090271691343E-2</v>
      </c>
      <c r="E534" s="6">
        <f>'Adj Close Prices'!E535/'Adj Close Prices'!E534-1</f>
        <v>1.6129032258064502E-2</v>
      </c>
      <c r="F534" s="6">
        <f>'Adj Close Prices'!F535/'Adj Close Prices'!F534-1</f>
        <v>2.0496003279357744E-4</v>
      </c>
      <c r="G534" s="6">
        <f>'Adj Close Prices'!G535/'Adj Close Prices'!G534-1</f>
        <v>3.193583363896968E-3</v>
      </c>
    </row>
    <row r="535" spans="1:7" x14ac:dyDescent="0.45">
      <c r="A535" s="2">
        <f>'Adj Close Prices'!A536</f>
        <v>45855</v>
      </c>
      <c r="B535" s="6">
        <f>'Adj Close Prices'!B536/'Adj Close Prices'!B535-1</f>
        <v>5.8727936799085612E-3</v>
      </c>
      <c r="C535" s="6">
        <f>'Adj Close Prices'!C536/'Adj Close Prices'!C535-1</f>
        <v>7.9217148182664232E-3</v>
      </c>
      <c r="D535" s="6">
        <f>'Adj Close Prices'!D536/'Adj Close Prices'!D535-1</f>
        <v>1.5611448395490113E-2</v>
      </c>
      <c r="E535" s="6">
        <f>'Adj Close Prices'!E536/'Adj Close Prices'!E535-1</f>
        <v>6.7544748395809151E-4</v>
      </c>
      <c r="F535" s="6">
        <f>'Adj Close Prices'!F536/'Adj Close Prices'!F535-1</f>
        <v>2.0491803278699372E-4</v>
      </c>
      <c r="G535" s="6">
        <f>'Adj Close Prices'!G536/'Adj Close Prices'!G535-1</f>
        <v>5.3706190101394657E-3</v>
      </c>
    </row>
    <row r="536" spans="1:7" x14ac:dyDescent="0.45">
      <c r="A536" s="2">
        <f>'Adj Close Prices'!A537</f>
        <v>45856</v>
      </c>
      <c r="B536" s="6">
        <f>'Adj Close Prices'!B537/'Adj Close Prices'!B536-1</f>
        <v>-4.1589353125592865E-4</v>
      </c>
      <c r="C536" s="6">
        <f>'Adj Close Prices'!C537/'Adj Close Prices'!C536-1</f>
        <v>-1.3869625520109841E-3</v>
      </c>
      <c r="D536" s="6">
        <f>'Adj Close Prices'!D537/'Adj Close Prices'!D536-1</f>
        <v>-1.1955593509820672E-2</v>
      </c>
      <c r="E536" s="6">
        <f>'Adj Close Prices'!E537/'Adj Close Prices'!E536-1</f>
        <v>-2.0249746878163721E-3</v>
      </c>
      <c r="F536" s="6">
        <f>'Adj Close Prices'!F537/'Adj Close Prices'!F536-1</f>
        <v>6.1462814996926518E-4</v>
      </c>
      <c r="G536" s="6">
        <f>'Adj Close Prices'!G537/'Adj Close Prices'!G536-1</f>
        <v>-9.0514263936469774E-5</v>
      </c>
    </row>
    <row r="537" spans="1:7" x14ac:dyDescent="0.45">
      <c r="A537" s="2">
        <f>'Adj Close Prices'!A538</f>
        <v>45859</v>
      </c>
      <c r="B537" s="6">
        <f>'Adj Close Prices'!B538/'Adj Close Prices'!B537-1</f>
        <v>1.6802688430150869E-3</v>
      </c>
      <c r="C537" s="6">
        <f>'Adj Close Prices'!C538/'Adj Close Prices'!C537-1</f>
        <v>-1.7129629629629717E-2</v>
      </c>
      <c r="D537" s="6">
        <f>'Adj Close Prices'!D538/'Adj Close Prices'!D537-1</f>
        <v>-2.203975799481428E-2</v>
      </c>
      <c r="E537" s="6">
        <f>'Adj Close Prices'!E538/'Adj Close Prices'!E537-1</f>
        <v>-1.3189042948934748E-2</v>
      </c>
      <c r="F537" s="6">
        <f>'Adj Close Prices'!F538/'Adj Close Prices'!F537-1</f>
        <v>0</v>
      </c>
      <c r="G537" s="6">
        <f>'Adj Close Prices'!G538/'Adj Close Prices'!G537-1</f>
        <v>1.3991278081812997E-3</v>
      </c>
    </row>
    <row r="538" spans="1:7" x14ac:dyDescent="0.45">
      <c r="A538" s="2">
        <f>'Adj Close Prices'!A539</f>
        <v>45860</v>
      </c>
      <c r="B538" s="6">
        <f>'Adj Close Prices'!B539/'Adj Close Prices'!B538-1</f>
        <v>1.5975716910254789E-5</v>
      </c>
      <c r="C538" s="6">
        <f>'Adj Close Prices'!C539/'Adj Close Prices'!C538-1</f>
        <v>6.1234102684879499E-3</v>
      </c>
      <c r="D538" s="6">
        <f>'Adj Close Prices'!D539/'Adj Close Prices'!D538-1</f>
        <v>6.1864781263809565E-3</v>
      </c>
      <c r="E538" s="6">
        <f>'Adj Close Prices'!E539/'Adj Close Prices'!E538-1</f>
        <v>8.2248115147360856E-3</v>
      </c>
      <c r="F538" s="6">
        <f>'Adj Close Prices'!F539/'Adj Close Prices'!F538-1</f>
        <v>4.0950040950038513E-4</v>
      </c>
      <c r="G538" s="6">
        <f>'Adj Close Prices'!G539/'Adj Close Prices'!G538-1</f>
        <v>6.4070134594862438E-4</v>
      </c>
    </row>
    <row r="539" spans="1:7" x14ac:dyDescent="0.45">
      <c r="A539" s="2">
        <f>'Adj Close Prices'!A540</f>
        <v>45861</v>
      </c>
      <c r="B539" s="6">
        <f>'Adj Close Prices'!B540/'Adj Close Prices'!B539-1</f>
        <v>8.8504057767269106E-3</v>
      </c>
      <c r="C539" s="6">
        <f>'Adj Close Prices'!C540/'Adj Close Prices'!C539-1</f>
        <v>5.1498127340823263E-3</v>
      </c>
      <c r="D539" s="6">
        <f>'Adj Close Prices'!D540/'Adj Close Prices'!D539-1</f>
        <v>3.9525691699604515E-3</v>
      </c>
      <c r="E539" s="6">
        <f>'Adj Close Prices'!E540/'Adj Close Prices'!E539-1</f>
        <v>1.0197144799455993E-2</v>
      </c>
      <c r="F539" s="6">
        <f>'Adj Close Prices'!F540/'Adj Close Prices'!F539-1</f>
        <v>-2.0466639377814122E-4</v>
      </c>
      <c r="G539" s="6">
        <f>'Adj Close Prices'!G540/'Adj Close Prices'!G539-1</f>
        <v>7.8086987668055663E-3</v>
      </c>
    </row>
    <row r="540" spans="1:7" x14ac:dyDescent="0.45">
      <c r="A540" s="2">
        <f>'Adj Close Prices'!A541</f>
        <v>45862</v>
      </c>
      <c r="B540" s="6">
        <f>'Adj Close Prices'!B541/'Adj Close Prices'!B540-1</f>
        <v>3.9588281868563335E-4</v>
      </c>
      <c r="C540" s="6">
        <f>'Adj Close Prices'!C541/'Adj Close Prices'!C540-1</f>
        <v>-1.8630647414997759E-3</v>
      </c>
      <c r="D540" s="6">
        <f>'Adj Close Prices'!D541/'Adj Close Prices'!D540-1</f>
        <v>-4.3744531933507247E-3</v>
      </c>
      <c r="E540" s="6">
        <f>'Adj Close Prices'!E541/'Adj Close Prices'!E540-1</f>
        <v>-3.3647375504709531E-3</v>
      </c>
      <c r="F540" s="6">
        <f>'Adj Close Prices'!F541/'Adj Close Prices'!F540-1</f>
        <v>0</v>
      </c>
      <c r="G540" s="6">
        <f>'Adj Close Prices'!G541/'Adj Close Prices'!G540-1</f>
        <v>7.0137916935308908E-4</v>
      </c>
    </row>
    <row r="541" spans="1:7" x14ac:dyDescent="0.45">
      <c r="A541" s="2">
        <f>'Adj Close Prices'!A542</f>
        <v>45863</v>
      </c>
      <c r="B541" s="6">
        <f>'Adj Close Prices'!B542/'Adj Close Prices'!B541-1</f>
        <v>3.8781163434904453E-3</v>
      </c>
      <c r="C541" s="6">
        <f>'Adj Close Prices'!C542/'Adj Close Prices'!C541-1</f>
        <v>3.2664489034064381E-3</v>
      </c>
      <c r="D541" s="6">
        <f>'Adj Close Prices'!D542/'Adj Close Prices'!D541-1</f>
        <v>2.1968365553601821E-3</v>
      </c>
      <c r="E541" s="6">
        <f>'Adj Close Prices'!E542/'Adj Close Prices'!E541-1</f>
        <v>3.3760972315999283E-4</v>
      </c>
      <c r="F541" s="6">
        <f>'Adj Close Prices'!F542/'Adj Close Prices'!F541-1</f>
        <v>4.0941658137150228E-4</v>
      </c>
      <c r="G541" s="6">
        <f>'Adj Close Prices'!G542/'Adj Close Prices'!G541-1</f>
        <v>3.9743154559854776E-3</v>
      </c>
    </row>
    <row r="542" spans="1:7" x14ac:dyDescent="0.45">
      <c r="A542" s="2">
        <f>'Adj Close Prices'!A543</f>
        <v>45866</v>
      </c>
      <c r="B542" s="6">
        <f>'Adj Close Prices'!B543/'Adj Close Prices'!B542-1</f>
        <v>-2.2075055187653625E-4</v>
      </c>
      <c r="C542" s="6">
        <f>'Adj Close Prices'!C543/'Adj Close Prices'!C542-1</f>
        <v>-1.7674418604651132E-2</v>
      </c>
      <c r="D542" s="6">
        <f>'Adj Close Prices'!D543/'Adj Close Prices'!D542-1</f>
        <v>-1.8851380973257337E-2</v>
      </c>
      <c r="E542" s="6">
        <f>'Adj Close Prices'!E543/'Adj Close Prices'!E542-1</f>
        <v>-1.4849814377320247E-2</v>
      </c>
      <c r="F542" s="6">
        <f>'Adj Close Prices'!F543/'Adj Close Prices'!F542-1</f>
        <v>0</v>
      </c>
      <c r="G542" s="6">
        <f>'Adj Close Prices'!G543/'Adj Close Prices'!G542-1</f>
        <v>1.7374562701055751E-4</v>
      </c>
    </row>
    <row r="543" spans="1:7" x14ac:dyDescent="0.45">
      <c r="A543" s="2">
        <f>'Adj Close Prices'!A544</f>
        <v>45867</v>
      </c>
      <c r="B543" s="6">
        <f>'Adj Close Prices'!B544/'Adj Close Prices'!B543-1</f>
        <v>-2.3657067154527756E-3</v>
      </c>
      <c r="C543" s="6">
        <f>'Adj Close Prices'!C544/'Adj Close Prices'!C543-1</f>
        <v>-7.1022727272728181E-3</v>
      </c>
      <c r="D543" s="6">
        <f>'Adj Close Prices'!D544/'Adj Close Prices'!D543-1</f>
        <v>-4.9151027703305816E-3</v>
      </c>
      <c r="E543" s="6">
        <f>'Adj Close Prices'!E544/'Adj Close Prices'!E543-1</f>
        <v>-6.8516615279201609E-4</v>
      </c>
      <c r="F543" s="6">
        <f>'Adj Close Prices'!F544/'Adj Close Prices'!F543-1</f>
        <v>4.0924902803363139E-4</v>
      </c>
      <c r="G543" s="6">
        <f>'Adj Close Prices'!G544/'Adj Close Prices'!G543-1</f>
        <v>-2.9562925681090313E-3</v>
      </c>
    </row>
    <row r="544" spans="1:7" x14ac:dyDescent="0.45">
      <c r="A544" s="2">
        <f>'Adj Close Prices'!A545</f>
        <v>45868</v>
      </c>
      <c r="B544" s="6">
        <f>'Adj Close Prices'!B545/'Adj Close Prices'!B544-1</f>
        <v>-1.391172378904737E-3</v>
      </c>
      <c r="C544" s="6">
        <f>'Adj Close Prices'!C545/'Adj Close Prices'!C544-1</f>
        <v>4.2918454935623185E-3</v>
      </c>
      <c r="D544" s="6">
        <f>'Adj Close Prices'!D545/'Adj Close Prices'!D544-1</f>
        <v>-8.9806915132465415E-3</v>
      </c>
      <c r="E544" s="6">
        <f>'Adj Close Prices'!E545/'Adj Close Prices'!E544-1</f>
        <v>-4.7994514912581554E-3</v>
      </c>
      <c r="F544" s="6">
        <f>'Adj Close Prices'!F545/'Adj Close Prices'!F544-1</f>
        <v>0</v>
      </c>
      <c r="G544" s="6">
        <f>'Adj Close Prices'!G545/'Adj Close Prices'!G544-1</f>
        <v>-1.2525761787636203E-3</v>
      </c>
    </row>
    <row r="545" spans="1:7" x14ac:dyDescent="0.45">
      <c r="A545" s="2">
        <f>'Adj Close Prices'!A546</f>
        <v>45869</v>
      </c>
      <c r="B545" s="6">
        <f>'Adj Close Prices'!B546/'Adj Close Prices'!B545-1</f>
        <v>-4.1001773049643697E-3</v>
      </c>
      <c r="C545" s="6">
        <f>'Adj Close Prices'!C546/'Adj Close Prices'!C545-1</f>
        <v>0</v>
      </c>
      <c r="D545" s="6">
        <f>'Adj Close Prices'!D546/'Adj Close Prices'!D545-1</f>
        <v>2.6280018124150262E-2</v>
      </c>
      <c r="E545" s="6">
        <f>'Adj Close Prices'!E546/'Adj Close Prices'!E545-1</f>
        <v>-7.5783672063383101E-3</v>
      </c>
      <c r="F545" s="6">
        <f>'Adj Close Prices'!F546/'Adj Close Prices'!F545-1</f>
        <v>-2.0454080589071832E-4</v>
      </c>
      <c r="G545" s="6">
        <f>'Adj Close Prices'!G546/'Adj Close Prices'!G545-1</f>
        <v>-3.6948619259488114E-3</v>
      </c>
    </row>
    <row r="546" spans="1:7" x14ac:dyDescent="0.45">
      <c r="A546" s="2">
        <f>'Adj Close Prices'!A547</f>
        <v>45870</v>
      </c>
      <c r="B546" s="6">
        <f>'Adj Close Prices'!B547/'Adj Close Prices'!B546-1</f>
        <v>-1.6150312355942886E-2</v>
      </c>
      <c r="C546" s="6">
        <f>'Adj Close Prices'!C547/'Adj Close Prices'!C546-1</f>
        <v>-1.0921177587844277E-2</v>
      </c>
      <c r="D546" s="6">
        <f>'Adj Close Prices'!D547/'Adj Close Prices'!D546-1</f>
        <v>-1.5011037527593807E-2</v>
      </c>
      <c r="E546" s="6">
        <f>'Adj Close Prices'!E547/'Adj Close Prices'!E546-1</f>
        <v>-1.1454356126344933E-2</v>
      </c>
      <c r="F546" s="6">
        <f>'Adj Close Prices'!F547/'Adj Close Prices'!F546-1</f>
        <v>2.0458265139116083E-3</v>
      </c>
      <c r="G546" s="6">
        <f>'Adj Close Prices'!G547/'Adj Close Prices'!G546-1</f>
        <v>-1.5992100173834012E-2</v>
      </c>
    </row>
    <row r="547" spans="1:7" x14ac:dyDescent="0.45">
      <c r="A547" s="2">
        <f>'Adj Close Prices'!A548</f>
        <v>45873</v>
      </c>
      <c r="B547" s="6">
        <f>'Adj Close Prices'!B548/'Adj Close Prices'!B547-1</f>
        <v>1.5252128673678866E-2</v>
      </c>
      <c r="C547" s="6">
        <f>'Adj Close Prices'!C548/'Adj Close Prices'!C547-1</f>
        <v>4.8007681229012E-4</v>
      </c>
      <c r="D547" s="6">
        <f>'Adj Close Prices'!D548/'Adj Close Prices'!D547-1</f>
        <v>-5.3787539220079283E-3</v>
      </c>
      <c r="E547" s="6">
        <f>'Adj Close Prices'!E548/'Adj Close Prices'!E547-1</f>
        <v>-4.2134831460673983E-3</v>
      </c>
      <c r="F547" s="6">
        <f>'Adj Close Prices'!F548/'Adj Close Prices'!F547-1</f>
        <v>2.0416496529196415E-4</v>
      </c>
      <c r="G547" s="6">
        <f>'Adj Close Prices'!G548/'Adj Close Prices'!G547-1</f>
        <v>1.4737095222827845E-2</v>
      </c>
    </row>
    <row r="548" spans="1:7" x14ac:dyDescent="0.45">
      <c r="A548" s="2">
        <f>'Adj Close Prices'!A549</f>
        <v>45874</v>
      </c>
      <c r="B548" s="6">
        <f>'Adj Close Prices'!B549/'Adj Close Prices'!B548-1</f>
        <v>-4.8060855865175167E-3</v>
      </c>
      <c r="C548" s="6">
        <f>'Adj Close Prices'!C549/'Adj Close Prices'!C548-1</f>
        <v>3.8387715930903177E-3</v>
      </c>
      <c r="D548" s="6">
        <f>'Adj Close Prices'!D549/'Adj Close Prices'!D548-1</f>
        <v>-1.3519603424966276E-3</v>
      </c>
      <c r="E548" s="6">
        <f>'Adj Close Prices'!E549/'Adj Close Prices'!E548-1</f>
        <v>3.1734837799717308E-3</v>
      </c>
      <c r="F548" s="6">
        <f>'Adj Close Prices'!F549/'Adj Close Prices'!F548-1</f>
        <v>0</v>
      </c>
      <c r="G548" s="6">
        <f>'Adj Close Prices'!G549/'Adj Close Prices'!G548-1</f>
        <v>-4.8547140331726135E-3</v>
      </c>
    </row>
    <row r="549" spans="1:7" x14ac:dyDescent="0.45">
      <c r="A549" s="2">
        <f>'Adj Close Prices'!A550</f>
        <v>45875</v>
      </c>
      <c r="B549" s="6">
        <f>'Adj Close Prices'!B550/'Adj Close Prices'!B549-1</f>
        <v>7.3878627968337884E-3</v>
      </c>
      <c r="C549" s="6">
        <f>'Adj Close Prices'!C550/'Adj Close Prices'!C549-1</f>
        <v>-1.4340344168261021E-3</v>
      </c>
      <c r="D549" s="6">
        <f>'Adj Close Prices'!D550/'Adj Close Prices'!D549-1</f>
        <v>1.0379061371841081E-2</v>
      </c>
      <c r="E549" s="6">
        <f>'Adj Close Prices'!E550/'Adj Close Prices'!E549-1</f>
        <v>-3.093145869947278E-2</v>
      </c>
      <c r="F549" s="6">
        <f>'Adj Close Prices'!F550/'Adj Close Prices'!F549-1</f>
        <v>0</v>
      </c>
      <c r="G549" s="6">
        <f>'Adj Close Prices'!G550/'Adj Close Prices'!G549-1</f>
        <v>7.2787020574041073E-3</v>
      </c>
    </row>
    <row r="550" spans="1:7" x14ac:dyDescent="0.45">
      <c r="A550" s="2">
        <f>'Adj Close Prices'!A551</f>
        <v>45876</v>
      </c>
      <c r="B550" s="6">
        <f>'Adj Close Prices'!B551/'Adj Close Prices'!B550-1</f>
        <v>-5.3970824007498752E-4</v>
      </c>
      <c r="C550" s="6">
        <f>'Adj Close Prices'!C551/'Adj Close Prices'!C550-1</f>
        <v>-2.8721876495931831E-3</v>
      </c>
      <c r="D550" s="6">
        <f>'Adj Close Prices'!D551/'Adj Close Prices'!D550-1</f>
        <v>-1.0272443054935243E-2</v>
      </c>
      <c r="E550" s="6">
        <f>'Adj Close Prices'!E551/'Adj Close Prices'!E550-1</f>
        <v>-2.5389916575988547E-3</v>
      </c>
      <c r="F550" s="6">
        <f>'Adj Close Prices'!F551/'Adj Close Prices'!F550-1</f>
        <v>2.041232904674839E-4</v>
      </c>
      <c r="G550" s="6">
        <f>'Adj Close Prices'!G551/'Adj Close Prices'!G550-1</f>
        <v>-7.9747204513758163E-4</v>
      </c>
    </row>
    <row r="551" spans="1:7" x14ac:dyDescent="0.45">
      <c r="A551" s="2">
        <f>'Adj Close Prices'!A552</f>
        <v>45877</v>
      </c>
      <c r="B551" s="6">
        <f>'Adj Close Prices'!B552/'Adj Close Prices'!B551-1</f>
        <v>7.5599955529437324E-3</v>
      </c>
      <c r="C551" s="6">
        <f>'Adj Close Prices'!C552/'Adj Close Prices'!C551-1</f>
        <v>7.6812289966394776E-3</v>
      </c>
      <c r="D551" s="6">
        <f>'Adj Close Prices'!D552/'Adj Close Prices'!D551-1</f>
        <v>1.2184115523465655E-2</v>
      </c>
      <c r="E551" s="6">
        <f>'Adj Close Prices'!E552/'Adj Close Prices'!E551-1</f>
        <v>1.4181818181818295E-2</v>
      </c>
      <c r="F551" s="6">
        <f>'Adj Close Prices'!F552/'Adj Close Prices'!F551-1</f>
        <v>2.0408163265295265E-4</v>
      </c>
      <c r="G551" s="6">
        <f>'Adj Close Prices'!G552/'Adj Close Prices'!G551-1</f>
        <v>7.7996968449476345E-3</v>
      </c>
    </row>
    <row r="552" spans="1:7" x14ac:dyDescent="0.45">
      <c r="A552" s="2">
        <f>'Adj Close Prices'!A553</f>
        <v>45880</v>
      </c>
      <c r="B552" s="6">
        <f>'Adj Close Prices'!B553/'Adj Close Prices'!B552-1</f>
        <v>-1.9861599331640889E-3</v>
      </c>
      <c r="C552" s="6">
        <f>'Adj Close Prices'!C553/'Adj Close Prices'!C552-1</f>
        <v>-4.7641734159122873E-3</v>
      </c>
      <c r="D552" s="6">
        <f>'Adj Close Prices'!D553/'Adj Close Prices'!D552-1</f>
        <v>-6.6874721355326683E-3</v>
      </c>
      <c r="E552" s="6">
        <f>'Adj Close Prices'!E553/'Adj Close Prices'!E552-1</f>
        <v>-6.8124775905342716E-3</v>
      </c>
      <c r="F552" s="6">
        <f>'Adj Close Prices'!F553/'Adj Close Prices'!F552-1</f>
        <v>-2.040399918383784E-4</v>
      </c>
      <c r="G552" s="6">
        <f>'Adj Close Prices'!G553/'Adj Close Prices'!G552-1</f>
        <v>-2.5010016527269308E-3</v>
      </c>
    </row>
    <row r="553" spans="1:7" x14ac:dyDescent="0.45">
      <c r="A553" s="2">
        <f>'Adj Close Prices'!A554</f>
        <v>45881</v>
      </c>
      <c r="B553" s="6">
        <f>'Adj Close Prices'!B554/'Adj Close Prices'!B553-1</f>
        <v>1.0582344858086179E-2</v>
      </c>
      <c r="C553" s="6">
        <f>'Adj Close Prices'!C554/'Adj Close Prices'!C553-1</f>
        <v>9.5739588319765367E-4</v>
      </c>
      <c r="D553" s="6">
        <f>'Adj Close Prices'!D554/'Adj Close Prices'!D553-1</f>
        <v>1.346499102333909E-2</v>
      </c>
      <c r="E553" s="6">
        <f>'Adj Close Prices'!E554/'Adj Close Prices'!E553-1</f>
        <v>-6.8592057761731606E-3</v>
      </c>
      <c r="F553" s="6">
        <f>'Adj Close Prices'!F554/'Adj Close Prices'!F553-1</f>
        <v>6.1224489795930204E-4</v>
      </c>
      <c r="G553" s="6">
        <f>'Adj Close Prices'!G554/'Adj Close Prices'!G553-1</f>
        <v>1.1342347798527053E-2</v>
      </c>
    </row>
    <row r="554" spans="1:7" x14ac:dyDescent="0.45">
      <c r="A554" s="2">
        <f>'Adj Close Prices'!A555</f>
        <v>45882</v>
      </c>
      <c r="B554" s="6">
        <f>'Adj Close Prices'!B555/'Adj Close Prices'!B554-1</f>
        <v>3.6728506009406914E-3</v>
      </c>
      <c r="C554" s="6">
        <f>'Adj Close Prices'!C555/'Adj Close Prices'!C554-1</f>
        <v>9.5648015303682055E-3</v>
      </c>
      <c r="D554" s="6">
        <f>'Adj Close Prices'!D555/'Adj Close Prices'!D554-1</f>
        <v>4.4286979627989886E-3</v>
      </c>
      <c r="E554" s="6">
        <f>'Adj Close Prices'!E555/'Adj Close Prices'!E554-1</f>
        <v>1.0905125408942062E-3</v>
      </c>
      <c r="F554" s="6">
        <f>'Adj Close Prices'!F555/'Adj Close Prices'!F554-1</f>
        <v>2.0395676116669037E-4</v>
      </c>
      <c r="G554" s="6">
        <f>'Adj Close Prices'!G555/'Adj Close Prices'!G554-1</f>
        <v>3.2331381142614024E-3</v>
      </c>
    </row>
    <row r="555" spans="1:7" x14ac:dyDescent="0.45">
      <c r="A555" s="2">
        <f>'Adj Close Prices'!A556</f>
        <v>45883</v>
      </c>
      <c r="B555" s="6">
        <f>'Adj Close Prices'!B556/'Adj Close Prices'!B555-1</f>
        <v>3.1143916036091568E-5</v>
      </c>
      <c r="C555" s="6">
        <f>'Adj Close Prices'!C556/'Adj Close Prices'!C555-1</f>
        <v>-1.421127427759461E-3</v>
      </c>
      <c r="D555" s="6">
        <f>'Adj Close Prices'!D556/'Adj Close Prices'!D555-1</f>
        <v>-3.9682539682539542E-3</v>
      </c>
      <c r="E555" s="6">
        <f>'Adj Close Prices'!E556/'Adj Close Prices'!E555-1</f>
        <v>-6.8990559186636879E-3</v>
      </c>
      <c r="F555" s="6">
        <f>'Adj Close Prices'!F556/'Adj Close Prices'!F555-1</f>
        <v>-2.039151712887044E-4</v>
      </c>
      <c r="G555" s="6">
        <f>'Adj Close Prices'!G556/'Adj Close Prices'!G555-1</f>
        <v>3.0000355674308921E-4</v>
      </c>
    </row>
    <row r="556" spans="1:7" x14ac:dyDescent="0.45">
      <c r="A556" s="2">
        <f>'Adj Close Prices'!A557</f>
        <v>45884</v>
      </c>
      <c r="B556" s="6">
        <f>'Adj Close Prices'!B557/'Adj Close Prices'!B556-1</f>
        <v>-2.2578635938960145E-3</v>
      </c>
      <c r="C556" s="6">
        <f>'Adj Close Prices'!C557/'Adj Close Prices'!C556-1</f>
        <v>-1.0910815939278784E-2</v>
      </c>
      <c r="D556" s="6">
        <f>'Adj Close Prices'!D557/'Adj Close Prices'!D556-1</f>
        <v>-1.0624169986719667E-2</v>
      </c>
      <c r="E556" s="6">
        <f>'Adj Close Prices'!E557/'Adj Close Prices'!E556-1</f>
        <v>-5.1188299817185312E-3</v>
      </c>
      <c r="F556" s="6">
        <f>'Adj Close Prices'!F557/'Adj Close Prices'!F556-1</f>
        <v>4.079135223331587E-4</v>
      </c>
      <c r="G556" s="6">
        <f>'Adj Close Prices'!G557/'Adj Close Prices'!G556-1</f>
        <v>-2.8971033604234808E-3</v>
      </c>
    </row>
    <row r="557" spans="1:7" x14ac:dyDescent="0.45">
      <c r="A557" s="2">
        <f>'Adj Close Prices'!A558</f>
        <v>45887</v>
      </c>
      <c r="B557" s="6">
        <f>'Adj Close Prices'!B558/'Adj Close Prices'!B557-1</f>
        <v>-4.5259461568469828E-4</v>
      </c>
      <c r="C557" s="6">
        <f>'Adj Close Prices'!C558/'Adj Close Prices'!C557-1</f>
        <v>0</v>
      </c>
      <c r="D557" s="6">
        <f>'Adj Close Prices'!D558/'Adj Close Prices'!D557-1</f>
        <v>3.1319910514542304E-3</v>
      </c>
      <c r="E557" s="6">
        <f>'Adj Close Prices'!E558/'Adj Close Prices'!E557-1</f>
        <v>3.3076074972435698E-3</v>
      </c>
      <c r="F557" s="6">
        <f>'Adj Close Prices'!F558/'Adj Close Prices'!F557-1</f>
        <v>0</v>
      </c>
      <c r="G557" s="6">
        <f>'Adj Close Prices'!G558/'Adj Close Prices'!G557-1</f>
        <v>-9.7677598805523402E-5</v>
      </c>
    </row>
    <row r="558" spans="1:7" x14ac:dyDescent="0.45">
      <c r="A558" s="2">
        <f>'Adj Close Prices'!A559</f>
        <v>45888</v>
      </c>
      <c r="B558" s="6">
        <f>'Adj Close Prices'!B559/'Adj Close Prices'!B558-1</f>
        <v>-5.2930706055023258E-3</v>
      </c>
      <c r="C558" s="6">
        <f>'Adj Close Prices'!C559/'Adj Close Prices'!C558-1</f>
        <v>-9.5923261390906678E-4</v>
      </c>
      <c r="D558" s="6">
        <f>'Adj Close Prices'!D559/'Adj Close Prices'!D558-1</f>
        <v>7.5825156110613801E-3</v>
      </c>
      <c r="E558" s="6">
        <f>'Adj Close Prices'!E559/'Adj Close Prices'!E558-1</f>
        <v>6.227106227106205E-3</v>
      </c>
      <c r="F558" s="6">
        <f>'Adj Close Prices'!F559/'Adj Close Prices'!F558-1</f>
        <v>6.1162079510701517E-4</v>
      </c>
      <c r="G558" s="6">
        <f>'Adj Close Prices'!G559/'Adj Close Prices'!G558-1</f>
        <v>-5.8612284390525682E-3</v>
      </c>
    </row>
    <row r="559" spans="1:7" x14ac:dyDescent="0.45">
      <c r="A559" s="2">
        <f>'Adj Close Prices'!A560</f>
        <v>45889</v>
      </c>
      <c r="B559" s="6">
        <f>'Adj Close Prices'!B560/'Adj Close Prices'!B559-1</f>
        <v>-2.6841634357293032E-3</v>
      </c>
      <c r="C559" s="6">
        <f>'Adj Close Prices'!C560/'Adj Close Prices'!C559-1</f>
        <v>-4.3206913106096367E-3</v>
      </c>
      <c r="D559" s="6">
        <f>'Adj Close Prices'!D560/'Adj Close Prices'!D559-1</f>
        <v>1.7706949977867037E-3</v>
      </c>
      <c r="E559" s="6">
        <f>'Adj Close Prices'!E560/'Adj Close Prices'!E559-1</f>
        <v>-4.3684018929740498E-3</v>
      </c>
      <c r="F559" s="6">
        <f>'Adj Close Prices'!F560/'Adj Close Prices'!F559-1</f>
        <v>2.0374898125519181E-4</v>
      </c>
      <c r="G559" s="6">
        <f>'Adj Close Prices'!G560/'Adj Close Prices'!G559-1</f>
        <v>-2.4285019091112581E-3</v>
      </c>
    </row>
    <row r="560" spans="1:7" x14ac:dyDescent="0.45">
      <c r="A560" s="2">
        <f>'Adj Close Prices'!A561</f>
        <v>45890</v>
      </c>
      <c r="B560" s="6">
        <f>'Adj Close Prices'!B561/'Adj Close Prices'!B560-1</f>
        <v>-3.9347771342230775E-3</v>
      </c>
      <c r="C560" s="6">
        <f>'Adj Close Prices'!C561/'Adj Close Prices'!C560-1</f>
        <v>-1.4464802314366754E-3</v>
      </c>
      <c r="D560" s="6">
        <f>'Adj Close Prices'!D561/'Adj Close Prices'!D560-1</f>
        <v>3.9770216526733293E-3</v>
      </c>
      <c r="E560" s="6">
        <f>'Adj Close Prices'!E561/'Adj Close Prices'!E560-1</f>
        <v>-2.9250457038392241E-3</v>
      </c>
      <c r="F560" s="6">
        <f>'Adj Close Prices'!F561/'Adj Close Prices'!F560-1</f>
        <v>-6.1112242819316709E-4</v>
      </c>
      <c r="G560" s="6">
        <f>'Adj Close Prices'!G561/'Adj Close Prices'!G560-1</f>
        <v>-4.0041965105169774E-3</v>
      </c>
    </row>
    <row r="561" spans="1:7" x14ac:dyDescent="0.45">
      <c r="A561" s="2">
        <f>'Adj Close Prices'!A562</f>
        <v>45891</v>
      </c>
      <c r="B561" s="6">
        <f>'Adj Close Prices'!B562/'Adj Close Prices'!B561-1</f>
        <v>1.5343045855323423E-2</v>
      </c>
      <c r="C561" s="6">
        <f>'Adj Close Prices'!C562/'Adj Close Prices'!C561-1</f>
        <v>2.8971511347175571E-3</v>
      </c>
      <c r="D561" s="6">
        <f>'Adj Close Prices'!D562/'Adj Close Prices'!D561-1</f>
        <v>-1.1003521126760618E-2</v>
      </c>
      <c r="E561" s="6">
        <f>'Adj Close Prices'!E562/'Adj Close Prices'!E561-1</f>
        <v>4.0337367070040209E-3</v>
      </c>
      <c r="F561" s="6">
        <f>'Adj Close Prices'!F562/'Adj Close Prices'!F561-1</f>
        <v>1.2229922543822713E-3</v>
      </c>
      <c r="G561" s="6">
        <f>'Adj Close Prices'!G562/'Adj Close Prices'!G561-1</f>
        <v>1.5186384058221147E-2</v>
      </c>
    </row>
    <row r="562" spans="1:7" x14ac:dyDescent="0.45">
      <c r="A562" s="2">
        <f>'Adj Close Prices'!A563</f>
        <v>45894</v>
      </c>
      <c r="B562" s="6">
        <f>'Adj Close Prices'!B563/'Adj Close Prices'!B562-1</f>
        <v>-4.4197519336415247E-3</v>
      </c>
      <c r="C562" s="6">
        <f>'Adj Close Prices'!C563/'Adj Close Prices'!C562-1</f>
        <v>-1.0592200288878084E-2</v>
      </c>
      <c r="D562" s="6">
        <f>'Adj Close Prices'!D563/'Adj Close Prices'!D562-1</f>
        <v>-8.9007565643073328E-4</v>
      </c>
      <c r="E562" s="6">
        <f>'Adj Close Prices'!E563/'Adj Close Prices'!E562-1</f>
        <v>-1.3148283418553675E-2</v>
      </c>
      <c r="F562" s="6">
        <f>'Adj Close Prices'!F563/'Adj Close Prices'!F562-1</f>
        <v>-2.0358306188916764E-4</v>
      </c>
      <c r="G562" s="6">
        <f>'Adj Close Prices'!G563/'Adj Close Prices'!G562-1</f>
        <v>-4.2694203732224212E-3</v>
      </c>
    </row>
    <row r="563" spans="1:7" x14ac:dyDescent="0.45">
      <c r="A563" s="2">
        <f>'Adj Close Prices'!A564</f>
        <v>45895</v>
      </c>
      <c r="B563" s="6">
        <f>'Adj Close Prices'!B564/'Adj Close Prices'!B563-1</f>
        <v>4.0642145905305238E-3</v>
      </c>
      <c r="C563" s="6">
        <f>'Adj Close Prices'!C564/'Adj Close Prices'!C563-1</f>
        <v>7.2992700729925808E-3</v>
      </c>
      <c r="D563" s="6">
        <f>'Adj Close Prices'!D564/'Adj Close Prices'!D563-1</f>
        <v>3.5634743875279096E-3</v>
      </c>
      <c r="E563" s="6">
        <f>'Adj Close Prices'!E564/'Adj Close Prices'!E563-1</f>
        <v>1.4803849000740277E-2</v>
      </c>
      <c r="F563" s="6">
        <f>'Adj Close Prices'!F564/'Adj Close Prices'!F563-1</f>
        <v>4.0724903278355207E-4</v>
      </c>
      <c r="G563" s="6">
        <f>'Adj Close Prices'!G564/'Adj Close Prices'!G563-1</f>
        <v>4.1370892222922784E-3</v>
      </c>
    </row>
    <row r="564" spans="1:7" x14ac:dyDescent="0.45">
      <c r="A564" s="2">
        <f>'Adj Close Prices'!A565</f>
        <v>45896</v>
      </c>
      <c r="B564" s="6">
        <f>'Adj Close Prices'!B565/'Adj Close Prices'!B564-1</f>
        <v>2.3663848800461462E-3</v>
      </c>
      <c r="C564" s="6">
        <f>'Adj Close Prices'!C565/'Adj Close Prices'!C564-1</f>
        <v>2.8985507246377384E-3</v>
      </c>
      <c r="D564" s="6">
        <f>'Adj Close Prices'!D565/'Adj Close Prices'!D564-1</f>
        <v>3.9946737683089761E-3</v>
      </c>
      <c r="E564" s="6">
        <f>'Adj Close Prices'!E565/'Adj Close Prices'!E564-1</f>
        <v>-6.1998541210795954E-3</v>
      </c>
      <c r="F564" s="6">
        <f>'Adj Close Prices'!F565/'Adj Close Prices'!F564-1</f>
        <v>2.0354162426206024E-4</v>
      </c>
      <c r="G564" s="6">
        <f>'Adj Close Prices'!G565/'Adj Close Prices'!G564-1</f>
        <v>2.3909866299616223E-3</v>
      </c>
    </row>
    <row r="565" spans="1:7" x14ac:dyDescent="0.45">
      <c r="A565" s="2">
        <f>'Adj Close Prices'!A566</f>
        <v>45897</v>
      </c>
      <c r="B565" s="6">
        <f>'Adj Close Prices'!B566/'Adj Close Prices'!B565-1</f>
        <v>3.6033237555330722E-3</v>
      </c>
      <c r="C565" s="6">
        <f>'Adj Close Prices'!C566/'Adj Close Prices'!C565-1</f>
        <v>-2.8901734104047616E-3</v>
      </c>
      <c r="D565" s="6">
        <f>'Adj Close Prices'!D566/'Adj Close Prices'!D565-1</f>
        <v>1.7683465959328348E-3</v>
      </c>
      <c r="E565" s="6">
        <f>'Adj Close Prices'!E566/'Adj Close Prices'!E565-1</f>
        <v>-1.4678899082568586E-3</v>
      </c>
      <c r="F565" s="6">
        <f>'Adj Close Prices'!F566/'Adj Close Prices'!F565-1</f>
        <v>0</v>
      </c>
      <c r="G565" s="6">
        <f>'Adj Close Prices'!G566/'Adj Close Prices'!G565-1</f>
        <v>3.1536347800864561E-3</v>
      </c>
    </row>
    <row r="566" spans="1:7" x14ac:dyDescent="0.45">
      <c r="A566" s="2">
        <f>'Adj Close Prices'!A567</f>
        <v>45898</v>
      </c>
      <c r="B566" s="6">
        <f>'Adj Close Prices'!B567/'Adj Close Prices'!B566-1</f>
        <v>-5.8498537536560979E-3</v>
      </c>
      <c r="C566" s="6">
        <f>'Adj Close Prices'!C567/'Adj Close Prices'!C566-1</f>
        <v>6.763285024154575E-3</v>
      </c>
      <c r="D566" s="6">
        <f>'Adj Close Prices'!D567/'Adj Close Prices'!D566-1</f>
        <v>8.3848190644306708E-3</v>
      </c>
      <c r="E566" s="6">
        <f>'Adj Close Prices'!E567/'Adj Close Prices'!E566-1</f>
        <v>5.8801911062109635E-3</v>
      </c>
      <c r="F566" s="6">
        <f>'Adj Close Prices'!F567/'Adj Close Prices'!F566-1</f>
        <v>4.0700040700025752E-4</v>
      </c>
      <c r="G566" s="6">
        <f>'Adj Close Prices'!G567/'Adj Close Prices'!G566-1</f>
        <v>-6.3981789798288613E-3</v>
      </c>
    </row>
    <row r="567" spans="1:7" x14ac:dyDescent="0.45">
      <c r="A567" s="2">
        <f>'Adj Close Prices'!A568</f>
        <v>45902</v>
      </c>
      <c r="B567" s="6">
        <f>'Adj Close Prices'!B568/'Adj Close Prices'!B567-1</f>
        <v>-7.5654975949189796E-3</v>
      </c>
      <c r="C567" s="6">
        <f>'Adj Close Prices'!C568/'Adj Close Prices'!C567-1</f>
        <v>-3.3589251439539725E-3</v>
      </c>
      <c r="D567" s="6">
        <f>'Adj Close Prices'!D568/'Adj Close Prices'!D567-1</f>
        <v>2.6258205689277947E-3</v>
      </c>
      <c r="E567" s="6">
        <f>'Adj Close Prices'!E568/'Adj Close Prices'!E567-1</f>
        <v>-1.2787723785166238E-2</v>
      </c>
      <c r="F567" s="6">
        <f>'Adj Close Prices'!F568/'Adj Close Prices'!F567-1</f>
        <v>0</v>
      </c>
      <c r="G567" s="6">
        <f>'Adj Close Prices'!G568/'Adj Close Prices'!G567-1</f>
        <v>-6.9223327270616641E-3</v>
      </c>
    </row>
    <row r="568" spans="1:7" x14ac:dyDescent="0.45">
      <c r="A568" s="2">
        <f>'Adj Close Prices'!A569</f>
        <v>45903</v>
      </c>
      <c r="B568" s="6">
        <f>'Adj Close Prices'!B569/'Adj Close Prices'!B568-1</f>
        <v>5.3801389738523664E-3</v>
      </c>
      <c r="C568" s="6">
        <f>'Adj Close Prices'!C569/'Adj Close Prices'!C568-1</f>
        <v>0</v>
      </c>
      <c r="D568" s="6">
        <f>'Adj Close Prices'!D569/'Adj Close Prices'!D568-1</f>
        <v>2.6189436927106513E-3</v>
      </c>
      <c r="E568" s="6">
        <f>'Adj Close Prices'!E569/'Adj Close Prices'!E568-1</f>
        <v>-6.2916358253145566E-3</v>
      </c>
      <c r="F568" s="6">
        <f>'Adj Close Prices'!F569/'Adj Close Prices'!F568-1</f>
        <v>4.0683482506098656E-4</v>
      </c>
      <c r="G568" s="6">
        <f>'Adj Close Prices'!G569/'Adj Close Prices'!G568-1</f>
        <v>5.1032416651470847E-3</v>
      </c>
    </row>
    <row r="569" spans="1:7" x14ac:dyDescent="0.45">
      <c r="A569" s="2">
        <f>'Adj Close Prices'!A570</f>
        <v>45904</v>
      </c>
      <c r="B569" s="6">
        <f>'Adj Close Prices'!B570/'Adj Close Prices'!B569-1</f>
        <v>8.2376435346978027E-3</v>
      </c>
      <c r="C569" s="6">
        <f>'Adj Close Prices'!C570/'Adj Close Prices'!C569-1</f>
        <v>2.4073182474724231E-3</v>
      </c>
      <c r="D569" s="6">
        <f>'Adj Close Prices'!D570/'Adj Close Prices'!D569-1</f>
        <v>7.8363082281236451E-3</v>
      </c>
      <c r="E569" s="6">
        <f>'Adj Close Prices'!E570/'Adj Close Prices'!E569-1</f>
        <v>3.3519553072625108E-3</v>
      </c>
      <c r="F569" s="6">
        <f>'Adj Close Prices'!F570/'Adj Close Prices'!F569-1</f>
        <v>4.0666937779598733E-4</v>
      </c>
      <c r="G569" s="6">
        <f>'Adj Close Prices'!G570/'Adj Close Prices'!G569-1</f>
        <v>8.346424699958277E-3</v>
      </c>
    </row>
    <row r="570" spans="1:7" x14ac:dyDescent="0.45">
      <c r="A570" s="2">
        <f>'Adj Close Prices'!A571</f>
        <v>45905</v>
      </c>
      <c r="B570" s="6">
        <f>'Adj Close Prices'!B571/'Adj Close Prices'!B570-1</f>
        <v>-2.6615498885863564E-3</v>
      </c>
      <c r="C570" s="6">
        <f>'Adj Close Prices'!C571/'Adj Close Prices'!C570-1</f>
        <v>2.8818443804032867E-3</v>
      </c>
      <c r="D570" s="6">
        <f>'Adj Close Prices'!D571/'Adj Close Prices'!D570-1</f>
        <v>-7.3434125269977724E-3</v>
      </c>
      <c r="E570" s="6">
        <f>'Adj Close Prices'!E571/'Adj Close Prices'!E570-1</f>
        <v>-7.7951002227172328E-3</v>
      </c>
      <c r="F570" s="6">
        <f>'Adj Close Prices'!F571/'Adj Close Prices'!F570-1</f>
        <v>8.1300813008122752E-4</v>
      </c>
      <c r="G570" s="6">
        <f>'Adj Close Prices'!G571/'Adj Close Prices'!G570-1</f>
        <v>-3.1651361331510586E-3</v>
      </c>
    </row>
    <row r="571" spans="1:7" x14ac:dyDescent="0.45">
      <c r="A571" s="2">
        <f>'Adj Close Prices'!A572</f>
        <v>45908</v>
      </c>
      <c r="B571" s="6">
        <f>'Adj Close Prices'!B572/'Adj Close Prices'!B571-1</f>
        <v>2.5290138397566775E-3</v>
      </c>
      <c r="C571" s="6">
        <f>'Adj Close Prices'!C572/'Adj Close Prices'!C571-1</f>
        <v>2.3946360153257462E-3</v>
      </c>
      <c r="D571" s="6">
        <f>'Adj Close Prices'!D572/'Adj Close Prices'!D571-1</f>
        <v>3.916449086161844E-3</v>
      </c>
      <c r="E571" s="6">
        <f>'Adj Close Prices'!E572/'Adj Close Prices'!E571-1</f>
        <v>-3.7411148522260573E-3</v>
      </c>
      <c r="F571" s="6">
        <f>'Adj Close Prices'!F572/'Adj Close Prices'!F571-1</f>
        <v>2.0308692120218907E-4</v>
      </c>
      <c r="G571" s="6">
        <f>'Adj Close Prices'!G572/'Adj Close Prices'!G571-1</f>
        <v>2.1059907336407058E-3</v>
      </c>
    </row>
    <row r="572" spans="1:7" x14ac:dyDescent="0.45">
      <c r="A572" s="2">
        <f>'Adj Close Prices'!A573</f>
        <v>45909</v>
      </c>
      <c r="B572" s="6">
        <f>'Adj Close Prices'!B573/'Adj Close Prices'!B572-1</f>
        <v>2.3059661069411153E-3</v>
      </c>
      <c r="C572" s="6">
        <f>'Adj Close Prices'!C573/'Adj Close Prices'!C572-1</f>
        <v>-1.1466794075489672E-2</v>
      </c>
      <c r="D572" s="6">
        <f>'Adj Close Prices'!D573/'Adj Close Prices'!D572-1</f>
        <v>-7.8023407022106417E-3</v>
      </c>
      <c r="E572" s="6">
        <f>'Adj Close Prices'!E573/'Adj Close Prices'!E572-1</f>
        <v>-6.0082613593691603E-3</v>
      </c>
      <c r="F572" s="6">
        <f>'Adj Close Prices'!F573/'Adj Close Prices'!F572-1</f>
        <v>-4.0609137055847011E-4</v>
      </c>
      <c r="G572" s="6">
        <f>'Adj Close Prices'!G573/'Adj Close Prices'!G572-1</f>
        <v>2.68815548808643E-3</v>
      </c>
    </row>
    <row r="573" spans="1:7" x14ac:dyDescent="0.45">
      <c r="A573" s="2">
        <f>'Adj Close Prices'!A574</f>
        <v>45910</v>
      </c>
      <c r="B573" s="6">
        <f>'Adj Close Prices'!B574/'Adj Close Prices'!B573-1</f>
        <v>2.8565252300660759E-3</v>
      </c>
      <c r="C573" s="6">
        <f>'Adj Close Prices'!C574/'Adj Close Prices'!C573-1</f>
        <v>5.3165780570323395E-3</v>
      </c>
      <c r="D573" s="6">
        <f>'Adj Close Prices'!D574/'Adj Close Prices'!D573-1</f>
        <v>-3.9318479685451768E-3</v>
      </c>
      <c r="E573" s="6">
        <f>'Adj Close Prices'!E574/'Adj Close Prices'!E573-1</f>
        <v>-7.5557234605213575E-3</v>
      </c>
      <c r="F573" s="6">
        <f>'Adj Close Prices'!F574/'Adj Close Prices'!F573-1</f>
        <v>6.0938452163328272E-4</v>
      </c>
      <c r="G573" s="6">
        <f>'Adj Close Prices'!G574/'Adj Close Prices'!G573-1</f>
        <v>2.9803673483175253E-3</v>
      </c>
    </row>
    <row r="574" spans="1:7" x14ac:dyDescent="0.45">
      <c r="A574" s="2">
        <f>'Adj Close Prices'!A575</f>
        <v>45911</v>
      </c>
      <c r="B574" s="6">
        <f>'Adj Close Prices'!B575/'Adj Close Prices'!B574-1</f>
        <v>8.3296124651648373E-3</v>
      </c>
      <c r="C574" s="6">
        <f>'Adj Close Prices'!C575/'Adj Close Prices'!C574-1</f>
        <v>1.9230769230769162E-3</v>
      </c>
      <c r="D574" s="6">
        <f>'Adj Close Prices'!D575/'Adj Close Prices'!D574-1</f>
        <v>1.0964912280701844E-2</v>
      </c>
      <c r="E574" s="6">
        <f>'Adj Close Prices'!E575/'Adj Close Prices'!E574-1</f>
        <v>7.6132470498668781E-4</v>
      </c>
      <c r="F574" s="6">
        <f>'Adj Close Prices'!F575/'Adj Close Prices'!F574-1</f>
        <v>0</v>
      </c>
      <c r="G574" s="6">
        <f>'Adj Close Prices'!G575/'Adj Close Prices'!G574-1</f>
        <v>8.4889383545390107E-3</v>
      </c>
    </row>
    <row r="575" spans="1:7" x14ac:dyDescent="0.45">
      <c r="A575" s="2">
        <f>'Adj Close Prices'!A576</f>
        <v>45912</v>
      </c>
      <c r="B575" s="6">
        <f>'Adj Close Prices'!B576/'Adj Close Prices'!B575-1</f>
        <v>-3.5119865628341351E-4</v>
      </c>
      <c r="C575" s="6">
        <f>'Adj Close Prices'!C576/'Adj Close Prices'!C575-1</f>
        <v>-4.3186180422264409E-3</v>
      </c>
      <c r="D575" s="6">
        <f>'Adj Close Prices'!D576/'Adj Close Prices'!D575-1</f>
        <v>4.3383947939257261E-4</v>
      </c>
      <c r="E575" s="6">
        <f>'Adj Close Prices'!E576/'Adj Close Prices'!E575-1</f>
        <v>-6.8467097755801065E-3</v>
      </c>
      <c r="F575" s="6">
        <f>'Adj Close Prices'!F576/'Adj Close Prices'!F575-1</f>
        <v>4.0600893219666645E-4</v>
      </c>
      <c r="G575" s="6">
        <f>'Adj Close Prices'!G576/'Adj Close Prices'!G575-1</f>
        <v>-4.8576997577221004E-4</v>
      </c>
    </row>
    <row r="576" spans="1:7" x14ac:dyDescent="0.45">
      <c r="A576" s="2">
        <f>'Adj Close Prices'!A577</f>
        <v>45915</v>
      </c>
      <c r="B576" s="6">
        <f>'Adj Close Prices'!B577/'Adj Close Prices'!B576-1</f>
        <v>5.2240059877497469E-3</v>
      </c>
      <c r="C576" s="6">
        <f>'Adj Close Prices'!C577/'Adj Close Prices'!C576-1</f>
        <v>-2.3132530120481998E-2</v>
      </c>
      <c r="D576" s="6">
        <f>'Adj Close Prices'!D577/'Adj Close Prices'!D576-1</f>
        <v>-3.3391153512575822E-2</v>
      </c>
      <c r="E576" s="6">
        <f>'Adj Close Prices'!E577/'Adj Close Prices'!E576-1</f>
        <v>-2.9107621600919065E-2</v>
      </c>
      <c r="F576" s="6">
        <f>'Adj Close Prices'!F577/'Adj Close Prices'!F576-1</f>
        <v>2.0292207792205197E-4</v>
      </c>
      <c r="G576" s="6">
        <f>'Adj Close Prices'!G577/'Adj Close Prices'!G576-1</f>
        <v>4.7097025035387485E-3</v>
      </c>
    </row>
    <row r="577" spans="1:7" x14ac:dyDescent="0.45">
      <c r="A577" s="2">
        <f>'Adj Close Prices'!A578</f>
        <v>45916</v>
      </c>
      <c r="B577" s="6">
        <f>'Adj Close Prices'!B578/'Adj Close Prices'!B577-1</f>
        <v>-1.3220076281359461E-3</v>
      </c>
      <c r="C577" s="6">
        <f>'Adj Close Prices'!C578/'Adj Close Prices'!C577-1</f>
        <v>-7.4000986679821912E-3</v>
      </c>
      <c r="D577" s="6">
        <f>'Adj Close Prices'!D578/'Adj Close Prices'!D577-1</f>
        <v>-6.7294751009420173E-3</v>
      </c>
      <c r="E577" s="6">
        <f>'Adj Close Prices'!E578/'Adj Close Prices'!E577-1</f>
        <v>-7.8895463510849639E-3</v>
      </c>
      <c r="F577" s="6">
        <f>'Adj Close Prices'!F578/'Adj Close Prices'!F577-1</f>
        <v>4.0576181781304399E-4</v>
      </c>
      <c r="G577" s="6">
        <f>'Adj Close Prices'!G578/'Adj Close Prices'!G577-1</f>
        <v>-1.2879253970724536E-3</v>
      </c>
    </row>
    <row r="578" spans="1:7" x14ac:dyDescent="0.45">
      <c r="A578" s="2">
        <f>'Adj Close Prices'!A579</f>
        <v>45917</v>
      </c>
      <c r="B578" s="6">
        <f>'Adj Close Prices'!B579/'Adj Close Prices'!B578-1</f>
        <v>-1.1107391740969863E-3</v>
      </c>
      <c r="C578" s="6">
        <f>'Adj Close Prices'!C579/'Adj Close Prices'!C578-1</f>
        <v>-2.9821073558649047E-3</v>
      </c>
      <c r="D578" s="6">
        <f>'Adj Close Prices'!D579/'Adj Close Prices'!D578-1</f>
        <v>6.7750677506774881E-3</v>
      </c>
      <c r="E578" s="6">
        <f>'Adj Close Prices'!E579/'Adj Close Prices'!E578-1</f>
        <v>0</v>
      </c>
      <c r="F578" s="6">
        <f>'Adj Close Prices'!F579/'Adj Close Prices'!F578-1</f>
        <v>-2.0279862096950207E-4</v>
      </c>
      <c r="G578" s="6">
        <f>'Adj Close Prices'!G579/'Adj Close Prices'!G578-1</f>
        <v>-9.7021691386267594E-4</v>
      </c>
    </row>
    <row r="579" spans="1:7" x14ac:dyDescent="0.45">
      <c r="A579" s="2">
        <f>'Adj Close Prices'!A580</f>
        <v>45918</v>
      </c>
      <c r="B579" s="6">
        <f>'Adj Close Prices'!B580/'Adj Close Prices'!B579-1</f>
        <v>4.7373151152341197E-3</v>
      </c>
      <c r="C579" s="6">
        <f>'Adj Close Prices'!C580/'Adj Close Prices'!C579-1</f>
        <v>1.5453639082751769E-2</v>
      </c>
      <c r="D579" s="6">
        <f>'Adj Close Prices'!D580/'Adj Close Prices'!D579-1</f>
        <v>3.5890533871691943E-3</v>
      </c>
      <c r="E579" s="6">
        <f>'Adj Close Prices'!E580/'Adj Close Prices'!E579-1</f>
        <v>1.9483101391650104E-2</v>
      </c>
      <c r="F579" s="6">
        <f>'Adj Close Prices'!F580/'Adj Close Prices'!F579-1</f>
        <v>0</v>
      </c>
      <c r="G579" s="6">
        <f>'Adj Close Prices'!G580/'Adj Close Prices'!G579-1</f>
        <v>4.786102576223028E-3</v>
      </c>
    </row>
    <row r="580" spans="1:7" x14ac:dyDescent="0.45">
      <c r="A580" s="2">
        <f>'Adj Close Prices'!A581</f>
        <v>45919</v>
      </c>
      <c r="B580" s="6">
        <f>'Adj Close Prices'!B581/'Adj Close Prices'!B580-1</f>
        <v>4.7907822922983456E-3</v>
      </c>
      <c r="C580" s="6">
        <f>'Adj Close Prices'!C581/'Adj Close Prices'!C580-1</f>
        <v>6.8728522336769515E-3</v>
      </c>
      <c r="D580" s="6">
        <f>'Adj Close Prices'!D581/'Adj Close Prices'!D580-1</f>
        <v>4.9172999552973273E-3</v>
      </c>
      <c r="E580" s="6">
        <f>'Adj Close Prices'!E581/'Adj Close Prices'!E580-1</f>
        <v>-1.3260530421216887E-2</v>
      </c>
      <c r="F580" s="6">
        <f>'Adj Close Prices'!F581/'Adj Close Prices'!F580-1</f>
        <v>6.0851926977689708E-4</v>
      </c>
      <c r="G580" s="6">
        <f>'Adj Close Prices'!G581/'Adj Close Prices'!G580-1</f>
        <v>4.888456637942129E-3</v>
      </c>
    </row>
    <row r="581" spans="1:7" x14ac:dyDescent="0.45">
      <c r="A581" s="2">
        <f>'Adj Close Prices'!A582</f>
        <v>45922</v>
      </c>
      <c r="B581" s="6">
        <f>'Adj Close Prices'!B582/'Adj Close Prices'!B581-1</f>
        <v>4.8132053835476807E-3</v>
      </c>
      <c r="C581" s="6">
        <f>'Adj Close Prices'!C582/'Adj Close Prices'!C581-1</f>
        <v>-2.8766455387615797E-2</v>
      </c>
      <c r="D581" s="6">
        <f>'Adj Close Prices'!D582/'Adj Close Prices'!D581-1</f>
        <v>-1.9572953736654908E-2</v>
      </c>
      <c r="E581" s="6">
        <f>'Adj Close Prices'!E582/'Adj Close Prices'!E581-1</f>
        <v>-1.5415019762845872E-2</v>
      </c>
      <c r="F581" s="6">
        <f>'Adj Close Prices'!F582/'Adj Close Prices'!F581-1</f>
        <v>-2.0271639975666389E-4</v>
      </c>
      <c r="G581" s="6">
        <f>'Adj Close Prices'!G582/'Adj Close Prices'!G581-1</f>
        <v>4.4070182177760042E-3</v>
      </c>
    </row>
    <row r="582" spans="1:7" x14ac:dyDescent="0.45">
      <c r="A582" s="2">
        <f>'Adj Close Prices'!A583</f>
        <v>45923</v>
      </c>
      <c r="B582" s="6">
        <f>'Adj Close Prices'!B583/'Adj Close Prices'!B582-1</f>
        <v>-5.34574667767862E-3</v>
      </c>
      <c r="C582" s="6">
        <f>'Adj Close Prices'!C583/'Adj Close Prices'!C582-1</f>
        <v>-9.0361445783133654E-3</v>
      </c>
      <c r="D582" s="6">
        <f>'Adj Close Prices'!D583/'Adj Close Prices'!D582-1</f>
        <v>2.7223230490018846E-3</v>
      </c>
      <c r="E582" s="6">
        <f>'Adj Close Prices'!E583/'Adj Close Prices'!E582-1</f>
        <v>0</v>
      </c>
      <c r="F582" s="6">
        <f>'Adj Close Prices'!F583/'Adj Close Prices'!F582-1</f>
        <v>2.0275750202758402E-4</v>
      </c>
      <c r="G582" s="6">
        <f>'Adj Close Prices'!G583/'Adj Close Prices'!G582-1</f>
        <v>-5.4991678792423171E-3</v>
      </c>
    </row>
    <row r="583" spans="1:7" x14ac:dyDescent="0.45">
      <c r="A583" s="2">
        <f>'Adj Close Prices'!A584</f>
        <v>45924</v>
      </c>
      <c r="B583" s="6">
        <f>'Adj Close Prices'!B584/'Adj Close Prices'!B583-1</f>
        <v>-3.3665967179457024E-3</v>
      </c>
      <c r="C583" s="6">
        <f>'Adj Close Prices'!C584/'Adj Close Prices'!C583-1</f>
        <v>-1.5704154002026294E-2</v>
      </c>
      <c r="D583" s="6">
        <f>'Adj Close Prices'!D584/'Adj Close Prices'!D583-1</f>
        <v>-2.3981900452488714E-2</v>
      </c>
      <c r="E583" s="6">
        <f>'Adj Close Prices'!E584/'Adj Close Prices'!E583-1</f>
        <v>-7.6274588518667752E-3</v>
      </c>
      <c r="F583" s="6">
        <f>'Adj Close Prices'!F584/'Adj Close Prices'!F583-1</f>
        <v>0</v>
      </c>
      <c r="G583" s="6">
        <f>'Adj Close Prices'!G584/'Adj Close Prices'!G583-1</f>
        <v>-2.8466575433421237E-3</v>
      </c>
    </row>
    <row r="584" spans="1:7" x14ac:dyDescent="0.45">
      <c r="A584" s="2">
        <f>'Adj Close Prices'!A585</f>
        <v>45925</v>
      </c>
      <c r="B584" s="6">
        <f>'Adj Close Prices'!B585/'Adj Close Prices'!B584-1</f>
        <v>-4.5746485700436379E-3</v>
      </c>
      <c r="C584" s="6">
        <f>'Adj Close Prices'!C585/'Adj Close Prices'!C584-1</f>
        <v>6.1760164693773767E-3</v>
      </c>
      <c r="D584" s="6">
        <f>'Adj Close Prices'!D585/'Adj Close Prices'!D584-1</f>
        <v>1.0199350950393926E-2</v>
      </c>
      <c r="E584" s="6">
        <f>'Adj Close Prices'!E585/'Adj Close Prices'!E584-1</f>
        <v>8.8996763754045638E-3</v>
      </c>
      <c r="F584" s="6">
        <f>'Adj Close Prices'!F585/'Adj Close Prices'!F584-1</f>
        <v>-6.0814919927021371E-4</v>
      </c>
      <c r="G584" s="6">
        <f>'Adj Close Prices'!G585/'Adj Close Prices'!G584-1</f>
        <v>-5.0090539591863825E-3</v>
      </c>
    </row>
    <row r="585" spans="1:7" x14ac:dyDescent="0.45">
      <c r="A585" s="2">
        <f>'Adj Close Prices'!A586</f>
        <v>45926</v>
      </c>
      <c r="B585" s="6">
        <f>'Adj Close Prices'!B586/'Adj Close Prices'!B585-1</f>
        <v>5.5543719755302146E-3</v>
      </c>
      <c r="C585" s="6">
        <f>'Adj Close Prices'!C586/'Adj Close Prices'!C585-1</f>
        <v>-4.6035805626598592E-3</v>
      </c>
      <c r="D585" s="6">
        <f>'Adj Close Prices'!D586/'Adj Close Prices'!D585-1</f>
        <v>-3.2124827902707542E-3</v>
      </c>
      <c r="E585" s="6">
        <f>'Adj Close Prices'!E586/'Adj Close Prices'!E585-1</f>
        <v>-1.1627906976744318E-2</v>
      </c>
      <c r="F585" s="6">
        <f>'Adj Close Prices'!F586/'Adj Close Prices'!F585-1</f>
        <v>8.113590263691961E-4</v>
      </c>
      <c r="G585" s="6">
        <f>'Adj Close Prices'!G586/'Adj Close Prices'!G585-1</f>
        <v>5.9018309605389785E-3</v>
      </c>
    </row>
    <row r="586" spans="1:7" x14ac:dyDescent="0.45">
      <c r="A586" s="2">
        <f>'Adj Close Prices'!A587</f>
        <v>45929</v>
      </c>
      <c r="B586" s="6">
        <f>'Adj Close Prices'!B587/'Adj Close Prices'!B586-1</f>
        <v>2.8148125728295614E-3</v>
      </c>
      <c r="C586" s="6">
        <f>'Adj Close Prices'!C587/'Adj Close Prices'!C586-1</f>
        <v>-1.0277492291880241E-3</v>
      </c>
      <c r="D586" s="6">
        <f>'Adj Close Prices'!D587/'Adj Close Prices'!D586-1</f>
        <v>9.2081031307555961E-4</v>
      </c>
      <c r="E586" s="6">
        <f>'Adj Close Prices'!E587/'Adj Close Prices'!E586-1</f>
        <v>-6.4908722109533468E-3</v>
      </c>
      <c r="F586" s="6">
        <f>'Adj Close Prices'!F587/'Adj Close Prices'!F586-1</f>
        <v>0</v>
      </c>
      <c r="G586" s="6">
        <f>'Adj Close Prices'!G587/'Adj Close Prices'!G586-1</f>
        <v>2.6325652383984988E-3</v>
      </c>
    </row>
    <row r="587" spans="1:7" x14ac:dyDescent="0.45">
      <c r="A587" s="2">
        <f>'Adj Close Prices'!A588</f>
        <v>45930</v>
      </c>
      <c r="B587" s="6">
        <f>'Adj Close Prices'!B588/'Adj Close Prices'!B587-1</f>
        <v>3.8029125481022774E-3</v>
      </c>
      <c r="C587" s="6">
        <f>'Adj Close Prices'!C588/'Adj Close Prices'!C587-1</f>
        <v>-1.5432098765432167E-3</v>
      </c>
      <c r="D587" s="6">
        <f>'Adj Close Prices'!D588/'Adj Close Prices'!D587-1</f>
        <v>1.3799448022080441E-3</v>
      </c>
      <c r="E587" s="6">
        <f>'Adj Close Prices'!E588/'Adj Close Prices'!E587-1</f>
        <v>8.166598611678566E-4</v>
      </c>
      <c r="F587" s="6">
        <f>'Adj Close Prices'!F588/'Adj Close Prices'!F587-1</f>
        <v>-2.0267531414686069E-4</v>
      </c>
      <c r="G587" s="6">
        <f>'Adj Close Prices'!G588/'Adj Close Prices'!G587-1</f>
        <v>4.0938569627095855E-3</v>
      </c>
    </row>
    <row r="588" spans="1:7" x14ac:dyDescent="0.45">
      <c r="A588" s="2">
        <f>'Adj Close Prices'!A589</f>
        <v>45931</v>
      </c>
      <c r="B588" s="6">
        <f>'Adj Close Prices'!B589/'Adj Close Prices'!B588-1</f>
        <v>3.7885051941610737E-3</v>
      </c>
      <c r="C588" s="6">
        <f>'Adj Close Prices'!C589/'Adj Close Prices'!C588-1</f>
        <v>-1.3395157135497215E-2</v>
      </c>
      <c r="D588" s="6">
        <f>'Adj Close Prices'!D589/'Adj Close Prices'!D588-1</f>
        <v>-3.0776297657326479E-2</v>
      </c>
      <c r="E588" s="6">
        <f>'Adj Close Prices'!E589/'Adj Close Prices'!E588-1</f>
        <v>-2.8559771521827759E-3</v>
      </c>
      <c r="F588" s="6">
        <f>'Adj Close Prices'!F589/'Adj Close Prices'!F588-1</f>
        <v>4.0543279951354982E-4</v>
      </c>
      <c r="G588" s="6">
        <f>'Adj Close Prices'!G589/'Adj Close Prices'!G588-1</f>
        <v>3.3968904697185831E-3</v>
      </c>
    </row>
    <row r="589" spans="1:7" x14ac:dyDescent="0.45">
      <c r="A589" s="2">
        <f>'Adj Close Prices'!A590</f>
        <v>45932</v>
      </c>
      <c r="B589" s="6">
        <f>'Adj Close Prices'!B590/'Adj Close Prices'!B589-1</f>
        <v>9.884826790875767E-4</v>
      </c>
      <c r="C589" s="6">
        <f>'Adj Close Prices'!C590/'Adj Close Prices'!C589-1</f>
        <v>1.2532637075718167E-2</v>
      </c>
      <c r="D589" s="6">
        <f>'Adj Close Prices'!D590/'Adj Close Prices'!D589-1</f>
        <v>1.6113744075829439E-2</v>
      </c>
      <c r="E589" s="6">
        <f>'Adj Close Prices'!E590/'Adj Close Prices'!E589-1</f>
        <v>2.2504091653027691E-2</v>
      </c>
      <c r="F589" s="6">
        <f>'Adj Close Prices'!F590/'Adj Close Prices'!F589-1</f>
        <v>2.0263424518729423E-4</v>
      </c>
      <c r="G589" s="6">
        <f>'Adj Close Prices'!G590/'Adj Close Prices'!G589-1</f>
        <v>6.2135031194165968E-4</v>
      </c>
    </row>
    <row r="590" spans="1:7" x14ac:dyDescent="0.45">
      <c r="A590" s="2">
        <f>'Adj Close Prices'!A591</f>
        <v>45933</v>
      </c>
      <c r="B590" s="6">
        <f>'Adj Close Prices'!B591/'Adj Close Prices'!B590-1</f>
        <v>-1.1969776314812997E-4</v>
      </c>
      <c r="C590" s="6">
        <f>'Adj Close Prices'!C591/'Adj Close Prices'!C590-1</f>
        <v>-1.186178442496133E-2</v>
      </c>
      <c r="D590" s="6">
        <f>'Adj Close Prices'!D591/'Adj Close Prices'!D590-1</f>
        <v>-8.8619402985075091E-3</v>
      </c>
      <c r="E590" s="6">
        <f>'Adj Close Prices'!E591/'Adj Close Prices'!E590-1</f>
        <v>-6.8027210884352707E-3</v>
      </c>
      <c r="F590" s="6">
        <f>'Adj Close Prices'!F591/'Adj Close Prices'!F590-1</f>
        <v>6.0777957860613796E-4</v>
      </c>
      <c r="G590" s="6">
        <f>'Adj Close Prices'!G591/'Adj Close Prices'!G590-1</f>
        <v>6.2543184579766375E-5</v>
      </c>
    </row>
    <row r="591" spans="1:7" x14ac:dyDescent="0.45">
      <c r="A591" s="2">
        <f>'Adj Close Prices'!A592</f>
        <v>45936</v>
      </c>
      <c r="B591" s="6">
        <f>'Adj Close Prices'!B592/'Adj Close Prices'!B591-1</f>
        <v>3.6811468418453952E-3</v>
      </c>
      <c r="C591" s="6">
        <f>'Adj Close Prices'!C592/'Adj Close Prices'!C591-1</f>
        <v>-1.0438413361169019E-3</v>
      </c>
      <c r="D591" s="6">
        <f>'Adj Close Prices'!D592/'Adj Close Prices'!D591-1</f>
        <v>-2.8235294117646692E-3</v>
      </c>
      <c r="E591" s="6">
        <f>'Adj Close Prices'!E592/'Adj Close Prices'!E591-1</f>
        <v>-1.3698630136986245E-2</v>
      </c>
      <c r="F591" s="6">
        <f>'Adj Close Prices'!F592/'Adj Close Prices'!F591-1</f>
        <v>0</v>
      </c>
      <c r="G591" s="6">
        <f>'Adj Close Prices'!G592/'Adj Close Prices'!G591-1</f>
        <v>3.6496132988275143E-3</v>
      </c>
    </row>
    <row r="592" spans="1:7" x14ac:dyDescent="0.45">
      <c r="A592" s="2">
        <f>'Adj Close Prices'!A593</f>
        <v>45937</v>
      </c>
      <c r="B592" s="6">
        <f>'Adj Close Prices'!B593/'Adj Close Prices'!B592-1</f>
        <v>-3.6676456994618745E-3</v>
      </c>
      <c r="C592" s="6">
        <f>'Adj Close Prices'!C593/'Adj Close Prices'!C592-1</f>
        <v>-1.3061650992685525E-2</v>
      </c>
      <c r="D592" s="6">
        <f>'Adj Close Prices'!D593/'Adj Close Prices'!D592-1</f>
        <v>-1.8404907975460127E-2</v>
      </c>
      <c r="E592" s="6">
        <f>'Adj Close Prices'!E593/'Adj Close Prices'!E592-1</f>
        <v>-1.1029411764705843E-2</v>
      </c>
      <c r="F592" s="6">
        <f>'Adj Close Prices'!F593/'Adj Close Prices'!F592-1</f>
        <v>2.0247013565488636E-4</v>
      </c>
      <c r="G592" s="6">
        <f>'Adj Close Prices'!G593/'Adj Close Prices'!G592-1</f>
        <v>-3.8143759393142185E-3</v>
      </c>
    </row>
    <row r="593" spans="1:7" x14ac:dyDescent="0.45">
      <c r="A593" s="2">
        <f>'Adj Close Prices'!A594</f>
        <v>45938</v>
      </c>
      <c r="B593" s="6">
        <f>'Adj Close Prices'!B594/'Adj Close Prices'!B593-1</f>
        <v>5.9556765977824E-3</v>
      </c>
      <c r="C593" s="6">
        <f>'Adj Close Prices'!C594/'Adj Close Prices'!C593-1</f>
        <v>-9.5288512440444562E-3</v>
      </c>
      <c r="D593" s="6">
        <f>'Adj Close Prices'!D594/'Adj Close Prices'!D593-1</f>
        <v>-1.2019230769230727E-2</v>
      </c>
      <c r="E593" s="6">
        <f>'Adj Close Prices'!E594/'Adj Close Prices'!E593-1</f>
        <v>7.0218917802560288E-3</v>
      </c>
      <c r="F593" s="6">
        <f>'Adj Close Prices'!F594/'Adj Close Prices'!F593-1</f>
        <v>2.024291497975117E-4</v>
      </c>
      <c r="G593" s="6">
        <f>'Adj Close Prices'!G594/'Adj Close Prices'!G593-1</f>
        <v>5.8276169172160053E-3</v>
      </c>
    </row>
    <row r="594" spans="1:7" x14ac:dyDescent="0.45">
      <c r="A594" s="2">
        <f>'Adj Close Prices'!A595</f>
        <v>45939</v>
      </c>
      <c r="B594" s="6">
        <f>'Adj Close Prices'!B595/'Adj Close Prices'!B594-1</f>
        <v>-2.8114540721457804E-3</v>
      </c>
      <c r="C594" s="6">
        <f>'Adj Close Prices'!C595/'Adj Close Prices'!C594-1</f>
        <v>-2.8861571352218007E-2</v>
      </c>
      <c r="D594" s="6">
        <f>'Adj Close Prices'!D595/'Adj Close Prices'!D594-1</f>
        <v>-2.4330900243308973E-2</v>
      </c>
      <c r="E594" s="6">
        <f>'Adj Close Prices'!E595/'Adj Close Prices'!E594-1</f>
        <v>-2.5020508613617709E-2</v>
      </c>
      <c r="F594" s="6">
        <f>'Adj Close Prices'!F595/'Adj Close Prices'!F594-1</f>
        <v>-4.0477636106039938E-4</v>
      </c>
      <c r="G594" s="6">
        <f>'Adj Close Prices'!G595/'Adj Close Prices'!G594-1</f>
        <v>-2.7525611848895348E-3</v>
      </c>
    </row>
    <row r="595" spans="1:7" x14ac:dyDescent="0.45">
      <c r="A595" s="2">
        <f>'Adj Close Prices'!A596</f>
        <v>45940</v>
      </c>
      <c r="B595" s="6">
        <f>'Adj Close Prices'!B596/'Adj Close Prices'!B595-1</f>
        <v>-2.7164508622232852E-2</v>
      </c>
      <c r="C595" s="6">
        <f>'Adj Close Prices'!C596/'Adj Close Prices'!C595-1</f>
        <v>-1.0456796917996725E-2</v>
      </c>
      <c r="D595" s="6">
        <f>'Adj Close Prices'!D596/'Adj Close Prices'!D595-1</f>
        <v>-8.9775561097257262E-3</v>
      </c>
      <c r="E595" s="6">
        <f>'Adj Close Prices'!E596/'Adj Close Prices'!E595-1</f>
        <v>-1.0517458981909922E-2</v>
      </c>
      <c r="F595" s="6">
        <f>'Adj Close Prices'!F596/'Adj Close Prices'!F595-1</f>
        <v>6.0741040696510318E-4</v>
      </c>
      <c r="G595" s="6">
        <f>'Adj Close Prices'!G596/'Adj Close Prices'!G595-1</f>
        <v>-2.7111617907327523E-2</v>
      </c>
    </row>
    <row r="596" spans="1:7" x14ac:dyDescent="0.45">
      <c r="A596" s="2">
        <f>'Adj Close Prices'!A597</f>
        <v>45943</v>
      </c>
      <c r="B596" s="6">
        <f>'Adj Close Prices'!B597/'Adj Close Prices'!B596-1</f>
        <v>1.5287893889442739E-2</v>
      </c>
      <c r="C596" s="6">
        <f>'Adj Close Prices'!C597/'Adj Close Prices'!C596-1</f>
        <v>3.1145717463848754E-2</v>
      </c>
      <c r="D596" s="6">
        <f>'Adj Close Prices'!D597/'Adj Close Prices'!D596-1</f>
        <v>3.9758429793658845E-2</v>
      </c>
      <c r="E596" s="6">
        <f>'Adj Close Prices'!E597/'Adj Close Prices'!E596-1</f>
        <v>3.8690476190476275E-2</v>
      </c>
      <c r="F596" s="6">
        <f>'Adj Close Prices'!F597/'Adj Close Prices'!F596-1</f>
        <v>2.0234722784295833E-4</v>
      </c>
      <c r="G596" s="6">
        <f>'Adj Close Prices'!G597/'Adj Close Prices'!G596-1</f>
        <v>1.5595526606557497E-2</v>
      </c>
    </row>
    <row r="597" spans="1:7" x14ac:dyDescent="0.45">
      <c r="A597" s="2">
        <f>'Adj Close Prices'!A598</f>
        <v>45944</v>
      </c>
      <c r="B597" s="6">
        <f>'Adj Close Prices'!B598/'Adj Close Prices'!B597-1</f>
        <v>-1.132725185766903E-3</v>
      </c>
      <c r="C597" s="6">
        <f>'Adj Close Prices'!C598/'Adj Close Prices'!C597-1</f>
        <v>2.265372168284796E-2</v>
      </c>
      <c r="D597" s="6">
        <f>'Adj Close Prices'!D598/'Adj Close Prices'!D597-1</f>
        <v>9.196515004840311E-3</v>
      </c>
      <c r="E597" s="6">
        <f>'Adj Close Prices'!E598/'Adj Close Prices'!E597-1</f>
        <v>1.6373311502251298E-2</v>
      </c>
      <c r="F597" s="6">
        <f>'Adj Close Prices'!F598/'Adj Close Prices'!F597-1</f>
        <v>4.0461258345136919E-4</v>
      </c>
      <c r="G597" s="6">
        <f>'Adj Close Prices'!G598/'Adj Close Prices'!G597-1</f>
        <v>-1.5643055820614427E-3</v>
      </c>
    </row>
    <row r="598" spans="1:7" x14ac:dyDescent="0.45">
      <c r="A598" s="2">
        <f>'Adj Close Prices'!A599</f>
        <v>45945</v>
      </c>
      <c r="B598" s="6">
        <f>'Adj Close Prices'!B599/'Adj Close Prices'!B598-1</f>
        <v>4.2185161104979496E-3</v>
      </c>
      <c r="C598" s="6">
        <f>'Adj Close Prices'!C599/'Adj Close Prices'!C598-1</f>
        <v>5.8016877637130371E-3</v>
      </c>
      <c r="D598" s="6">
        <f>'Adj Close Prices'!D599/'Adj Close Prices'!D598-1</f>
        <v>-4.7961630695447788E-4</v>
      </c>
      <c r="E598" s="6">
        <f>'Adj Close Prices'!E599/'Adj Close Prices'!E598-1</f>
        <v>1.610954490535832E-3</v>
      </c>
      <c r="F598" s="6">
        <f>'Adj Close Prices'!F599/'Adj Close Prices'!F598-1</f>
        <v>4.0444893832147777E-4</v>
      </c>
      <c r="G598" s="6">
        <f>'Adj Close Prices'!G599/'Adj Close Prices'!G598-1</f>
        <v>4.0290173532200324E-3</v>
      </c>
    </row>
    <row r="599" spans="1:7" x14ac:dyDescent="0.45">
      <c r="A599" s="2">
        <f>'Adj Close Prices'!A600</f>
        <v>45946</v>
      </c>
      <c r="B599" s="6">
        <f>'Adj Close Prices'!B600/'Adj Close Prices'!B599-1</f>
        <v>-6.4442303059503159E-3</v>
      </c>
      <c r="C599" s="6">
        <f>'Adj Close Prices'!C600/'Adj Close Prices'!C599-1</f>
        <v>-2.6219192448872608E-2</v>
      </c>
      <c r="D599" s="6">
        <f>'Adj Close Prices'!D600/'Adj Close Prices'!D599-1</f>
        <v>-2.7351247600767792E-2</v>
      </c>
      <c r="E599" s="6">
        <f>'Adj Close Prices'!E600/'Adj Close Prices'!E599-1</f>
        <v>-1.8496180136710949E-2</v>
      </c>
      <c r="F599" s="6">
        <f>'Adj Close Prices'!F600/'Adj Close Prices'!F599-1</f>
        <v>4.0428542551040891E-4</v>
      </c>
      <c r="G599" s="6">
        <f>'Adj Close Prices'!G600/'Adj Close Prices'!G599-1</f>
        <v>-6.2943425867214575E-3</v>
      </c>
    </row>
    <row r="600" spans="1:7" x14ac:dyDescent="0.45">
      <c r="A600" s="2">
        <f>'Adj Close Prices'!A601</f>
        <v>45947</v>
      </c>
      <c r="B600" s="6">
        <f>'Adj Close Prices'!B601/'Adj Close Prices'!B600-1</f>
        <v>5.5919258046919218E-3</v>
      </c>
      <c r="C600" s="6">
        <f>'Adj Close Prices'!C601/'Adj Close Prices'!C600-1</f>
        <v>-5.3850296176638501E-4</v>
      </c>
      <c r="D600" s="6">
        <f>'Adj Close Prices'!D601/'Adj Close Prices'!D600-1</f>
        <v>1.0360138135175223E-2</v>
      </c>
      <c r="E600" s="6">
        <f>'Adj Close Prices'!E601/'Adj Close Prices'!E600-1</f>
        <v>-4.0966816878329482E-4</v>
      </c>
      <c r="F600" s="6">
        <f>'Adj Close Prices'!F601/'Adj Close Prices'!F600-1</f>
        <v>2.0206102242870116E-4</v>
      </c>
      <c r="G600" s="6">
        <f>'Adj Close Prices'!G601/'Adj Close Prices'!G600-1</f>
        <v>5.2676992885891671E-3</v>
      </c>
    </row>
    <row r="601" spans="1:7" x14ac:dyDescent="0.45">
      <c r="A601" s="2">
        <f>'Adj Close Prices'!A602</f>
        <v>45950</v>
      </c>
      <c r="B601" s="6">
        <f>'Adj Close Prices'!B602/'Adj Close Prices'!B601-1</f>
        <v>1.033802010338003E-2</v>
      </c>
      <c r="C601" s="6">
        <f>'Adj Close Prices'!C602/'Adj Close Prices'!C601-1</f>
        <v>4.3103448275862988E-3</v>
      </c>
      <c r="D601" s="6">
        <f>'Adj Close Prices'!D602/'Adj Close Prices'!D601-1</f>
        <v>8.30078125E-3</v>
      </c>
      <c r="E601" s="6">
        <f>'Adj Close Prices'!E602/'Adj Close Prices'!E601-1</f>
        <v>-4.0983606557365437E-4</v>
      </c>
      <c r="F601" s="6">
        <f>'Adj Close Prices'!F602/'Adj Close Prices'!F601-1</f>
        <v>2.020202020200923E-4</v>
      </c>
      <c r="G601" s="6">
        <f>'Adj Close Prices'!G602/'Adj Close Prices'!G601-1</f>
        <v>1.0675270108043255E-2</v>
      </c>
    </row>
    <row r="602" spans="1:7" x14ac:dyDescent="0.45">
      <c r="A602" s="2">
        <f>'Adj Close Prices'!A603</f>
        <v>45951</v>
      </c>
      <c r="B602" s="6">
        <f>'Adj Close Prices'!B603/'Adj Close Prices'!B602-1</f>
        <v>-2.3865280491619512E-4</v>
      </c>
      <c r="C602" s="6">
        <f>'Adj Close Prices'!C603/'Adj Close Prices'!C602-1</f>
        <v>1.6094420600858417E-2</v>
      </c>
      <c r="D602" s="6">
        <f>'Adj Close Prices'!D603/'Adj Close Prices'!D602-1</f>
        <v>1.1138014527845019E-2</v>
      </c>
      <c r="E602" s="6">
        <f>'Adj Close Prices'!E603/'Adj Close Prices'!E602-1</f>
        <v>1.927019270192698E-2</v>
      </c>
      <c r="F602" s="6">
        <f>'Adj Close Prices'!F603/'Adj Close Prices'!F602-1</f>
        <v>0</v>
      </c>
      <c r="G602" s="6">
        <f>'Adj Close Prices'!G603/'Adj Close Prices'!G602-1</f>
        <v>2.9695002627949663E-5</v>
      </c>
    </row>
    <row r="603" spans="1:7" x14ac:dyDescent="0.45">
      <c r="A603" s="2">
        <f>'Adj Close Prices'!A604</f>
        <v>45952</v>
      </c>
      <c r="B603" s="6">
        <f>'Adj Close Prices'!B604/'Adj Close Prices'!B603-1</f>
        <v>-4.8487922777388226E-3</v>
      </c>
      <c r="C603" s="6">
        <f>'Adj Close Prices'!C604/'Adj Close Prices'!C603-1</f>
        <v>2.1119324181626542E-3</v>
      </c>
      <c r="D603" s="6">
        <f>'Adj Close Prices'!D604/'Adj Close Prices'!D603-1</f>
        <v>-2.3946360153257462E-3</v>
      </c>
      <c r="E603" s="6">
        <f>'Adj Close Prices'!E604/'Adj Close Prices'!E603-1</f>
        <v>-1.6090104585679832E-3</v>
      </c>
      <c r="F603" s="6">
        <f>'Adj Close Prices'!F604/'Adj Close Prices'!F603-1</f>
        <v>2.0197939810140397E-4</v>
      </c>
      <c r="G603" s="6">
        <f>'Adj Close Prices'!G604/'Adj Close Prices'!G603-1</f>
        <v>-5.334548812680584E-3</v>
      </c>
    </row>
    <row r="604" spans="1:7" x14ac:dyDescent="0.45">
      <c r="A604" s="2">
        <f>'Adj Close Prices'!A605</f>
        <v>45953</v>
      </c>
      <c r="B604" s="6">
        <f>'Adj Close Prices'!B605/'Adj Close Prices'!B604-1</f>
        <v>5.6819885460706043E-3</v>
      </c>
      <c r="C604" s="6">
        <f>'Adj Close Prices'!C605/'Adj Close Prices'!C604-1</f>
        <v>-1.0537407797681642E-3</v>
      </c>
      <c r="D604" s="6">
        <f>'Adj Close Prices'!D605/'Adj Close Prices'!D604-1</f>
        <v>1.1521843494959327E-2</v>
      </c>
      <c r="E604" s="6">
        <f>'Adj Close Prices'!E605/'Adj Close Prices'!E604-1</f>
        <v>6.8493150684931781E-3</v>
      </c>
      <c r="F604" s="6">
        <f>'Adj Close Prices'!F605/'Adj Close Prices'!F604-1</f>
        <v>-2.0193861066242214E-4</v>
      </c>
      <c r="G604" s="6">
        <f>'Adj Close Prices'!G605/'Adj Close Prices'!G604-1</f>
        <v>5.824393491367319E-3</v>
      </c>
    </row>
    <row r="605" spans="1:7" x14ac:dyDescent="0.45">
      <c r="A605" s="2">
        <f>'Adj Close Prices'!A606</f>
        <v>45954</v>
      </c>
      <c r="B605" s="6">
        <f>'Adj Close Prices'!B606/'Adj Close Prices'!B605-1</f>
        <v>8.2139502988924917E-3</v>
      </c>
      <c r="C605" s="6">
        <f>'Adj Close Prices'!C606/'Adj Close Prices'!C605-1</f>
        <v>7.3839662447257037E-3</v>
      </c>
      <c r="D605" s="6">
        <f>'Adj Close Prices'!D606/'Adj Close Prices'!D605-1</f>
        <v>1.6136687233032632E-2</v>
      </c>
      <c r="E605" s="6">
        <f>'Adj Close Prices'!E606/'Adj Close Prices'!E605-1</f>
        <v>8.0032012805122399E-3</v>
      </c>
      <c r="F605" s="6">
        <f>'Adj Close Prices'!F606/'Adj Close Prices'!F605-1</f>
        <v>2.0197939810140397E-4</v>
      </c>
      <c r="G605" s="6">
        <f>'Adj Close Prices'!G606/'Adj Close Prices'!G605-1</f>
        <v>7.902434246553014E-3</v>
      </c>
    </row>
    <row r="606" spans="1:7" x14ac:dyDescent="0.45">
      <c r="A606" s="2">
        <f>'Adj Close Prices'!A607</f>
        <v>45957</v>
      </c>
      <c r="B606" s="6">
        <f>'Adj Close Prices'!B607/'Adj Close Prices'!B606-1</f>
        <v>1.1873077832978529E-2</v>
      </c>
      <c r="C606" s="6">
        <f>'Adj Close Prices'!C607/'Adj Close Prices'!C606-1</f>
        <v>1.2041884816753834E-2</v>
      </c>
      <c r="D606" s="6">
        <f>'Adj Close Prices'!D607/'Adj Close Prices'!D606-1</f>
        <v>1.8215787015413376E-2</v>
      </c>
      <c r="E606" s="6">
        <f>'Adj Close Prices'!E607/'Adj Close Prices'!E606-1</f>
        <v>7.9396585946804876E-3</v>
      </c>
      <c r="F606" s="6">
        <f>'Adj Close Prices'!F607/'Adj Close Prices'!F606-1</f>
        <v>2.0193861066242214E-4</v>
      </c>
      <c r="G606" s="6">
        <f>'Adj Close Prices'!G607/'Adj Close Prices'!G606-1</f>
        <v>1.2290037222012717E-2</v>
      </c>
    </row>
    <row r="607" spans="1:7" x14ac:dyDescent="0.45">
      <c r="A607" s="2">
        <f>'Adj Close Prices'!A608</f>
        <v>45958</v>
      </c>
      <c r="B607" s="6">
        <f>'Adj Close Prices'!B608/'Adj Close Prices'!B607-1</f>
        <v>2.5279462263461117E-3</v>
      </c>
      <c r="C607" s="6">
        <f>'Adj Close Prices'!C608/'Adj Close Prices'!C607-1</f>
        <v>1.189860320744951E-2</v>
      </c>
      <c r="D607" s="6">
        <f>'Adj Close Prices'!D608/'Adj Close Prices'!D607-1</f>
        <v>-1.3761467889908952E-3</v>
      </c>
      <c r="E607" s="6">
        <f>'Adj Close Prices'!E608/'Adj Close Prices'!E607-1</f>
        <v>5.5139818826310805E-3</v>
      </c>
      <c r="F607" s="6">
        <f>'Adj Close Prices'!F608/'Adj Close Prices'!F607-1</f>
        <v>4.0379567938608751E-4</v>
      </c>
      <c r="G607" s="6">
        <f>'Adj Close Prices'!G608/'Adj Close Prices'!G607-1</f>
        <v>2.287950081089285E-3</v>
      </c>
    </row>
    <row r="608" spans="1:7" x14ac:dyDescent="0.45">
      <c r="A608" s="2">
        <f>'Adj Close Prices'!A609</f>
        <v>45959</v>
      </c>
      <c r="B608" s="6">
        <f>'Adj Close Prices'!B609/'Adj Close Prices'!B608-1</f>
        <v>5.3929570895516754E-4</v>
      </c>
      <c r="C608" s="6">
        <f>'Adj Close Prices'!C609/'Adj Close Prices'!C608-1</f>
        <v>2.044989775051187E-3</v>
      </c>
      <c r="D608" s="6">
        <f>'Adj Close Prices'!D609/'Adj Close Prices'!D608-1</f>
        <v>-3.215434083601254E-3</v>
      </c>
      <c r="E608" s="6">
        <f>'Adj Close Prices'!E609/'Adj Close Prices'!E608-1</f>
        <v>-4.7003525264395218E-3</v>
      </c>
      <c r="F608" s="6">
        <f>'Adj Close Prices'!F609/'Adj Close Prices'!F608-1</f>
        <v>-8.0726538849640317E-4</v>
      </c>
      <c r="G608" s="6">
        <f>'Adj Close Prices'!G609/'Adj Close Prices'!G608-1</f>
        <v>-4.0633416922064569E-5</v>
      </c>
    </row>
    <row r="609" spans="1:7" x14ac:dyDescent="0.45">
      <c r="A609" s="2">
        <f>'Adj Close Prices'!A610</f>
        <v>45960</v>
      </c>
      <c r="B609" s="6">
        <f>'Adj Close Prices'!B610/'Adj Close Prices'!B609-1</f>
        <v>-1.0838371330759822E-2</v>
      </c>
      <c r="C609" s="6">
        <f>'Adj Close Prices'!C610/'Adj Close Prices'!C609-1</f>
        <v>-2.2448979591836782E-2</v>
      </c>
      <c r="D609" s="6">
        <f>'Adj Close Prices'!D610/'Adj Close Prices'!D609-1</f>
        <v>-9.2165898617511122E-3</v>
      </c>
      <c r="E609" s="6">
        <f>'Adj Close Prices'!E610/'Adj Close Prices'!E609-1</f>
        <v>-2.3612750885478206E-2</v>
      </c>
      <c r="F609" s="6">
        <f>'Adj Close Prices'!F610/'Adj Close Prices'!F609-1</f>
        <v>2.0197939810140397E-4</v>
      </c>
      <c r="G609" s="6">
        <f>'Adj Close Prices'!G610/'Adj Close Prices'!G609-1</f>
        <v>-9.9047978405363279E-3</v>
      </c>
    </row>
    <row r="610" spans="1:7" x14ac:dyDescent="0.45">
      <c r="A610" s="2">
        <f>'Adj Close Prices'!A611</f>
        <v>45961</v>
      </c>
      <c r="B610" s="6">
        <f>'Adj Close Prices'!B611/'Adj Close Prices'!B610-1</f>
        <v>2.9307373970928197E-3</v>
      </c>
      <c r="C610" s="6">
        <f>'Adj Close Prices'!C611/'Adj Close Prices'!C610-1</f>
        <v>9.91649269311079E-3</v>
      </c>
      <c r="D610" s="6">
        <f>'Adj Close Prices'!D611/'Adj Close Prices'!D610-1</f>
        <v>2.3255813953488857E-3</v>
      </c>
      <c r="E610" s="6">
        <f>'Adj Close Prices'!E611/'Adj Close Prices'!E610-1</f>
        <v>2.0153164046756711E-3</v>
      </c>
      <c r="F610" s="6">
        <f>'Adj Close Prices'!F611/'Adj Close Prices'!F610-1</f>
        <v>6.0581583198704436E-4</v>
      </c>
      <c r="G610" s="6">
        <f>'Adj Close Prices'!G611/'Adj Close Prices'!G610-1</f>
        <v>2.6149347365642672E-3</v>
      </c>
    </row>
    <row r="611" spans="1:7" x14ac:dyDescent="0.45">
      <c r="A611" s="2">
        <f>'Adj Close Prices'!A612</f>
        <v>45964</v>
      </c>
      <c r="B611" s="6">
        <f>'Adj Close Prices'!B612/'Adj Close Prices'!B611-1</f>
        <v>2.1292217327459895E-3</v>
      </c>
      <c r="C611" s="6">
        <f>'Adj Close Prices'!C612/'Adj Close Prices'!C611-1</f>
        <v>3.1007751937983663E-3</v>
      </c>
      <c r="D611" s="6">
        <f>'Adj Close Prices'!D612/'Adj Close Prices'!D611-1</f>
        <v>4.6403712296982924E-4</v>
      </c>
      <c r="E611" s="6">
        <f>'Adj Close Prices'!E612/'Adj Close Prices'!E611-1</f>
        <v>-8.045052292839916E-4</v>
      </c>
      <c r="F611" s="6">
        <f>'Adj Close Prices'!F612/'Adj Close Prices'!F611-1</f>
        <v>-4.0363269424814607E-4</v>
      </c>
      <c r="G611" s="6">
        <f>'Adj Close Prices'!G612/'Adj Close Prices'!G611-1</f>
        <v>1.72363633173922E-3</v>
      </c>
    </row>
    <row r="612" spans="1:7" x14ac:dyDescent="0.45">
      <c r="A612" s="2">
        <f>'Adj Close Prices'!A613</f>
        <v>45965</v>
      </c>
      <c r="B612" s="6">
        <f>'Adj Close Prices'!B613/'Adj Close Prices'!B612-1</f>
        <v>-1.1473368012308693E-2</v>
      </c>
      <c r="C612" s="6">
        <f>'Adj Close Prices'!C613/'Adj Close Prices'!C612-1</f>
        <v>-6.6975785677485522E-3</v>
      </c>
      <c r="D612" s="6">
        <f>'Adj Close Prices'!D613/'Adj Close Prices'!D612-1</f>
        <v>-1.3914656771799483E-2</v>
      </c>
      <c r="E612" s="6">
        <f>'Adj Close Prices'!E613/'Adj Close Prices'!E612-1</f>
        <v>-7.6489533011272481E-3</v>
      </c>
      <c r="F612" s="6">
        <f>'Adj Close Prices'!F613/'Adj Close Prices'!F612-1</f>
        <v>4.0379567938608751E-4</v>
      </c>
      <c r="G612" s="6">
        <f>'Adj Close Prices'!G613/'Adj Close Prices'!G612-1</f>
        <v>-1.1739672328290429E-2</v>
      </c>
    </row>
    <row r="613" spans="1:7" x14ac:dyDescent="0.45">
      <c r="A613" s="2">
        <f>'Adj Close Prices'!A614</f>
        <v>45966</v>
      </c>
      <c r="B613" s="6">
        <f>'Adj Close Prices'!B614/'Adj Close Prices'!B613-1</f>
        <v>3.0980403782869814E-3</v>
      </c>
      <c r="C613" s="6">
        <f>'Adj Close Prices'!C614/'Adj Close Prices'!C613-1</f>
        <v>5.1867219917012264E-3</v>
      </c>
      <c r="D613" s="6">
        <f>'Adj Close Prices'!D614/'Adj Close Prices'!D613-1</f>
        <v>-2.1166509877704742E-2</v>
      </c>
      <c r="E613" s="6">
        <f>'Adj Close Prices'!E614/'Adj Close Prices'!E613-1</f>
        <v>-3.2454361054765624E-3</v>
      </c>
      <c r="F613" s="6">
        <f>'Adj Close Prices'!F614/'Adj Close Prices'!F613-1</f>
        <v>0</v>
      </c>
      <c r="G613" s="6">
        <f>'Adj Close Prices'!G614/'Adj Close Prices'!G613-1</f>
        <v>3.6564799144656046E-3</v>
      </c>
    </row>
    <row r="614" spans="1:7" x14ac:dyDescent="0.45">
      <c r="A614" s="2">
        <f>'Adj Close Prices'!A615</f>
        <v>45967</v>
      </c>
      <c r="B614" s="6">
        <f>'Adj Close Prices'!B615/'Adj Close Prices'!B614-1</f>
        <v>-1.0861373409584596E-2</v>
      </c>
      <c r="C614" s="6">
        <f>'Adj Close Prices'!C615/'Adj Close Prices'!C614-1</f>
        <v>-1.8575851393188847E-2</v>
      </c>
      <c r="D614" s="6">
        <f>'Adj Close Prices'!D615/'Adj Close Prices'!D614-1</f>
        <v>-3.1234983181162801E-2</v>
      </c>
      <c r="E614" s="6">
        <f>'Adj Close Prices'!E615/'Adj Close Prices'!E614-1</f>
        <v>-6.9190069190070425E-3</v>
      </c>
      <c r="F614" s="6">
        <f>'Adj Close Prices'!F615/'Adj Close Prices'!F614-1</f>
        <v>6.0544904137227462E-4</v>
      </c>
      <c r="G614" s="6">
        <f>'Adj Close Prices'!G615/'Adj Close Prices'!G614-1</f>
        <v>-1.1181083825022364E-2</v>
      </c>
    </row>
    <row r="615" spans="1:7" x14ac:dyDescent="0.45">
      <c r="A615" s="2">
        <f>'Adj Close Prices'!A616</f>
        <v>45968</v>
      </c>
      <c r="B615" s="6">
        <f>'Adj Close Prices'!B616/'Adj Close Prices'!B615-1</f>
        <v>1.2250507947888511E-3</v>
      </c>
      <c r="C615" s="6">
        <f>'Adj Close Prices'!C616/'Adj Close Prices'!C615-1</f>
        <v>9.9894847528918529E-3</v>
      </c>
      <c r="D615" s="6">
        <f>'Adj Close Prices'!D616/'Adj Close Prices'!D615-1</f>
        <v>9.9206349206348854E-4</v>
      </c>
      <c r="E615" s="6">
        <f>'Adj Close Prices'!E616/'Adj Close Prices'!E615-1</f>
        <v>2.0491803278688492E-2</v>
      </c>
      <c r="F615" s="6">
        <f>'Adj Close Prices'!F616/'Adj Close Prices'!F615-1</f>
        <v>0</v>
      </c>
      <c r="G615" s="6">
        <f>'Adj Close Prices'!G616/'Adj Close Prices'!G615-1</f>
        <v>1.2648226049096767E-3</v>
      </c>
    </row>
    <row r="616" spans="1:7" x14ac:dyDescent="0.45">
      <c r="A616" s="2">
        <f>'Adj Close Prices'!A617</f>
        <v>45971</v>
      </c>
      <c r="B616" s="6">
        <f>'Adj Close Prices'!B617/'Adj Close Prices'!B616-1</f>
        <v>1.5533140350353802E-2</v>
      </c>
      <c r="C616" s="6">
        <f>'Adj Close Prices'!C617/'Adj Close Prices'!C616-1</f>
        <v>4.6850598646537289E-3</v>
      </c>
      <c r="D616" s="6">
        <f>'Adj Close Prices'!D617/'Adj Close Prices'!D616-1</f>
        <v>-9.4152626362735692E-3</v>
      </c>
      <c r="E616" s="6">
        <f>'Adj Close Prices'!E617/'Adj Close Prices'!E616-1</f>
        <v>4.417670682731023E-3</v>
      </c>
      <c r="F616" s="6">
        <f>'Adj Close Prices'!F617/'Adj Close Prices'!F616-1</f>
        <v>0</v>
      </c>
      <c r="G616" s="6">
        <f>'Adj Close Prices'!G617/'Adj Close Prices'!G616-1</f>
        <v>1.5397967842753824E-2</v>
      </c>
    </row>
    <row r="617" spans="1:7" x14ac:dyDescent="0.45">
      <c r="A617" s="2">
        <f>'Adj Close Prices'!A618</f>
        <v>45972</v>
      </c>
      <c r="B617" s="6">
        <f>'Adj Close Prices'!B618/'Adj Close Prices'!B617-1</f>
        <v>1.9688799424026904E-3</v>
      </c>
      <c r="C617" s="6">
        <f>'Adj Close Prices'!C618/'Adj Close Prices'!C617-1</f>
        <v>1.0362694300518616E-3</v>
      </c>
      <c r="D617" s="6">
        <f>'Adj Close Prices'!D618/'Adj Close Prices'!D617-1</f>
        <v>1.6008004002000975E-2</v>
      </c>
      <c r="E617" s="6">
        <f>'Adj Close Prices'!E618/'Adj Close Prices'!E617-1</f>
        <v>1.599360255897686E-3</v>
      </c>
      <c r="F617" s="6">
        <f>'Adj Close Prices'!F618/'Adj Close Prices'!F617-1</f>
        <v>2.0169423154503541E-4</v>
      </c>
      <c r="G617" s="6">
        <f>'Adj Close Prices'!G618/'Adj Close Prices'!G617-1</f>
        <v>2.0783265665751394E-3</v>
      </c>
    </row>
    <row r="618" spans="1:7" x14ac:dyDescent="0.45">
      <c r="A618" s="2">
        <f>'Adj Close Prices'!A619</f>
        <v>45973</v>
      </c>
      <c r="B618" s="6">
        <f>'Adj Close Prices'!B619/'Adj Close Prices'!B618-1</f>
        <v>6.8922030120388555E-4</v>
      </c>
      <c r="C618" s="6">
        <f>'Adj Close Prices'!C619/'Adj Close Prices'!C618-1</f>
        <v>3.1055900621117516E-3</v>
      </c>
      <c r="D618" s="6">
        <f>'Adj Close Prices'!D619/'Adj Close Prices'!D618-1</f>
        <v>8.8626292466764678E-3</v>
      </c>
      <c r="E618" s="6">
        <f>'Adj Close Prices'!E619/'Adj Close Prices'!E618-1</f>
        <v>4.7904191616767733E-3</v>
      </c>
      <c r="F618" s="6">
        <f>'Adj Close Prices'!F619/'Adj Close Prices'!F618-1</f>
        <v>0</v>
      </c>
      <c r="G618" s="6">
        <f>'Adj Close Prices'!G619/'Adj Close Prices'!G618-1</f>
        <v>6.2950769868930223E-4</v>
      </c>
    </row>
    <row r="619" spans="1:7" x14ac:dyDescent="0.45">
      <c r="A619" s="2">
        <f>'Adj Close Prices'!A620</f>
        <v>45974</v>
      </c>
      <c r="B619" s="6">
        <f>'Adj Close Prices'!B620/'Adj Close Prices'!B619-1</f>
        <v>-1.6295427901524051E-2</v>
      </c>
      <c r="C619" s="6">
        <f>'Adj Close Prices'!C620/'Adj Close Prices'!C619-1</f>
        <v>-4.1279669762640525E-3</v>
      </c>
      <c r="D619" s="6">
        <f>'Adj Close Prices'!D620/'Adj Close Prices'!D619-1</f>
        <v>-7.8086871644704736E-3</v>
      </c>
      <c r="E619" s="6">
        <f>'Adj Close Prices'!E620/'Adj Close Prices'!E619-1</f>
        <v>-5.9594755661502852E-3</v>
      </c>
      <c r="F619" s="6">
        <f>'Adj Close Prices'!F620/'Adj Close Prices'!F619-1</f>
        <v>-2.0165355918544403E-4</v>
      </c>
      <c r="G619" s="6">
        <f>'Adj Close Prices'!G620/'Adj Close Prices'!G619-1</f>
        <v>-1.6559795531409738E-2</v>
      </c>
    </row>
    <row r="620" spans="1:7" x14ac:dyDescent="0.45">
      <c r="A620" s="2">
        <f>'Adj Close Prices'!A621</f>
        <v>45975</v>
      </c>
      <c r="B620" s="6">
        <f>'Adj Close Prices'!B621/'Adj Close Prices'!B620-1</f>
        <v>-2.0855678703368685E-4</v>
      </c>
      <c r="C620" s="6">
        <f>'Adj Close Prices'!C621/'Adj Close Prices'!C620-1</f>
        <v>-4.1450777202073352E-3</v>
      </c>
      <c r="D620" s="6">
        <f>'Adj Close Prices'!D621/'Adj Close Prices'!D620-1</f>
        <v>-5.4107230693556385E-3</v>
      </c>
      <c r="E620" s="6">
        <f>'Adj Close Prices'!E621/'Adj Close Prices'!E620-1</f>
        <v>1.5987210231813709E-3</v>
      </c>
      <c r="F620" s="6">
        <f>'Adj Close Prices'!F621/'Adj Close Prices'!F620-1</f>
        <v>2.0169423154503541E-4</v>
      </c>
      <c r="G620" s="6">
        <f>'Adj Close Prices'!G621/'Adj Close Prices'!G620-1</f>
        <v>-5.0167124800359897E-4</v>
      </c>
    </row>
    <row r="621" spans="1:7" x14ac:dyDescent="0.45">
      <c r="A621" s="2">
        <f>'Adj Close Prices'!A622</f>
        <v>45978</v>
      </c>
      <c r="B621" s="6">
        <f>'Adj Close Prices'!B622/'Adj Close Prices'!B621-1</f>
        <v>-9.3572131000982939E-3</v>
      </c>
      <c r="C621" s="6">
        <f>'Adj Close Prices'!C622/'Adj Close Prices'!C621-1</f>
        <v>-2.6014568158168605E-2</v>
      </c>
      <c r="D621" s="6">
        <f>'Adj Close Prices'!D622/'Adj Close Prices'!D621-1</f>
        <v>-2.2749752720078953E-2</v>
      </c>
      <c r="E621" s="6">
        <f>'Adj Close Prices'!E622/'Adj Close Prices'!E621-1</f>
        <v>-1.6759776536312776E-2</v>
      </c>
      <c r="F621" s="6">
        <f>'Adj Close Prices'!F622/'Adj Close Prices'!F621-1</f>
        <v>6.0496067755577698E-4</v>
      </c>
      <c r="G621" s="6">
        <f>'Adj Close Prices'!G622/'Adj Close Prices'!G621-1</f>
        <v>-9.1593531429590147E-3</v>
      </c>
    </row>
    <row r="622" spans="1:7" x14ac:dyDescent="0.45">
      <c r="A622" s="2">
        <f>'Adj Close Prices'!A623</f>
        <v>45979</v>
      </c>
      <c r="B622" s="6">
        <f>'Adj Close Prices'!B623/'Adj Close Prices'!B622-1</f>
        <v>-8.2724182534669177E-3</v>
      </c>
      <c r="C622" s="6">
        <f>'Adj Close Prices'!C623/'Adj Close Prices'!C622-1</f>
        <v>-8.0128205128204844E-3</v>
      </c>
      <c r="D622" s="6">
        <f>'Adj Close Prices'!D623/'Adj Close Prices'!D622-1</f>
        <v>6.5789473684210176E-3</v>
      </c>
      <c r="E622" s="6">
        <f>'Adj Close Prices'!E623/'Adj Close Prices'!E622-1</f>
        <v>2.8409090909091717E-3</v>
      </c>
      <c r="F622" s="6">
        <f>'Adj Close Prices'!F623/'Adj Close Prices'!F622-1</f>
        <v>2.0153164046776695E-4</v>
      </c>
      <c r="G622" s="6">
        <f>'Adj Close Prices'!G623/'Adj Close Prices'!G622-1</f>
        <v>-8.256374748591977E-3</v>
      </c>
    </row>
    <row r="623" spans="1:7" x14ac:dyDescent="0.45">
      <c r="A623" s="2">
        <f>'Adj Close Prices'!A624</f>
        <v>45980</v>
      </c>
      <c r="B623" s="6">
        <f>'Adj Close Prices'!B624/'Adj Close Prices'!B623-1</f>
        <v>3.7612230041252914E-3</v>
      </c>
      <c r="C623" s="6">
        <f>'Adj Close Prices'!C624/'Adj Close Prices'!C623-1</f>
        <v>0</v>
      </c>
      <c r="D623" s="6">
        <f>'Adj Close Prices'!D624/'Adj Close Prices'!D623-1</f>
        <v>-5.027652086475709E-3</v>
      </c>
      <c r="E623" s="6">
        <f>'Adj Close Prices'!E624/'Adj Close Prices'!E623-1</f>
        <v>8.0938891137183333E-4</v>
      </c>
      <c r="F623" s="6">
        <f>'Adj Close Prices'!F624/'Adj Close Prices'!F623-1</f>
        <v>2.0149103364897059E-4</v>
      </c>
      <c r="G623" s="6">
        <f>'Adj Close Prices'!G624/'Adj Close Prices'!G623-1</f>
        <v>3.7507574807360555E-3</v>
      </c>
    </row>
    <row r="624" spans="1:7" x14ac:dyDescent="0.45">
      <c r="A624" s="2">
        <f>'Adj Close Prices'!A625</f>
        <v>45981</v>
      </c>
      <c r="B624" s="6">
        <f>'Adj Close Prices'!B625/'Adj Close Prices'!B624-1</f>
        <v>-1.5290704702042746E-2</v>
      </c>
      <c r="C624" s="6">
        <f>'Adj Close Prices'!C625/'Adj Close Prices'!C624-1</f>
        <v>0</v>
      </c>
      <c r="D624" s="6">
        <f>'Adj Close Prices'!D625/'Adj Close Prices'!D624-1</f>
        <v>-3.0318342597270842E-3</v>
      </c>
      <c r="E624" s="6">
        <f>'Adj Close Prices'!E625/'Adj Close Prices'!E624-1</f>
        <v>-6.0655074807925979E-3</v>
      </c>
      <c r="F624" s="6">
        <f>'Adj Close Prices'!F625/'Adj Close Prices'!F624-1</f>
        <v>0</v>
      </c>
      <c r="G624" s="6">
        <f>'Adj Close Prices'!G625/'Adj Close Prices'!G624-1</f>
        <v>-1.55642374833449E-2</v>
      </c>
    </row>
    <row r="625" spans="1:7" x14ac:dyDescent="0.45">
      <c r="A625" s="2">
        <f>'Adj Close Prices'!A626</f>
        <v>45982</v>
      </c>
      <c r="B625" s="6">
        <f>'Adj Close Prices'!B626/'Adj Close Prices'!B625-1</f>
        <v>9.927576259743498E-3</v>
      </c>
      <c r="C625" s="6">
        <f>'Adj Close Prices'!C626/'Adj Close Prices'!C625-1</f>
        <v>1.6155088852988664E-2</v>
      </c>
      <c r="D625" s="6">
        <f>'Adj Close Prices'!D626/'Adj Close Prices'!D625-1</f>
        <v>2.4835276229092651E-2</v>
      </c>
      <c r="E625" s="6">
        <f>'Adj Close Prices'!E626/'Adj Close Prices'!E625-1</f>
        <v>1.5459723352319044E-2</v>
      </c>
      <c r="F625" s="6">
        <f>'Adj Close Prices'!F626/'Adj Close Prices'!F625-1</f>
        <v>8.058017727639033E-4</v>
      </c>
      <c r="G625" s="6">
        <f>'Adj Close Prices'!G626/'Adj Close Prices'!G625-1</f>
        <v>9.819889673440052E-3</v>
      </c>
    </row>
    <row r="626" spans="1:7" x14ac:dyDescent="0.45">
      <c r="A626" s="2">
        <f>'Adj Close Prices'!A627</f>
        <v>45985</v>
      </c>
      <c r="B626" s="6">
        <f>'Adj Close Prices'!B627/'Adj Close Prices'!B626-1</f>
        <v>1.4767772223825748E-2</v>
      </c>
      <c r="C626" s="6">
        <f>'Adj Close Prices'!C627/'Adj Close Prices'!C626-1</f>
        <v>1.5368309485956466E-2</v>
      </c>
      <c r="D626" s="6">
        <f>'Adj Close Prices'!D627/'Adj Close Prices'!D626-1</f>
        <v>-4.9455984174073819E-4</v>
      </c>
      <c r="E626" s="6">
        <f>'Adj Close Prices'!E627/'Adj Close Prices'!E626-1</f>
        <v>1.2019230769230838E-2</v>
      </c>
      <c r="F626" s="6">
        <f>'Adj Close Prices'!F627/'Adj Close Prices'!F626-1</f>
        <v>0</v>
      </c>
      <c r="G626" s="6">
        <f>'Adj Close Prices'!G627/'Adj Close Prices'!G626-1</f>
        <v>1.5467258722576815E-2</v>
      </c>
    </row>
    <row r="627" spans="1:7" x14ac:dyDescent="0.45">
      <c r="A627" s="2">
        <f>'Adj Close Prices'!A628</f>
        <v>45986</v>
      </c>
      <c r="B627" s="6">
        <f>'Adj Close Prices'!B628/'Adj Close Prices'!B627-1</f>
        <v>9.4024644038868121E-3</v>
      </c>
      <c r="C627" s="6">
        <f>'Adj Close Prices'!C628/'Adj Close Prices'!C627-1</f>
        <v>9.394572025052117E-3</v>
      </c>
      <c r="D627" s="6">
        <f>'Adj Close Prices'!D628/'Adj Close Prices'!D627-1</f>
        <v>1.6328550222661997E-2</v>
      </c>
      <c r="E627" s="6">
        <f>'Adj Close Prices'!E628/'Adj Close Prices'!E627-1</f>
        <v>1.3855898653998278E-2</v>
      </c>
      <c r="F627" s="6">
        <f>'Adj Close Prices'!F628/'Adj Close Prices'!F627-1</f>
        <v>4.0257648953301306E-4</v>
      </c>
      <c r="G627" s="6">
        <f>'Adj Close Prices'!G628/'Adj Close Prices'!G627-1</f>
        <v>9.0647282445777133E-3</v>
      </c>
    </row>
    <row r="628" spans="1:7" x14ac:dyDescent="0.45">
      <c r="A628" s="2">
        <f>'Adj Close Prices'!A629</f>
        <v>45987</v>
      </c>
      <c r="B628" s="6">
        <f>'Adj Close Prices'!B629/'Adj Close Prices'!B628-1</f>
        <v>6.9119981014253984E-3</v>
      </c>
      <c r="C628" s="6">
        <f>'Adj Close Prices'!C629/'Adj Close Prices'!C628-1</f>
        <v>8.7900723888314491E-3</v>
      </c>
      <c r="D628" s="6">
        <f>'Adj Close Prices'!D629/'Adj Close Prices'!D628-1</f>
        <v>5.3554040895813504E-3</v>
      </c>
      <c r="E628" s="6">
        <f>'Adj Close Prices'!E629/'Adj Close Prices'!E628-1</f>
        <v>8.9808668488871035E-3</v>
      </c>
      <c r="F628" s="6">
        <f>'Adj Close Prices'!F629/'Adj Close Prices'!F628-1</f>
        <v>0</v>
      </c>
      <c r="G628" s="6">
        <f>'Adj Close Prices'!G629/'Adj Close Prices'!G628-1</f>
        <v>6.9037480656646277E-3</v>
      </c>
    </row>
    <row r="629" spans="1:7" x14ac:dyDescent="0.45">
      <c r="A629" s="2">
        <f>'Adj Close Prices'!A630</f>
        <v>45989</v>
      </c>
      <c r="B629" s="6">
        <f>'Adj Close Prices'!B630/'Adj Close Prices'!B629-1</f>
        <v>5.5829712012962496E-3</v>
      </c>
      <c r="C629" s="6">
        <f>'Adj Close Prices'!C630/'Adj Close Prices'!C629-1</f>
        <v>5.125576627370565E-3</v>
      </c>
      <c r="D629" s="6">
        <f>'Adj Close Prices'!D630/'Adj Close Prices'!D629-1</f>
        <v>8.2324455205811109E-3</v>
      </c>
      <c r="E629" s="6">
        <f>'Adj Close Prices'!E630/'Adj Close Prices'!E629-1</f>
        <v>3.8699690402477227E-3</v>
      </c>
      <c r="F629" s="6">
        <f>'Adj Close Prices'!F630/'Adj Close Prices'!F629-1</f>
        <v>2.012072434607326E-4</v>
      </c>
      <c r="G629" s="6">
        <f>'Adj Close Prices'!G630/'Adj Close Prices'!G629-1</f>
        <v>5.3547837829903688E-3</v>
      </c>
    </row>
    <row r="630" spans="1:7" x14ac:dyDescent="0.45">
      <c r="A630" s="2">
        <f>'Adj Close Prices'!A631</f>
        <v>45992</v>
      </c>
      <c r="B630" s="6">
        <f>'Adj Close Prices'!B631/'Adj Close Prices'!B630-1</f>
        <v>-4.6876831126214658E-3</v>
      </c>
      <c r="C630" s="6">
        <f>'Adj Close Prices'!C631/'Adj Close Prices'!C630-1</f>
        <v>-2.0397756246812726E-3</v>
      </c>
      <c r="D630" s="6">
        <f>'Adj Close Prices'!D631/'Adj Close Prices'!D630-1</f>
        <v>-4.8030739673391443E-3</v>
      </c>
      <c r="E630" s="6">
        <f>'Adj Close Prices'!E631/'Adj Close Prices'!E630-1</f>
        <v>7.7101002313018085E-4</v>
      </c>
      <c r="F630" s="6">
        <f>'Adj Close Prices'!F631/'Adj Close Prices'!F630-1</f>
        <v>2.0116676724990512E-4</v>
      </c>
      <c r="G630" s="6">
        <f>'Adj Close Prices'!G631/'Adj Close Prices'!G630-1</f>
        <v>-5.3233426971214248E-3</v>
      </c>
    </row>
    <row r="631" spans="1:7" x14ac:dyDescent="0.45">
      <c r="A631" s="2">
        <f>'Adj Close Prices'!A632</f>
        <v>45993</v>
      </c>
      <c r="B631" s="6">
        <f>'Adj Close Prices'!B632/'Adj Close Prices'!B631-1</f>
        <v>1.7072883551159102E-3</v>
      </c>
      <c r="C631" s="6">
        <f>'Adj Close Prices'!C632/'Adj Close Prices'!C631-1</f>
        <v>3.0659172202349705E-3</v>
      </c>
      <c r="D631" s="6">
        <f>'Adj Close Prices'!D632/'Adj Close Prices'!D631-1</f>
        <v>5.308880308880326E-3</v>
      </c>
      <c r="E631" s="6">
        <f>'Adj Close Prices'!E632/'Adj Close Prices'!E631-1</f>
        <v>-6.1633281972265364E-3</v>
      </c>
      <c r="F631" s="6">
        <f>'Adj Close Prices'!F632/'Adj Close Prices'!F631-1</f>
        <v>2.0112630732094239E-4</v>
      </c>
      <c r="G631" s="6">
        <f>'Adj Close Prices'!G632/'Adj Close Prices'!G631-1</f>
        <v>2.4601401516597399E-3</v>
      </c>
    </row>
    <row r="632" spans="1:7" x14ac:dyDescent="0.45">
      <c r="A632" s="2">
        <f>'Adj Close Prices'!A633</f>
        <v>45994</v>
      </c>
      <c r="B632" s="6">
        <f>'Adj Close Prices'!B633/'Adj Close Prices'!B632-1</f>
        <v>3.5556861592711542E-3</v>
      </c>
      <c r="C632" s="6">
        <f>'Adj Close Prices'!C633/'Adj Close Prices'!C632-1</f>
        <v>8.6602139582272475E-3</v>
      </c>
      <c r="D632" s="6">
        <f>'Adj Close Prices'!D633/'Adj Close Prices'!D632-1</f>
        <v>1.7282765242438991E-2</v>
      </c>
      <c r="E632" s="6">
        <f>'Adj Close Prices'!E633/'Adj Close Prices'!E632-1</f>
        <v>2.3643410852713265E-2</v>
      </c>
      <c r="F632" s="6">
        <f>'Adj Close Prices'!F633/'Adj Close Prices'!F632-1</f>
        <v>2.0108586366385239E-4</v>
      </c>
      <c r="G632" s="6">
        <f>'Adj Close Prices'!G633/'Adj Close Prices'!G632-1</f>
        <v>2.9768441644775212E-3</v>
      </c>
    </row>
    <row r="633" spans="1:7" x14ac:dyDescent="0.45">
      <c r="A633" s="2">
        <f>'Adj Close Prices'!A634</f>
        <v>45995</v>
      </c>
      <c r="B633" s="6">
        <f>'Adj Close Prices'!B634/'Adj Close Prices'!B633-1</f>
        <v>8.6381072296570771E-4</v>
      </c>
      <c r="C633" s="6">
        <f>'Adj Close Prices'!C634/'Adj Close Prices'!C633-1</f>
        <v>5.050505050504972E-3</v>
      </c>
      <c r="D633" s="6">
        <f>'Adj Close Prices'!D634/'Adj Close Prices'!D633-1</f>
        <v>2.8315243039169768E-3</v>
      </c>
      <c r="E633" s="6">
        <f>'Adj Close Prices'!E634/'Adj Close Prices'!E633-1</f>
        <v>6.0583112457401889E-3</v>
      </c>
      <c r="F633" s="6">
        <f>'Adj Close Prices'!F634/'Adj Close Prices'!F633-1</f>
        <v>2.0104543626864313E-4</v>
      </c>
      <c r="G633" s="6">
        <f>'Adj Close Prices'!G634/'Adj Close Prices'!G633-1</f>
        <v>1.0832575393702193E-3</v>
      </c>
    </row>
    <row r="634" spans="1:7" x14ac:dyDescent="0.45">
      <c r="A634" s="2">
        <f>'Adj Close Prices'!A635</f>
        <v>45996</v>
      </c>
      <c r="B634" s="6">
        <f>'Adj Close Prices'!B635/'Adj Close Prices'!B634-1</f>
        <v>1.8285279618495132E-3</v>
      </c>
      <c r="C634" s="6">
        <f>'Adj Close Prices'!C635/'Adj Close Prices'!C634-1</f>
        <v>4.5226130653266416E-3</v>
      </c>
      <c r="D634" s="6">
        <f>'Adj Close Prices'!D635/'Adj Close Prices'!D634-1</f>
        <v>4.7058823529422256E-4</v>
      </c>
      <c r="E634" s="6">
        <f>'Adj Close Prices'!E635/'Adj Close Prices'!E634-1</f>
        <v>1.5054572826496138E-3</v>
      </c>
      <c r="F634" s="6">
        <f>'Adj Close Prices'!F635/'Adj Close Prices'!F634-1</f>
        <v>0</v>
      </c>
      <c r="G634" s="6">
        <f>'Adj Close Prices'!G635/'Adj Close Prices'!G634-1</f>
        <v>1.9337536257881816E-3</v>
      </c>
    </row>
    <row r="635" spans="1:7" x14ac:dyDescent="0.45">
      <c r="A635" s="2">
        <f>'Adj Close Prices'!A636</f>
        <v>45999</v>
      </c>
      <c r="B635" s="6">
        <f>'Adj Close Prices'!B636/'Adj Close Prices'!B635-1</f>
        <v>-2.978710977425969E-3</v>
      </c>
      <c r="C635" s="6">
        <f>'Adj Close Prices'!C636/'Adj Close Prices'!C635-1</f>
        <v>0</v>
      </c>
      <c r="D635" s="6">
        <f>'Adj Close Prices'!D636/'Adj Close Prices'!D635-1</f>
        <v>1.8814675446847673E-3</v>
      </c>
      <c r="E635" s="6">
        <f>'Adj Close Prices'!E636/'Adj Close Prices'!E635-1</f>
        <v>-1.1273957158963732E-3</v>
      </c>
      <c r="F635" s="6">
        <f>'Adj Close Prices'!F636/'Adj Close Prices'!F635-1</f>
        <v>-2.0100502512554463E-4</v>
      </c>
      <c r="G635" s="6">
        <f>'Adj Close Prices'!G636/'Adj Close Prices'!G635-1</f>
        <v>-3.4772407388810045E-3</v>
      </c>
    </row>
    <row r="636" spans="1:7" x14ac:dyDescent="0.45">
      <c r="A636" s="2">
        <f>'Adj Close Prices'!A637</f>
        <v>46000</v>
      </c>
      <c r="B636" s="6">
        <f>'Adj Close Prices'!B637/'Adj Close Prices'!B636-1</f>
        <v>-8.0548314343464877E-4</v>
      </c>
      <c r="C636" s="6">
        <f>'Adj Close Prices'!C637/'Adj Close Prices'!C636-1</f>
        <v>-1.0005002501249916E-3</v>
      </c>
      <c r="D636" s="6">
        <f>'Adj Close Prices'!D637/'Adj Close Prices'!D636-1</f>
        <v>9.8591549295774517E-3</v>
      </c>
      <c r="E636" s="6">
        <f>'Adj Close Prices'!E637/'Adj Close Prices'!E636-1</f>
        <v>4.1384499623777771E-3</v>
      </c>
      <c r="F636" s="6">
        <f>'Adj Close Prices'!F637/'Adj Close Prices'!F636-1</f>
        <v>0</v>
      </c>
      <c r="G636" s="6">
        <f>'Adj Close Prices'!G637/'Adj Close Prices'!G636-1</f>
        <v>-8.7636018403558502E-4</v>
      </c>
    </row>
    <row r="637" spans="1:7" x14ac:dyDescent="0.45">
      <c r="A637" s="2">
        <f>'Adj Close Prices'!A638</f>
        <v>46001</v>
      </c>
      <c r="B637" s="6">
        <f>'Adj Close Prices'!B638/'Adj Close Prices'!B637-1</f>
        <v>6.4344028024094779E-3</v>
      </c>
      <c r="C637" s="6">
        <f>'Adj Close Prices'!C638/'Adj Close Prices'!C637-1</f>
        <v>1.502253380070151E-3</v>
      </c>
      <c r="D637" s="6">
        <f>'Adj Close Prices'!D638/'Adj Close Prices'!D637-1</f>
        <v>9.7629009762900676E-3</v>
      </c>
      <c r="E637" s="6">
        <f>'Adj Close Prices'!E638/'Adj Close Prices'!E637-1</f>
        <v>-1.8733608092919019E-3</v>
      </c>
      <c r="F637" s="6">
        <f>'Adj Close Prices'!F638/'Adj Close Prices'!F637-1</f>
        <v>4.0209087253706421E-4</v>
      </c>
      <c r="G637" s="6">
        <f>'Adj Close Prices'!G638/'Adj Close Prices'!G637-1</f>
        <v>6.7524303778963013E-3</v>
      </c>
    </row>
    <row r="638" spans="1:7" x14ac:dyDescent="0.45">
      <c r="A638" s="2">
        <f>'Adj Close Prices'!A639</f>
        <v>46002</v>
      </c>
      <c r="B638" s="6">
        <f>'Adj Close Prices'!B639/'Adj Close Prices'!B638-1</f>
        <v>2.4174991990215666E-3</v>
      </c>
      <c r="C638" s="6">
        <f>'Adj Close Prices'!C639/'Adj Close Prices'!C638-1</f>
        <v>-7.4999999999999512E-3</v>
      </c>
      <c r="D638" s="6">
        <f>'Adj Close Prices'!D639/'Adj Close Prices'!D638-1</f>
        <v>-7.8268876611417015E-3</v>
      </c>
      <c r="E638" s="6">
        <f>'Adj Close Prices'!E639/'Adj Close Prices'!E638-1</f>
        <v>-9.009009009009139E-3</v>
      </c>
      <c r="F638" s="6">
        <f>'Adj Close Prices'!F639/'Adj Close Prices'!F638-1</f>
        <v>4.0192926045024002E-4</v>
      </c>
      <c r="G638" s="6">
        <f>'Adj Close Prices'!G639/'Adj Close Prices'!G638-1</f>
        <v>2.0793733999933117E-3</v>
      </c>
    </row>
    <row r="639" spans="1:7" x14ac:dyDescent="0.45">
      <c r="A639" s="2">
        <f>'Adj Close Prices'!A640</f>
        <v>46003</v>
      </c>
      <c r="B639" s="6">
        <f>'Adj Close Prices'!B640/'Adj Close Prices'!B639-1</f>
        <v>-1.0721757322175729E-2</v>
      </c>
      <c r="C639" s="6">
        <f>'Adj Close Prices'!C640/'Adj Close Prices'!C639-1</f>
        <v>-1.0075566750631371E-3</v>
      </c>
      <c r="D639" s="6">
        <f>'Adj Close Prices'!D640/'Adj Close Prices'!D639-1</f>
        <v>4.6403712296982924E-4</v>
      </c>
      <c r="E639" s="6">
        <f>'Adj Close Prices'!E640/'Adj Close Prices'!E639-1</f>
        <v>3.0303030303031608E-3</v>
      </c>
      <c r="F639" s="6">
        <f>'Adj Close Prices'!F640/'Adj Close Prices'!F639-1</f>
        <v>0</v>
      </c>
      <c r="G639" s="6">
        <f>'Adj Close Prices'!G640/'Adj Close Prices'!G639-1</f>
        <v>-1.0663656479269035E-2</v>
      </c>
    </row>
    <row r="640" spans="1:7" x14ac:dyDescent="0.45">
      <c r="A640" s="2">
        <f>'Adj Close Prices'!A641</f>
        <v>46006</v>
      </c>
      <c r="B640" s="6">
        <f>'Adj Close Prices'!B641/'Adj Close Prices'!B640-1</f>
        <v>-1.4832437512851682E-3</v>
      </c>
      <c r="C640" s="6">
        <f>'Adj Close Prices'!C641/'Adj Close Prices'!C640-1</f>
        <v>-3.0257186081693588E-3</v>
      </c>
      <c r="D640" s="6">
        <f>'Adj Close Prices'!D641/'Adj Close Prices'!D640-1</f>
        <v>-1.2523191094619635E-2</v>
      </c>
      <c r="E640" s="6">
        <f>'Adj Close Prices'!E641/'Adj Close Prices'!E640-1</f>
        <v>-1.8882175226586639E-3</v>
      </c>
      <c r="F640" s="6">
        <f>'Adj Close Prices'!F641/'Adj Close Prices'!F640-1</f>
        <v>6.0265166733630693E-4</v>
      </c>
      <c r="G640" s="6">
        <f>'Adj Close Prices'!G641/'Adj Close Prices'!G640-1</f>
        <v>-1.5965035108429504E-3</v>
      </c>
    </row>
    <row r="641" spans="1:7" x14ac:dyDescent="0.45">
      <c r="A641" s="2">
        <f>'Adj Close Prices'!A642</f>
        <v>46007</v>
      </c>
      <c r="B641" s="6">
        <f>'Adj Close Prices'!B642/'Adj Close Prices'!B641-1</f>
        <v>-2.7796979100789265E-3</v>
      </c>
      <c r="C641" s="6">
        <f>'Adj Close Prices'!C642/'Adj Close Prices'!C641-1</f>
        <v>-8.0930703085483335E-3</v>
      </c>
      <c r="D641" s="6">
        <f>'Adj Close Prices'!D642/'Adj Close Prices'!D641-1</f>
        <v>0</v>
      </c>
      <c r="E641" s="6">
        <f>'Adj Close Prices'!E642/'Adj Close Prices'!E641-1</f>
        <v>-9.8373060915625254E-3</v>
      </c>
      <c r="F641" s="6">
        <f>'Adj Close Prices'!F642/'Adj Close Prices'!F641-1</f>
        <v>0</v>
      </c>
      <c r="G641" s="6">
        <f>'Adj Close Prices'!G642/'Adj Close Prices'!G641-1</f>
        <v>-2.3868484211886365E-3</v>
      </c>
    </row>
    <row r="642" spans="1:7" x14ac:dyDescent="0.45">
      <c r="A642" s="2">
        <f>'Adj Close Prices'!A643</f>
        <v>46008</v>
      </c>
      <c r="B642" s="6">
        <f>'Adj Close Prices'!B643/'Adj Close Prices'!B642-1</f>
        <v>-1.0928558787092202E-2</v>
      </c>
      <c r="C642" s="6">
        <f>'Adj Close Prices'!C643/'Adj Close Prices'!C642-1</f>
        <v>2.0397756246812726E-3</v>
      </c>
      <c r="D642" s="6">
        <f>'Adj Close Prices'!D643/'Adj Close Prices'!D642-1</f>
        <v>-4.6970408642553751E-3</v>
      </c>
      <c r="E642" s="6">
        <f>'Adj Close Prices'!E643/'Adj Close Prices'!E642-1</f>
        <v>-3.4390523500192893E-3</v>
      </c>
      <c r="F642" s="6">
        <f>'Adj Close Prices'!F643/'Adj Close Prices'!F642-1</f>
        <v>0</v>
      </c>
      <c r="G642" s="6">
        <f>'Adj Close Prices'!G643/'Adj Close Prices'!G642-1</f>
        <v>-1.1592220874232506E-2</v>
      </c>
    </row>
    <row r="643" spans="1:7" x14ac:dyDescent="0.45">
      <c r="A643" s="2">
        <f>'Adj Close Prices'!A644</f>
        <v>46009</v>
      </c>
      <c r="B643" s="6">
        <f>'Adj Close Prices'!B644/'Adj Close Prices'!B643-1</f>
        <v>7.5600554702295319E-3</v>
      </c>
      <c r="C643" s="6">
        <f>'Adj Close Prices'!C644/'Adj Close Prices'!C643-1</f>
        <v>-2.0356234096691184E-3</v>
      </c>
      <c r="D643" s="6">
        <f>'Adj Close Prices'!D644/'Adj Close Prices'!D643-1</f>
        <v>0</v>
      </c>
      <c r="E643" s="6">
        <f>'Adj Close Prices'!E644/'Adj Close Prices'!E643-1</f>
        <v>-8.4355828220858964E-3</v>
      </c>
      <c r="F643" s="6">
        <f>'Adj Close Prices'!F644/'Adj Close Prices'!F643-1</f>
        <v>4.0152579803254262E-4</v>
      </c>
      <c r="G643" s="6">
        <f>'Adj Close Prices'!G644/'Adj Close Prices'!G643-1</f>
        <v>7.9343353041469999E-3</v>
      </c>
    </row>
    <row r="644" spans="1:7" x14ac:dyDescent="0.45">
      <c r="A644" s="2">
        <f>'Adj Close Prices'!A645</f>
        <v>46010</v>
      </c>
      <c r="B644" s="6">
        <f>'Adj Close Prices'!B645/'Adj Close Prices'!B644-1</f>
        <v>8.8500813970695535E-3</v>
      </c>
      <c r="C644" s="6">
        <f>'Adj Close Prices'!C645/'Adj Close Prices'!C644-1</f>
        <v>-1.0198878123406363E-2</v>
      </c>
      <c r="D644" s="6">
        <f>'Adj Close Prices'!D645/'Adj Close Prices'!D644-1</f>
        <v>-8.0226521944314344E-3</v>
      </c>
      <c r="E644" s="6">
        <f>'Adj Close Prices'!E645/'Adj Close Prices'!E644-1</f>
        <v>-5.0270688321731871E-3</v>
      </c>
      <c r="F644" s="6">
        <f>'Adj Close Prices'!F645/'Adj Close Prices'!F644-1</f>
        <v>2.0068231988767948E-4</v>
      </c>
      <c r="G644" s="6">
        <f>'Adj Close Prices'!G645/'Adj Close Prices'!G644-1</f>
        <v>8.8180375659618893E-3</v>
      </c>
    </row>
    <row r="645" spans="1:7" x14ac:dyDescent="0.45">
      <c r="A645" s="2">
        <f>'Adj Close Prices'!A646</f>
        <v>46013</v>
      </c>
      <c r="B645" s="6">
        <f>'Adj Close Prices'!B646/'Adj Close Prices'!B645-1</f>
        <v>6.3519539960099625E-3</v>
      </c>
      <c r="C645" s="6">
        <f>'Adj Close Prices'!C646/'Adj Close Prices'!C645-1</f>
        <v>-1.5455950540959051E-3</v>
      </c>
      <c r="D645" s="6">
        <f>'Adj Close Prices'!D646/'Adj Close Prices'!D645-1</f>
        <v>-6.6603235014272011E-3</v>
      </c>
      <c r="E645" s="6">
        <f>'Adj Close Prices'!E646/'Adj Close Prices'!E645-1</f>
        <v>-9.3276331130975887E-3</v>
      </c>
      <c r="F645" s="6">
        <f>'Adj Close Prices'!F646/'Adj Close Prices'!F645-1</f>
        <v>0</v>
      </c>
      <c r="G645" s="6">
        <f>'Adj Close Prices'!G646/'Adj Close Prices'!G645-1</f>
        <v>6.4364714850706495E-3</v>
      </c>
    </row>
    <row r="646" spans="1:7" x14ac:dyDescent="0.45">
      <c r="A646" s="2">
        <f>'Adj Close Prices'!A647</f>
        <v>46014</v>
      </c>
      <c r="B646" s="6">
        <f>'Adj Close Prices'!B647/'Adj Close Prices'!B646-1</f>
        <v>4.5626157053104688E-3</v>
      </c>
      <c r="C646" s="6">
        <f>'Adj Close Prices'!C647/'Adj Close Prices'!C646-1</f>
        <v>5.1599587203310371E-4</v>
      </c>
      <c r="D646" s="6">
        <f>'Adj Close Prices'!D647/'Adj Close Prices'!D646-1</f>
        <v>-8.1417624521071819E-3</v>
      </c>
      <c r="E646" s="6">
        <f>'Adj Close Prices'!E647/'Adj Close Prices'!E646-1</f>
        <v>-7.0615927814828838E-3</v>
      </c>
      <c r="F646" s="6">
        <f>'Adj Close Prices'!F647/'Adj Close Prices'!F646-1</f>
        <v>0</v>
      </c>
      <c r="G646" s="6">
        <f>'Adj Close Prices'!G647/'Adj Close Prices'!G646-1</f>
        <v>4.5504239308684635E-3</v>
      </c>
    </row>
    <row r="647" spans="1:7" x14ac:dyDescent="0.45">
      <c r="A647" s="2">
        <f>'Adj Close Prices'!A648</f>
        <v>46015</v>
      </c>
      <c r="B647" s="6">
        <f>'Adj Close Prices'!B648/'Adj Close Prices'!B647-1</f>
        <v>3.4971123429201612E-3</v>
      </c>
      <c r="C647" s="6">
        <f>'Adj Close Prices'!C648/'Adj Close Prices'!C647-1</f>
        <v>4.1258380608559797E-3</v>
      </c>
      <c r="D647" s="6">
        <f>'Adj Close Prices'!D648/'Adj Close Prices'!D647-1</f>
        <v>9.6571704490584498E-3</v>
      </c>
      <c r="E647" s="6">
        <f>'Adj Close Prices'!E648/'Adj Close Prices'!E647-1</f>
        <v>5.9265112603714698E-3</v>
      </c>
      <c r="F647" s="6">
        <f>'Adj Close Prices'!F648/'Adj Close Prices'!F647-1</f>
        <v>6.0192616372378716E-4</v>
      </c>
      <c r="G647" s="6">
        <f>'Adj Close Prices'!G648/'Adj Close Prices'!G647-1</f>
        <v>3.2215208009516161E-3</v>
      </c>
    </row>
    <row r="648" spans="1:7" x14ac:dyDescent="0.45">
      <c r="A648" s="2">
        <f>'Adj Close Prices'!A649</f>
        <v>46017</v>
      </c>
      <c r="B648" s="6">
        <f>'Adj Close Prices'!B649/'Adj Close Prices'!B648-1</f>
        <v>-1.7352324488473236E-4</v>
      </c>
      <c r="C648" s="6">
        <f>'Adj Close Prices'!C649/'Adj Close Prices'!C648-1</f>
        <v>9.7586029789420436E-3</v>
      </c>
      <c r="D648" s="6">
        <f>'Adj Close Prices'!D649/'Adj Close Prices'!D648-1</f>
        <v>1.099952175992347E-2</v>
      </c>
      <c r="E648" s="6">
        <f>'Adj Close Prices'!E649/'Adj Close Prices'!E648-1</f>
        <v>5.8915946582873691E-3</v>
      </c>
      <c r="F648" s="6">
        <f>'Adj Close Prices'!F649/'Adj Close Prices'!F648-1</f>
        <v>4.0104271104879352E-4</v>
      </c>
      <c r="G648" s="6">
        <f>'Adj Close Prices'!G649/'Adj Close Prices'!G648-1</f>
        <v>-3.0149854876782012E-4</v>
      </c>
    </row>
    <row r="649" spans="1:7" x14ac:dyDescent="0.45">
      <c r="A649" s="2">
        <f>'Adj Close Prices'!A650</f>
        <v>46020</v>
      </c>
      <c r="B649" s="6">
        <f>'Adj Close Prices'!B650/'Adj Close Prices'!B649-1</f>
        <v>-3.3987533083608135E-3</v>
      </c>
      <c r="C649" s="6">
        <f>'Adj Close Prices'!C650/'Adj Close Prices'!C649-1</f>
        <v>-1.5259409969481386E-3</v>
      </c>
      <c r="D649" s="6">
        <f>'Adj Close Prices'!D650/'Adj Close Prices'!D649-1</f>
        <v>-2.3651844843898262E-3</v>
      </c>
      <c r="E649" s="6">
        <f>'Adj Close Prices'!E650/'Adj Close Prices'!E649-1</f>
        <v>-4.6856696602889381E-3</v>
      </c>
      <c r="F649" s="6">
        <f>'Adj Close Prices'!F650/'Adj Close Prices'!F649-1</f>
        <v>2.0044097013416362E-4</v>
      </c>
      <c r="G649" s="6">
        <f>'Adj Close Prices'!G650/'Adj Close Prices'!G649-1</f>
        <v>-3.4949747112172913E-3</v>
      </c>
    </row>
    <row r="650" spans="1:7" x14ac:dyDescent="0.45">
      <c r="A650" s="2">
        <f>'Adj Close Prices'!A651</f>
        <v>46021</v>
      </c>
      <c r="B650" s="6">
        <f>'Adj Close Prices'!B651/'Adj Close Prices'!B650-1</f>
        <v>-1.4366982063040989E-3</v>
      </c>
      <c r="C650" s="6">
        <f>'Adj Close Prices'!C651/'Adj Close Prices'!C650-1</f>
        <v>6.1130922058074688E-3</v>
      </c>
      <c r="D650" s="6">
        <f>'Adj Close Prices'!D651/'Adj Close Prices'!D650-1</f>
        <v>8.0606922712187501E-3</v>
      </c>
      <c r="E650" s="6">
        <f>'Adj Close Prices'!E651/'Adj Close Prices'!E650-1</f>
        <v>3.1384856806591088E-3</v>
      </c>
      <c r="F650" s="6">
        <f>'Adj Close Prices'!F651/'Adj Close Prices'!F650-1</f>
        <v>4.0080160320643543E-4</v>
      </c>
      <c r="G650" s="6">
        <f>'Adj Close Prices'!G651/'Adj Close Prices'!G650-1</f>
        <v>-1.3727730449930586E-3</v>
      </c>
    </row>
    <row r="651" spans="1:7" x14ac:dyDescent="0.45">
      <c r="A651" s="2">
        <f>'Adj Close Prices'!A652</f>
        <v>46022</v>
      </c>
      <c r="B651" s="6">
        <f>'Adj Close Prices'!B652/'Adj Close Prices'!B651-1</f>
        <v>-7.2228923541979295E-3</v>
      </c>
      <c r="C651" s="6">
        <f>'Adj Close Prices'!C652/'Adj Close Prices'!C651-1</f>
        <v>-3.0379746835442756E-3</v>
      </c>
      <c r="D651" s="6">
        <f>'Adj Close Prices'!D652/'Adj Close Prices'!D651-1</f>
        <v>-5.1740357478834431E-3</v>
      </c>
      <c r="E651" s="6">
        <f>'Adj Close Prices'!E652/'Adj Close Prices'!E651-1</f>
        <v>-3.5197497066875583E-3</v>
      </c>
      <c r="F651" s="6">
        <f>'Adj Close Prices'!F652/'Adj Close Prices'!F651-1</f>
        <v>-2.0032051282059538E-4</v>
      </c>
      <c r="G651" s="6">
        <f>'Adj Close Prices'!G652/'Adj Close Prices'!G651-1</f>
        <v>-7.3605220228385448E-3</v>
      </c>
    </row>
    <row r="652" spans="1:7" x14ac:dyDescent="0.45">
      <c r="A652" s="2">
        <f>'Adj Close Prices'!A653</f>
        <v>46024</v>
      </c>
      <c r="B652" s="6">
        <f>'Adj Close Prices'!B653/'Adj Close Prices'!B652-1</f>
        <v>1.8298395596674233E-3</v>
      </c>
      <c r="C652" s="6">
        <f>'Adj Close Prices'!C653/'Adj Close Prices'!C652-1</f>
        <v>1.0665312341289868E-2</v>
      </c>
      <c r="D652" s="6">
        <f>'Adj Close Prices'!D653/'Adj Close Prices'!D652-1</f>
        <v>-2.8368794326240065E-3</v>
      </c>
      <c r="E652" s="6">
        <f>'Adj Close Prices'!E653/'Adj Close Prices'!E652-1</f>
        <v>9.4191522762949731E-3</v>
      </c>
      <c r="F652" s="6">
        <f>'Adj Close Prices'!F653/'Adj Close Prices'!F652-1</f>
        <v>6.010819475055218E-4</v>
      </c>
      <c r="G652" s="6">
        <f>'Adj Close Prices'!G653/'Adj Close Prices'!G652-1</f>
        <v>1.897599733547084E-3</v>
      </c>
    </row>
    <row r="653" spans="1:7" x14ac:dyDescent="0.45">
      <c r="A653" s="2">
        <f>'Adj Close Prices'!A654</f>
        <v>46027</v>
      </c>
      <c r="B653" s="6">
        <f>'Adj Close Prices'!B654/'Adj Close Prices'!B653-1</f>
        <v>6.7068983152389627E-3</v>
      </c>
      <c r="C653" s="6">
        <f>'Adj Close Prices'!C654/'Adj Close Prices'!C653-1</f>
        <v>1.407035175879412E-2</v>
      </c>
      <c r="D653" s="6">
        <f>'Adj Close Prices'!D654/'Adj Close Prices'!D653-1</f>
        <v>1.9440493124703639E-2</v>
      </c>
      <c r="E653" s="6">
        <f>'Adj Close Prices'!E654/'Adj Close Prices'!E653-1</f>
        <v>1.5163297045101221E-2</v>
      </c>
      <c r="F653" s="6">
        <f>'Adj Close Prices'!F654/'Adj Close Prices'!F653-1</f>
        <v>-2.002402883459764E-4</v>
      </c>
      <c r="G653" s="6">
        <f>'Adj Close Prices'!G654/'Adj Close Prices'!G653-1</f>
        <v>6.3512615040066667E-3</v>
      </c>
    </row>
    <row r="654" spans="1:7" x14ac:dyDescent="0.45">
      <c r="A654" s="2">
        <f>'Adj Close Prices'!A655</f>
        <v>46028</v>
      </c>
      <c r="B654" s="6">
        <f>'Adj Close Prices'!B655/'Adj Close Prices'!B654-1</f>
        <v>5.9364839758475618E-3</v>
      </c>
      <c r="C654" s="6">
        <f>'Adj Close Prices'!C655/'Adj Close Prices'!C654-1</f>
        <v>-6.9375619425173785E-3</v>
      </c>
      <c r="D654" s="6">
        <f>'Adj Close Prices'!D655/'Adj Close Prices'!D654-1</f>
        <v>-7.9069767441861671E-3</v>
      </c>
      <c r="E654" s="6">
        <f>'Adj Close Prices'!E655/'Adj Close Prices'!E654-1</f>
        <v>-1.5319800842588993E-2</v>
      </c>
      <c r="F654" s="6">
        <f>'Adj Close Prices'!F655/'Adj Close Prices'!F654-1</f>
        <v>2.0028039254960106E-4</v>
      </c>
      <c r="G654" s="6">
        <f>'Adj Close Prices'!G655/'Adj Close Prices'!G654-1</f>
        <v>6.1996163453124087E-3</v>
      </c>
    </row>
    <row r="655" spans="1:7" x14ac:dyDescent="0.45">
      <c r="A655" s="2">
        <f>'Adj Close Prices'!A656</f>
        <v>46029</v>
      </c>
      <c r="B655" s="6">
        <f>'Adj Close Prices'!B656/'Adj Close Prices'!B655-1</f>
        <v>-3.2609479835509214E-3</v>
      </c>
      <c r="C655" s="6">
        <f>'Adj Close Prices'!C656/'Adj Close Prices'!C655-1</f>
        <v>-1.9960079840319334E-2</v>
      </c>
      <c r="D655" s="6">
        <f>'Adj Close Prices'!D656/'Adj Close Prices'!D655-1</f>
        <v>-3.2348804500703099E-2</v>
      </c>
      <c r="E655" s="6">
        <f>'Adj Close Prices'!E656/'Adj Close Prices'!E655-1</f>
        <v>-3.81174640217814E-2</v>
      </c>
      <c r="F655" s="6">
        <f>'Adj Close Prices'!F656/'Adj Close Prices'!F655-1</f>
        <v>4.0048057669217485E-4</v>
      </c>
      <c r="G655" s="6">
        <f>'Adj Close Prices'!G656/'Adj Close Prices'!G655-1</f>
        <v>-3.4428488530316992E-3</v>
      </c>
    </row>
    <row r="656" spans="1:7" x14ac:dyDescent="0.45">
      <c r="A656" s="2">
        <f>'Adj Close Prices'!A657</f>
        <v>46030</v>
      </c>
      <c r="B656" s="6">
        <f>'Adj Close Prices'!B657/'Adj Close Prices'!B656-1</f>
        <v>-1.1580943557365497E-4</v>
      </c>
      <c r="C656" s="6">
        <f>'Adj Close Prices'!C657/'Adj Close Prices'!C656-1</f>
        <v>3.0040733197556069E-2</v>
      </c>
      <c r="D656" s="6">
        <f>'Adj Close Prices'!D657/'Adj Close Prices'!D656-1</f>
        <v>3.2945736434108586E-2</v>
      </c>
      <c r="E656" s="6">
        <f>'Adj Close Prices'!E657/'Adj Close Prices'!E656-1</f>
        <v>3.113627173473521E-2</v>
      </c>
      <c r="F656" s="6">
        <f>'Adj Close Prices'!F657/'Adj Close Prices'!F656-1</f>
        <v>0</v>
      </c>
      <c r="G656" s="6">
        <f>'Adj Close Prices'!G657/'Adj Close Prices'!G656-1</f>
        <v>7.6579414297395232E-5</v>
      </c>
    </row>
    <row r="657" spans="1:7" x14ac:dyDescent="0.45">
      <c r="A657" s="2">
        <f>'Adj Close Prices'!A658</f>
        <v>46031</v>
      </c>
      <c r="B657" s="6">
        <f>'Adj Close Prices'!B658/'Adj Close Prices'!B657-1</f>
        <v>6.5439909658178141E-3</v>
      </c>
      <c r="C657" s="6">
        <f>'Adj Close Prices'!C658/'Adj Close Prices'!C657-1</f>
        <v>-6.9204152249134898E-3</v>
      </c>
      <c r="D657" s="6">
        <f>'Adj Close Prices'!D658/'Adj Close Prices'!D657-1</f>
        <v>-1.8761726078798668E-3</v>
      </c>
      <c r="E657" s="6">
        <f>'Adj Close Prices'!E658/'Adj Close Prices'!E657-1</f>
        <v>-2.7450980392157431E-3</v>
      </c>
      <c r="F657" s="6">
        <f>'Adj Close Prices'!F658/'Adj Close Prices'!F657-1</f>
        <v>-2.0016012810242234E-4</v>
      </c>
      <c r="G657" s="6">
        <f>'Adj Close Prices'!G658/'Adj Close Prices'!G657-1</f>
        <v>6.4784113155480494E-3</v>
      </c>
    </row>
    <row r="658" spans="1:7" x14ac:dyDescent="0.45">
      <c r="A658" s="2">
        <f>'Adj Close Prices'!A659</f>
        <v>46034</v>
      </c>
      <c r="B658" s="6">
        <f>'Adj Close Prices'!B659/'Adj Close Prices'!B658-1</f>
        <v>1.6541288494453799E-3</v>
      </c>
      <c r="C658" s="6">
        <f>'Adj Close Prices'!C659/'Adj Close Prices'!C658-1</f>
        <v>-5.9731209556993514E-3</v>
      </c>
      <c r="D658" s="6">
        <f>'Adj Close Prices'!D659/'Adj Close Prices'!D658-1</f>
        <v>-5.1691729323307678E-3</v>
      </c>
      <c r="E658" s="6">
        <f>'Adj Close Prices'!E659/'Adj Close Prices'!E658-1</f>
        <v>-7.8647267007471156E-3</v>
      </c>
      <c r="F658" s="6">
        <f>'Adj Close Prices'!F659/'Adj Close Prices'!F658-1</f>
        <v>4.0040040040034697E-4</v>
      </c>
      <c r="G658" s="6">
        <f>'Adj Close Prices'!G659/'Adj Close Prices'!G658-1</f>
        <v>1.5747262890291047E-3</v>
      </c>
    </row>
    <row r="659" spans="1:7" x14ac:dyDescent="0.45">
      <c r="A659" s="2">
        <f>'Adj Close Prices'!A660</f>
        <v>46035</v>
      </c>
      <c r="B659" s="6">
        <f>'Adj Close Prices'!B660/'Adj Close Prices'!B659-1</f>
        <v>-1.9529567190327279E-3</v>
      </c>
      <c r="C659" s="6">
        <f>'Adj Close Prices'!C660/'Adj Close Prices'!C659-1</f>
        <v>-1.5022533800699289E-3</v>
      </c>
      <c r="D659" s="6">
        <f>'Adj Close Prices'!D660/'Adj Close Prices'!D659-1</f>
        <v>-8.9749645725083482E-3</v>
      </c>
      <c r="E659" s="6">
        <f>'Adj Close Prices'!E660/'Adj Close Prices'!E659-1</f>
        <v>-1.0701545778834753E-2</v>
      </c>
      <c r="F659" s="6">
        <f>'Adj Close Prices'!F660/'Adj Close Prices'!F659-1</f>
        <v>2.0012007204317506E-4</v>
      </c>
      <c r="G659" s="6">
        <f>'Adj Close Prices'!G660/'Adj Close Prices'!G659-1</f>
        <v>-1.9362901769462981E-3</v>
      </c>
    </row>
    <row r="660" spans="1:7" x14ac:dyDescent="0.45">
      <c r="A660" s="2">
        <f>'Adj Close Prices'!A661</f>
        <v>46036</v>
      </c>
      <c r="B660" s="6">
        <f>'Adj Close Prices'!B661/'Adj Close Prices'!B660-1</f>
        <v>-4.8487813300336358E-3</v>
      </c>
      <c r="C660" s="6">
        <f>'Adj Close Prices'!C661/'Adj Close Prices'!C660-1</f>
        <v>1.9558676028084143E-2</v>
      </c>
      <c r="D660" s="6">
        <f>'Adj Close Prices'!D661/'Adj Close Prices'!D660-1</f>
        <v>2.2402287893231509E-2</v>
      </c>
      <c r="E660" s="6">
        <f>'Adj Close Prices'!E661/'Adj Close Prices'!E660-1</f>
        <v>1.5625E-2</v>
      </c>
      <c r="F660" s="6">
        <f>'Adj Close Prices'!F661/'Adj Close Prices'!F660-1</f>
        <v>0</v>
      </c>
      <c r="G660" s="6">
        <f>'Adj Close Prices'!G661/'Adj Close Prices'!G660-1</f>
        <v>-5.3362053491293748E-3</v>
      </c>
    </row>
    <row r="661" spans="1:7" x14ac:dyDescent="0.45">
      <c r="A661" s="2">
        <f>'Adj Close Prices'!A662</f>
        <v>46037</v>
      </c>
      <c r="B661" s="6">
        <f>'Adj Close Prices'!B662/'Adj Close Prices'!B661-1</f>
        <v>2.6458468878769459E-3</v>
      </c>
      <c r="C661" s="6">
        <f>'Adj Close Prices'!C662/'Adj Close Prices'!C661-1</f>
        <v>4.918839153959631E-3</v>
      </c>
      <c r="D661" s="6">
        <f>'Adj Close Prices'!D662/'Adj Close Prices'!D661-1</f>
        <v>1.6783216783216703E-2</v>
      </c>
      <c r="E661" s="6">
        <f>'Adj Close Prices'!E662/'Adj Close Prices'!E661-1</f>
        <v>6.7061143984219473E-3</v>
      </c>
      <c r="F661" s="6">
        <f>'Adj Close Prices'!F662/'Adj Close Prices'!F661-1</f>
        <v>0</v>
      </c>
      <c r="G661" s="6">
        <f>'Adj Close Prices'!G662/'Adj Close Prices'!G661-1</f>
        <v>2.579913059672867E-3</v>
      </c>
    </row>
    <row r="662" spans="1:7" x14ac:dyDescent="0.45">
      <c r="A662" s="2">
        <f>'Adj Close Prices'!A663</f>
        <v>46038</v>
      </c>
      <c r="B662" s="6">
        <f>'Adj Close Prices'!B663/'Adj Close Prices'!B662-1</f>
        <v>-9.5172175116797764E-4</v>
      </c>
      <c r="C662" s="6">
        <f>'Adj Close Prices'!C663/'Adj Close Prices'!C662-1</f>
        <v>-4.405286343612369E-3</v>
      </c>
      <c r="D662" s="6">
        <f>'Adj Close Prices'!D663/'Adj Close Prices'!D662-1</f>
        <v>-4.5850527281062758E-3</v>
      </c>
      <c r="E662" s="6">
        <f>'Adj Close Prices'!E663/'Adj Close Prices'!E662-1</f>
        <v>5.0940438871474036E-3</v>
      </c>
      <c r="F662" s="6">
        <f>'Adj Close Prices'!F663/'Adj Close Prices'!F662-1</f>
        <v>2.0008003201299474E-4</v>
      </c>
      <c r="G662" s="6">
        <f>'Adj Close Prices'!G663/'Adj Close Prices'!G662-1</f>
        <v>-6.4223856138567736E-4</v>
      </c>
    </row>
    <row r="663" spans="1:7" x14ac:dyDescent="0.45">
      <c r="A663" s="2">
        <f>'Adj Close Prices'!A664</f>
        <v>46042</v>
      </c>
      <c r="B663" s="6">
        <f>'Adj Close Prices'!B664/'Adj Close Prices'!B663-1</f>
        <v>-2.0236136370197277E-2</v>
      </c>
      <c r="C663" s="6">
        <f>'Adj Close Prices'!C664/'Adj Close Prices'!C663-1</f>
        <v>-1.2291052114061007E-2</v>
      </c>
      <c r="D663" s="6">
        <f>'Adj Close Prices'!D664/'Adj Close Prices'!D663-1</f>
        <v>-9.6729617687701941E-3</v>
      </c>
      <c r="E663" s="6">
        <f>'Adj Close Prices'!E664/'Adj Close Prices'!E663-1</f>
        <v>-1.5984405458089657E-2</v>
      </c>
      <c r="F663" s="6">
        <f>'Adj Close Prices'!F664/'Adj Close Prices'!F663-1</f>
        <v>2.000400080015563E-4</v>
      </c>
      <c r="G663" s="6">
        <f>'Adj Close Prices'!G664/'Adj Close Prices'!G663-1</f>
        <v>-2.0623919308357386E-2</v>
      </c>
    </row>
    <row r="664" spans="1:7" x14ac:dyDescent="0.45">
      <c r="A664" s="2">
        <f>'Adj Close Prices'!A665</f>
        <v>46043</v>
      </c>
      <c r="B664" s="6">
        <f>'Adj Close Prices'!B665/'Adj Close Prices'!B664-1</f>
        <v>1.1343547436653001E-2</v>
      </c>
      <c r="C664" s="6">
        <f>'Adj Close Prices'!C665/'Adj Close Prices'!C664-1</f>
        <v>1.6426082628173244E-2</v>
      </c>
      <c r="D664" s="6">
        <f>'Adj Close Prices'!D665/'Adj Close Prices'!D664-1</f>
        <v>2.1395348837209394E-2</v>
      </c>
      <c r="E664" s="6">
        <f>'Adj Close Prices'!E665/'Adj Close Prices'!E664-1</f>
        <v>1.4263074484944571E-2</v>
      </c>
      <c r="F664" s="6">
        <f>'Adj Close Prices'!F665/'Adj Close Prices'!F664-1</f>
        <v>5.9999999999993392E-4</v>
      </c>
      <c r="G664" s="6">
        <f>'Adj Close Prices'!G665/'Adj Close Prices'!G664-1</f>
        <v>1.1584744154294446E-2</v>
      </c>
    </row>
    <row r="665" spans="1:7" x14ac:dyDescent="0.45">
      <c r="A665" s="2">
        <f>'Adj Close Prices'!A666</f>
        <v>46044</v>
      </c>
      <c r="B665" s="6">
        <f>'Adj Close Prices'!B666/'Adj Close Prices'!B665-1</f>
        <v>5.2876911871813093E-3</v>
      </c>
      <c r="C665" s="6">
        <f>'Adj Close Prices'!C666/'Adj Close Prices'!C665-1</f>
        <v>-3.9177277179236469E-3</v>
      </c>
      <c r="D665" s="6">
        <f>'Adj Close Prices'!D666/'Adj Close Prices'!D665-1</f>
        <v>-1.3205828779599194E-2</v>
      </c>
      <c r="E665" s="6">
        <f>'Adj Close Prices'!E666/'Adj Close Prices'!E665-1</f>
        <v>8.9843749999998224E-3</v>
      </c>
      <c r="F665" s="6">
        <f>'Adj Close Prices'!F666/'Adj Close Prices'!F665-1</f>
        <v>-1.9988007195681501E-4</v>
      </c>
      <c r="G665" s="6">
        <f>'Adj Close Prices'!G666/'Adj Close Prices'!G665-1</f>
        <v>5.4904219407441168E-3</v>
      </c>
    </row>
    <row r="666" spans="1:7" x14ac:dyDescent="0.45">
      <c r="A666" s="2">
        <f>'Adj Close Prices'!A667</f>
        <v>46045</v>
      </c>
      <c r="B666" s="6">
        <f>'Adj Close Prices'!B667/'Adj Close Prices'!B666-1</f>
        <v>4.0572066132460449E-4</v>
      </c>
      <c r="C666" s="6">
        <f>'Adj Close Prices'!C667/'Adj Close Prices'!C666-1</f>
        <v>-5.4080629301868077E-3</v>
      </c>
      <c r="D666" s="6">
        <f>'Adj Close Prices'!D667/'Adj Close Prices'!D666-1</f>
        <v>-2.3073373327180402E-3</v>
      </c>
      <c r="E666" s="6">
        <f>'Adj Close Prices'!E667/'Adj Close Prices'!E666-1</f>
        <v>-2.2067363530778095E-2</v>
      </c>
      <c r="F666" s="6">
        <f>'Adj Close Prices'!F667/'Adj Close Prices'!F666-1</f>
        <v>3.9984006397442151E-4</v>
      </c>
      <c r="G666" s="6">
        <f>'Adj Close Prices'!G667/'Adj Close Prices'!G666-1</f>
        <v>3.2690327134710095E-4</v>
      </c>
    </row>
    <row r="667" spans="1:7" x14ac:dyDescent="0.45">
      <c r="A667" s="2">
        <f>'Adj Close Prices'!A668</f>
        <v>46048</v>
      </c>
      <c r="B667" s="6">
        <f>'Adj Close Prices'!B668/'Adj Close Prices'!B667-1</f>
        <v>5.2722295447631407E-3</v>
      </c>
      <c r="C667" s="6">
        <f>'Adj Close Prices'!C668/'Adj Close Prices'!C667-1</f>
        <v>-2.076124567474058E-2</v>
      </c>
      <c r="D667" s="6">
        <f>'Adj Close Prices'!D668/'Adj Close Prices'!D667-1</f>
        <v>-8.3256244218316011E-3</v>
      </c>
      <c r="E667" s="6">
        <f>'Adj Close Prices'!E668/'Adj Close Prices'!E667-1</f>
        <v>-2.7711797307996555E-3</v>
      </c>
      <c r="F667" s="6">
        <f>'Adj Close Prices'!F668/'Adj Close Prices'!F667-1</f>
        <v>1.9984012789753258E-4</v>
      </c>
      <c r="G667" s="6">
        <f>'Adj Close Prices'!G668/'Adj Close Prices'!G667-1</f>
        <v>5.0031667442689276E-3</v>
      </c>
    </row>
    <row r="668" spans="1:7" x14ac:dyDescent="0.45">
      <c r="A668" s="2">
        <f>'Adj Close Prices'!A669</f>
        <v>46049</v>
      </c>
      <c r="B668" s="6">
        <f>'Adj Close Prices'!B669/'Adj Close Prices'!B668-1</f>
        <v>3.9622505583172263E-3</v>
      </c>
      <c r="C668" s="6">
        <f>'Adj Close Prices'!C669/'Adj Close Prices'!C668-1</f>
        <v>-3.0287733467945221E-3</v>
      </c>
      <c r="D668" s="6">
        <f>'Adj Close Prices'!D669/'Adj Close Prices'!D668-1</f>
        <v>1.1194029850746245E-2</v>
      </c>
      <c r="E668" s="6">
        <f>'Adj Close Prices'!E669/'Adj Close Prices'!E668-1</f>
        <v>8.733624454148492E-3</v>
      </c>
      <c r="F668" s="6">
        <f>'Adj Close Prices'!F669/'Adj Close Prices'!F668-1</f>
        <v>1.9980019980025965E-4</v>
      </c>
      <c r="G668" s="6">
        <f>'Adj Close Prices'!G669/'Adj Close Prices'!G668-1</f>
        <v>4.0818851777353338E-3</v>
      </c>
    </row>
    <row r="669" spans="1:7" x14ac:dyDescent="0.45">
      <c r="A669" s="2">
        <f>'Adj Close Prices'!A670</f>
        <v>46050</v>
      </c>
      <c r="B669" s="6">
        <f>'Adj Close Prices'!B670/'Adj Close Prices'!B669-1</f>
        <v>7.1756601607519954E-5</v>
      </c>
      <c r="C669" s="6">
        <f>'Adj Close Prices'!C670/'Adj Close Prices'!C669-1</f>
        <v>-5.0632911392405333E-3</v>
      </c>
      <c r="D669" s="6">
        <f>'Adj Close Prices'!D670/'Adj Close Prices'!D669-1</f>
        <v>-6.4575645756458355E-3</v>
      </c>
      <c r="E669" s="6">
        <f>'Adj Close Prices'!E670/'Adj Close Prices'!E669-1</f>
        <v>-8.2644628099174389E-3</v>
      </c>
      <c r="F669" s="6">
        <f>'Adj Close Prices'!F670/'Adj Close Prices'!F669-1</f>
        <v>1.9976028765467113E-4</v>
      </c>
      <c r="G669" s="6">
        <f>'Adj Close Prices'!G670/'Adj Close Prices'!G669-1</f>
        <v>-8.1678390620454344E-5</v>
      </c>
    </row>
    <row r="670" spans="1:7" x14ac:dyDescent="0.45">
      <c r="A670" s="2">
        <f>'Adj Close Prices'!A671</f>
        <v>46051</v>
      </c>
      <c r="B670" s="6">
        <f>'Adj Close Prices'!B671/'Adj Close Prices'!B670-1</f>
        <v>-2.3103967855349072E-3</v>
      </c>
      <c r="C670" s="6">
        <f>'Adj Close Prices'!C671/'Adj Close Prices'!C670-1</f>
        <v>-1.5267175572517555E-3</v>
      </c>
      <c r="D670" s="6">
        <f>'Adj Close Prices'!D671/'Adj Close Prices'!D670-1</f>
        <v>9.2850510677799925E-4</v>
      </c>
      <c r="E670" s="6">
        <f>'Adj Close Prices'!E671/'Adj Close Prices'!E670-1</f>
        <v>-3.9682539682538431E-3</v>
      </c>
      <c r="F670" s="6">
        <f>'Adj Close Prices'!F671/'Adj Close Prices'!F670-1</f>
        <v>0</v>
      </c>
      <c r="G670" s="6">
        <f>'Adj Close Prices'!G671/'Adj Close Prices'!G670-1</f>
        <v>-1.2897641451300457E-3</v>
      </c>
    </row>
    <row r="671" spans="1:7" x14ac:dyDescent="0.45">
      <c r="A671" s="2">
        <f>'Adj Close Prices'!A672</f>
        <v>46052</v>
      </c>
      <c r="B671" s="6">
        <f>'Adj Close Prices'!B672/'Adj Close Prices'!B671-1</f>
        <v>-2.9486220585696055E-3</v>
      </c>
      <c r="C671" s="6">
        <f>'Adj Close Prices'!C672/'Adj Close Prices'!C671-1</f>
        <v>-1.3251783893985847E-2</v>
      </c>
      <c r="D671" s="6">
        <f>'Adj Close Prices'!D672/'Adj Close Prices'!D671-1</f>
        <v>-8.8126159554730021E-3</v>
      </c>
      <c r="E671" s="6">
        <f>'Adj Close Prices'!E672/'Adj Close Prices'!E671-1</f>
        <v>-1.0756972111553909E-2</v>
      </c>
      <c r="F671" s="6">
        <f>'Adj Close Prices'!F672/'Adj Close Prices'!F671-1</f>
        <v>5.9916117435587779E-4</v>
      </c>
      <c r="G671" s="6">
        <f>'Adj Close Prices'!G672/'Adj Close Prices'!G671-1</f>
        <v>-4.3047659498752777E-3</v>
      </c>
    </row>
    <row r="672" spans="1:7" x14ac:dyDescent="0.45">
      <c r="A672" s="2">
        <f>'Adj Close Prices'!A673</f>
        <v>46055</v>
      </c>
      <c r="B672" s="6">
        <f>'Adj Close Prices'!B673/'Adj Close Prices'!B672-1</f>
        <v>5.0491207316896158E-3</v>
      </c>
      <c r="C672" s="6">
        <f>'Adj Close Prices'!C673/'Adj Close Prices'!C672-1</f>
        <v>-1.8595041322314043E-2</v>
      </c>
      <c r="D672" s="6">
        <f>'Adj Close Prices'!D673/'Adj Close Prices'!D672-1</f>
        <v>-2.6672905942910607E-2</v>
      </c>
      <c r="E672" s="6">
        <f>'Adj Close Prices'!E673/'Adj Close Prices'!E672-1</f>
        <v>-2.1747885622231178E-2</v>
      </c>
      <c r="F672" s="6">
        <f>'Adj Close Prices'!F673/'Adj Close Prices'!F672-1</f>
        <v>0</v>
      </c>
      <c r="G672" s="6">
        <f>'Adj Close Prices'!G673/'Adj Close Prices'!G672-1</f>
        <v>5.3941334655325246E-3</v>
      </c>
    </row>
    <row r="673" spans="1:7" x14ac:dyDescent="0.45">
      <c r="A673" s="2">
        <f>'Adj Close Prices'!A674</f>
        <v>46056</v>
      </c>
      <c r="B673" s="6">
        <f>'Adj Close Prices'!B674/'Adj Close Prices'!B673-1</f>
        <v>-8.554737401139767E-3</v>
      </c>
      <c r="C673" s="6">
        <f>'Adj Close Prices'!C674/'Adj Close Prices'!C673-1</f>
        <v>-1.9999999999999907E-2</v>
      </c>
      <c r="D673" s="6">
        <f>'Adj Close Prices'!D674/'Adj Close Prices'!D673-1</f>
        <v>-2.5961538461538369E-2</v>
      </c>
      <c r="E673" s="6">
        <f>'Adj Close Prices'!E674/'Adj Close Prices'!E673-1</f>
        <v>-2.4289831206257717E-2</v>
      </c>
      <c r="F673" s="6">
        <f>'Adj Close Prices'!F674/'Adj Close Prices'!F673-1</f>
        <v>0</v>
      </c>
      <c r="G673" s="6">
        <f>'Adj Close Prices'!G674/'Adj Close Prices'!G673-1</f>
        <v>-8.4039877014814302E-3</v>
      </c>
    </row>
    <row r="674" spans="1:7" x14ac:dyDescent="0.45">
      <c r="A674" s="2">
        <f>'Adj Close Prices'!A675</f>
        <v>46057</v>
      </c>
      <c r="B674" s="6">
        <f>'Adj Close Prices'!B675/'Adj Close Prices'!B674-1</f>
        <v>-4.7341218710639232E-3</v>
      </c>
      <c r="C674" s="6">
        <f>'Adj Close Prices'!C675/'Adj Close Prices'!C674-1</f>
        <v>2.2556390977443552E-2</v>
      </c>
      <c r="D674" s="6">
        <f>'Adj Close Prices'!D675/'Adj Close Prices'!D674-1</f>
        <v>4.4422507403751865E-3</v>
      </c>
      <c r="E674" s="6">
        <f>'Adj Close Prices'!E675/'Adj Close Prices'!E674-1</f>
        <v>1.7299578059071674E-2</v>
      </c>
      <c r="F674" s="6">
        <f>'Adj Close Prices'!F675/'Adj Close Prices'!F674-1</f>
        <v>1.9960079840308786E-4</v>
      </c>
      <c r="G674" s="6">
        <f>'Adj Close Prices'!G675/'Adj Close Prices'!G674-1</f>
        <v>-5.0752982876107744E-3</v>
      </c>
    </row>
    <row r="675" spans="1:7" x14ac:dyDescent="0.45">
      <c r="A675" s="2">
        <f>'Adj Close Prices'!A676</f>
        <v>46058</v>
      </c>
      <c r="B675" s="6">
        <f>'Adj Close Prices'!B676/'Adj Close Prices'!B675-1</f>
        <v>-1.2713466965350695E-2</v>
      </c>
      <c r="C675" s="6">
        <f>'Adj Close Prices'!C676/'Adj Close Prices'!C675-1</f>
        <v>-3.9390756302520979E-2</v>
      </c>
      <c r="D675" s="6">
        <f>'Adj Close Prices'!D676/'Adj Close Prices'!D675-1</f>
        <v>-2.4078624078624156E-2</v>
      </c>
      <c r="E675" s="6">
        <f>'Adj Close Prices'!E676/'Adj Close Prices'!E675-1</f>
        <v>-1.4931563666528369E-2</v>
      </c>
      <c r="F675" s="6">
        <f>'Adj Close Prices'!F676/'Adj Close Prices'!F675-1</f>
        <v>1.9956096587514516E-4</v>
      </c>
      <c r="G675" s="6">
        <f>'Adj Close Prices'!G676/'Adj Close Prices'!G675-1</f>
        <v>-1.2250988346160119E-2</v>
      </c>
    </row>
    <row r="676" spans="1:7" x14ac:dyDescent="0.45">
      <c r="A676" s="2">
        <f>'Adj Close Prices'!A677</f>
        <v>46059</v>
      </c>
      <c r="B676" s="6">
        <f>'Adj Close Prices'!B677/'Adj Close Prices'!B676-1</f>
        <v>1.9477840641207056E-2</v>
      </c>
      <c r="C676" s="6">
        <f>'Adj Close Prices'!C677/'Adj Close Prices'!C676-1</f>
        <v>2.788408966648448E-2</v>
      </c>
      <c r="D676" s="6">
        <f>'Adj Close Prices'!D677/'Adj Close Prices'!D676-1</f>
        <v>-1.1077542799597162E-2</v>
      </c>
      <c r="E676" s="6">
        <f>'Adj Close Prices'!E677/'Adj Close Prices'!E676-1</f>
        <v>1.3894736842105182E-2</v>
      </c>
      <c r="F676" s="6">
        <f>'Adj Close Prices'!F677/'Adj Close Prices'!F676-1</f>
        <v>3.9904229848364281E-4</v>
      </c>
      <c r="G676" s="6">
        <f>'Adj Close Prices'!G677/'Adj Close Prices'!G676-1</f>
        <v>1.969878162329608E-2</v>
      </c>
    </row>
    <row r="677" spans="1:7" x14ac:dyDescent="0.45">
      <c r="A677" s="2">
        <f>'Adj Close Prices'!A678</f>
        <v>46062</v>
      </c>
      <c r="B677" s="6">
        <f>'Adj Close Prices'!B678/'Adj Close Prices'!B677-1</f>
        <v>4.769199641587285E-3</v>
      </c>
      <c r="C677" s="6">
        <f>'Adj Close Prices'!C678/'Adj Close Prices'!C677-1</f>
        <v>8.5106382978723527E-3</v>
      </c>
      <c r="D677" s="6">
        <f>'Adj Close Prices'!D678/'Adj Close Prices'!D677-1</f>
        <v>-1.1201629327902141E-2</v>
      </c>
      <c r="E677" s="6">
        <f>'Adj Close Prices'!E678/'Adj Close Prices'!E677-1</f>
        <v>1.2458471760797396E-2</v>
      </c>
      <c r="F677" s="6">
        <f>'Adj Close Prices'!F678/'Adj Close Prices'!F677-1</f>
        <v>3.9888312724367658E-4</v>
      </c>
      <c r="G677" s="6">
        <f>'Adj Close Prices'!G678/'Adj Close Prices'!G677-1</f>
        <v>4.6881919591017507E-3</v>
      </c>
    </row>
    <row r="678" spans="1:7" x14ac:dyDescent="0.45">
      <c r="A678" s="2">
        <f>'Adj Close Prices'!A679</f>
        <v>46063</v>
      </c>
      <c r="B678" s="6">
        <f>'Adj Close Prices'!B679/'Adj Close Prices'!B678-1</f>
        <v>-2.7760197917267027E-3</v>
      </c>
      <c r="C678" s="6">
        <f>'Adj Close Prices'!C679/'Adj Close Prices'!C678-1</f>
        <v>2.4789029535864815E-2</v>
      </c>
      <c r="D678" s="6">
        <f>'Adj Close Prices'!D679/'Adj Close Prices'!D678-1</f>
        <v>1.6992790937178093E-2</v>
      </c>
      <c r="E678" s="6">
        <f>'Adj Close Prices'!E679/'Adj Close Prices'!E678-1</f>
        <v>1.8867924528301883E-2</v>
      </c>
      <c r="F678" s="6">
        <f>'Adj Close Prices'!F679/'Adj Close Prices'!F678-1</f>
        <v>1.9936204146731029E-4</v>
      </c>
      <c r="G678" s="6">
        <f>'Adj Close Prices'!G679/'Adj Close Prices'!G678-1</f>
        <v>-3.3008797081328645E-3</v>
      </c>
    </row>
    <row r="679" spans="1:7" x14ac:dyDescent="0.45">
      <c r="A679" s="2">
        <f>'Adj Close Prices'!A680</f>
        <v>46064</v>
      </c>
      <c r="B679" s="6">
        <f>'Adj Close Prices'!B680/'Adj Close Prices'!B679-1</f>
        <v>-1.442356233141151E-4</v>
      </c>
      <c r="C679" s="6">
        <f>'Adj Close Prices'!C680/'Adj Close Prices'!C679-1</f>
        <v>-2.5733401955738699E-3</v>
      </c>
      <c r="D679" s="6">
        <f>'Adj Close Prices'!D680/'Adj Close Prices'!D679-1</f>
        <v>-8.6075949367089288E-3</v>
      </c>
      <c r="E679" s="6">
        <f>'Adj Close Prices'!E680/'Adj Close Prices'!E679-1</f>
        <v>-1.5297906602254385E-2</v>
      </c>
      <c r="F679" s="6">
        <f>'Adj Close Prices'!F680/'Adj Close Prices'!F679-1</f>
        <v>-1.9932230416597196E-4</v>
      </c>
      <c r="G679" s="6">
        <f>'Adj Close Prices'!G680/'Adj Close Prices'!G679-1</f>
        <v>-5.1859598779513405E-5</v>
      </c>
    </row>
    <row r="680" spans="1:7" x14ac:dyDescent="0.45">
      <c r="A680" s="2">
        <f>'Adj Close Prices'!A681</f>
        <v>46065</v>
      </c>
      <c r="B680" s="6">
        <f>'Adj Close Prices'!B681/'Adj Close Prices'!B680-1</f>
        <v>-1.5421012391627409E-2</v>
      </c>
      <c r="C680" s="6">
        <f>'Adj Close Prices'!C681/'Adj Close Prices'!C680-1</f>
        <v>-2.2187822497420018E-2</v>
      </c>
      <c r="D680" s="6">
        <f>'Adj Close Prices'!D681/'Adj Close Prices'!D680-1</f>
        <v>5.1072522982642532E-4</v>
      </c>
      <c r="E680" s="6">
        <f>'Adj Close Prices'!E681/'Adj Close Prices'!E680-1</f>
        <v>-6.13246116107935E-3</v>
      </c>
      <c r="F680" s="6">
        <f>'Adj Close Prices'!F681/'Adj Close Prices'!F680-1</f>
        <v>1.9936204146731029E-4</v>
      </c>
      <c r="G680" s="6">
        <f>'Adj Close Prices'!G681/'Adj Close Prices'!G680-1</f>
        <v>-1.5658089220423332E-2</v>
      </c>
    </row>
    <row r="681" spans="1:7" x14ac:dyDescent="0.45">
      <c r="A681" s="2">
        <f>'Adj Close Prices'!A682</f>
        <v>46066</v>
      </c>
      <c r="B681" s="6">
        <f>'Adj Close Prices'!B682/'Adj Close Prices'!B681-1</f>
        <v>6.3001816796592891E-4</v>
      </c>
      <c r="C681" s="6">
        <f>'Adj Close Prices'!C682/'Adj Close Prices'!C681-1</f>
        <v>-4.749340369393118E-3</v>
      </c>
      <c r="D681" s="6">
        <f>'Adj Close Prices'!D682/'Adj Close Prices'!D681-1</f>
        <v>-4.44104134762634E-2</v>
      </c>
      <c r="E681" s="6">
        <f>'Adj Close Prices'!E682/'Adj Close Prices'!E681-1</f>
        <v>-2.0156314273961251E-2</v>
      </c>
      <c r="F681" s="6">
        <f>'Adj Close Prices'!F682/'Adj Close Prices'!F681-1</f>
        <v>5.9796691249758283E-4</v>
      </c>
      <c r="G681" s="6">
        <f>'Adj Close Prices'!G682/'Adj Close Prices'!G681-1</f>
        <v>4.9906553271950038E-4</v>
      </c>
    </row>
    <row r="682" spans="1:7" x14ac:dyDescent="0.45">
      <c r="A682" s="2">
        <f>'Adj Close Prices'!A683</f>
        <v>46070</v>
      </c>
      <c r="B682" s="6">
        <f>'Adj Close Prices'!B683/'Adj Close Prices'!B682-1</f>
        <v>1.5667325572881197E-3</v>
      </c>
      <c r="C682" s="6">
        <f>'Adj Close Prices'!C683/'Adj Close Prices'!C682-1</f>
        <v>-3.711558854718966E-3</v>
      </c>
      <c r="D682" s="6">
        <f>'Adj Close Prices'!D683/'Adj Close Prices'!D682-1</f>
        <v>-1.8162393162393209E-2</v>
      </c>
      <c r="E682" s="6">
        <f>'Adj Close Prices'!E683/'Adj Close Prices'!E682-1</f>
        <v>-1.5533165407220828E-2</v>
      </c>
      <c r="F682" s="6">
        <f>'Adj Close Prices'!F683/'Adj Close Prices'!F682-1</f>
        <v>0</v>
      </c>
      <c r="G682" s="6">
        <f>'Adj Close Prices'!G683/'Adj Close Prices'!G682-1</f>
        <v>1.0283520913725308E-3</v>
      </c>
    </row>
    <row r="683" spans="1:7" x14ac:dyDescent="0.45">
      <c r="A683" s="2">
        <f>'Adj Close Prices'!A684</f>
        <v>46071</v>
      </c>
      <c r="B683" s="6">
        <f>'Adj Close Prices'!B684/'Adj Close Prices'!B683-1</f>
        <v>5.1168094500160244E-3</v>
      </c>
      <c r="C683" s="6">
        <f>'Adj Close Prices'!C684/'Adj Close Prices'!C683-1</f>
        <v>5.3219797764769705E-3</v>
      </c>
      <c r="D683" s="6">
        <f>'Adj Close Prices'!D684/'Adj Close Prices'!D683-1</f>
        <v>1.9586507072905324E-2</v>
      </c>
      <c r="E683" s="6">
        <f>'Adj Close Prices'!E684/'Adj Close Prices'!E683-1</f>
        <v>1.2366737739871958E-2</v>
      </c>
      <c r="F683" s="6">
        <f>'Adj Close Prices'!F684/'Adj Close Prices'!F683-1</f>
        <v>0</v>
      </c>
      <c r="G683" s="6">
        <f>'Adj Close Prices'!G684/'Adj Close Prices'!G683-1</f>
        <v>5.5690238937573522E-3</v>
      </c>
    </row>
    <row r="684" spans="1:7" x14ac:dyDescent="0.45">
      <c r="A684" s="2">
        <f>'Adj Close Prices'!A685</f>
        <v>46072</v>
      </c>
      <c r="B684" s="6">
        <f>'Adj Close Prices'!B685/'Adj Close Prices'!B684-1</f>
        <v>-2.4290202466836774E-3</v>
      </c>
      <c r="C684" s="6">
        <f>'Adj Close Prices'!C685/'Adj Close Prices'!C684-1</f>
        <v>-2.3292747485442078E-2</v>
      </c>
      <c r="D684" s="6">
        <f>'Adj Close Prices'!D685/'Adj Close Prices'!D684-1</f>
        <v>-2.9348986125933729E-2</v>
      </c>
      <c r="E684" s="6">
        <f>'Adj Close Prices'!E685/'Adj Close Prices'!E684-1</f>
        <v>-2.5273799494523908E-2</v>
      </c>
      <c r="F684" s="6">
        <f>'Adj Close Prices'!F685/'Adj Close Prices'!F684-1</f>
        <v>1.9920318725086261E-4</v>
      </c>
      <c r="G684" s="6">
        <f>'Adj Close Prices'!G685/'Adj Close Prices'!G684-1</f>
        <v>-2.8250393819789776E-3</v>
      </c>
    </row>
    <row r="685" spans="1:7" x14ac:dyDescent="0.45">
      <c r="A685" s="2">
        <f>'Adj Close Prices'!A686</f>
        <v>46073</v>
      </c>
      <c r="B685" s="6">
        <f>'Adj Close Prices'!B686/'Adj Close Prices'!B685-1</f>
        <v>7.0131953050958096E-3</v>
      </c>
      <c r="C685" s="6">
        <f>'Adj Close Prices'!C686/'Adj Close Prices'!C685-1</f>
        <v>1.0298102981029844E-2</v>
      </c>
      <c r="D685" s="6">
        <f>'Adj Close Prices'!D686/'Adj Close Prices'!D685-1</f>
        <v>-2.6388125343595359E-2</v>
      </c>
      <c r="E685" s="6">
        <f>'Adj Close Prices'!E686/'Adj Close Prices'!E685-1</f>
        <v>-8.6430423509075149E-3</v>
      </c>
      <c r="F685" s="6">
        <f>'Adj Close Prices'!F686/'Adj Close Prices'!F685-1</f>
        <v>1.9916351324433812E-4</v>
      </c>
      <c r="G685" s="6">
        <f>'Adj Close Prices'!G686/'Adj Close Prices'!G685-1</f>
        <v>6.9427037488269949E-3</v>
      </c>
    </row>
    <row r="686" spans="1:7" x14ac:dyDescent="0.45">
      <c r="A686" s="2">
        <f>'Adj Close Prices'!A687</f>
        <v>46076</v>
      </c>
      <c r="B686" s="6">
        <f>'Adj Close Prices'!B687/'Adj Close Prices'!B686-1</f>
        <v>-1.0120754061332615E-2</v>
      </c>
      <c r="C686" s="6">
        <f>'Adj Close Prices'!C687/'Adj Close Prices'!C686-1</f>
        <v>-5.3648068669528426E-3</v>
      </c>
      <c r="D686" s="6">
        <f>'Adj Close Prices'!D687/'Adj Close Prices'!D686-1</f>
        <v>-1.1857707509881465E-2</v>
      </c>
      <c r="E686" s="6">
        <f>'Adj Close Prices'!E687/'Adj Close Prices'!E686-1</f>
        <v>-5.6669572798606627E-3</v>
      </c>
      <c r="F686" s="6">
        <f>'Adj Close Prices'!F687/'Adj Close Prices'!F686-1</f>
        <v>3.9824771007568316E-4</v>
      </c>
      <c r="G686" s="6">
        <f>'Adj Close Prices'!G687/'Adj Close Prices'!G686-1</f>
        <v>-1.0388565341731493E-2</v>
      </c>
    </row>
    <row r="687" spans="1:7" x14ac:dyDescent="0.45">
      <c r="A687" s="2">
        <f>'Adj Close Prices'!A688</f>
        <v>46077</v>
      </c>
      <c r="B687" s="6">
        <f>'Adj Close Prices'!B688/'Adj Close Prices'!B687-1</f>
        <v>7.3280968888498332E-3</v>
      </c>
      <c r="C687" s="6">
        <f>'Adj Close Prices'!C688/'Adj Close Prices'!C687-1</f>
        <v>7.0118662351672523E-3</v>
      </c>
      <c r="D687" s="6">
        <f>'Adj Close Prices'!D688/'Adj Close Prices'!D687-1</f>
        <v>6.857142857142895E-3</v>
      </c>
      <c r="E687" s="6">
        <f>'Adj Close Prices'!E688/'Adj Close Prices'!E687-1</f>
        <v>1.1398509425690539E-2</v>
      </c>
      <c r="F687" s="6">
        <f>'Adj Close Prices'!F688/'Adj Close Prices'!F687-1</f>
        <v>-1.9904458598740682E-4</v>
      </c>
      <c r="G687" s="6">
        <f>'Adj Close Prices'!G688/'Adj Close Prices'!G687-1</f>
        <v>7.6516509840971469E-3</v>
      </c>
    </row>
    <row r="688" spans="1:7" x14ac:dyDescent="0.45">
      <c r="A688" s="2">
        <f>'Adj Close Prices'!A689</f>
        <v>46078</v>
      </c>
      <c r="B688" s="6">
        <f>'Adj Close Prices'!B689/'Adj Close Prices'!B688-1</f>
        <v>8.3057443224721084E-3</v>
      </c>
      <c r="C688" s="6">
        <f>'Adj Close Prices'!C689/'Adj Close Prices'!C688-1</f>
        <v>1.7139796464916701E-2</v>
      </c>
      <c r="D688" s="6">
        <f>'Adj Close Prices'!D689/'Adj Close Prices'!D688-1</f>
        <v>1.6458569807037415E-2</v>
      </c>
      <c r="E688" s="6">
        <f>'Adj Close Prices'!E689/'Adj Close Prices'!E688-1</f>
        <v>3.3810143042912966E-2</v>
      </c>
      <c r="F688" s="6">
        <f>'Adj Close Prices'!F689/'Adj Close Prices'!F688-1</f>
        <v>1.9908421262204712E-4</v>
      </c>
      <c r="G688" s="6">
        <f>'Adj Close Prices'!G689/'Adj Close Prices'!G688-1</f>
        <v>8.1363587544955873E-3</v>
      </c>
    </row>
    <row r="689" spans="1:7" x14ac:dyDescent="0.45">
      <c r="A689" s="2">
        <f>'Adj Close Prices'!A690</f>
        <v>46079</v>
      </c>
      <c r="B689" s="6">
        <f>'Adj Close Prices'!B690/'Adj Close Prices'!B689-1</f>
        <v>-5.5155529953916371E-3</v>
      </c>
      <c r="C689" s="6">
        <f>'Adj Close Prices'!C690/'Adj Close Prices'!C689-1</f>
        <v>-1.1585044760400121E-2</v>
      </c>
      <c r="D689" s="6">
        <f>'Adj Close Prices'!D690/'Adj Close Prices'!D689-1</f>
        <v>-9.4919039642659131E-3</v>
      </c>
      <c r="E689" s="6">
        <f>'Adj Close Prices'!E690/'Adj Close Prices'!E689-1</f>
        <v>-8.8050314465408785E-3</v>
      </c>
      <c r="F689" s="6">
        <f>'Adj Close Prices'!F690/'Adj Close Prices'!F689-1</f>
        <v>1.9904458598718477E-4</v>
      </c>
      <c r="G689" s="6">
        <f>'Adj Close Prices'!G690/'Adj Close Prices'!G689-1</f>
        <v>-5.3627060862755371E-3</v>
      </c>
    </row>
    <row r="690" spans="1:7" x14ac:dyDescent="0.45">
      <c r="A690" s="2">
        <f>'Adj Close Prices'!A691</f>
        <v>46080</v>
      </c>
      <c r="B690" s="6">
        <f>'Adj Close Prices'!B691/'Adj Close Prices'!B690-1</f>
        <v>-4.3731989515908287E-3</v>
      </c>
      <c r="C690" s="6">
        <f>'Adj Close Prices'!C691/'Adj Close Prices'!C690-1</f>
        <v>-3.409696323921152E-2</v>
      </c>
      <c r="D690" s="6">
        <f>'Adj Close Prices'!D691/'Adj Close Prices'!D690-1</f>
        <v>-4.9041713641488016E-2</v>
      </c>
      <c r="E690" s="6">
        <f>'Adj Close Prices'!E691/'Adj Close Prices'!E690-1</f>
        <v>-2.2419627749577065E-2</v>
      </c>
      <c r="F690" s="6">
        <f>'Adj Close Prices'!F691/'Adj Close Prices'!F690-1</f>
        <v>0</v>
      </c>
      <c r="G690" s="6">
        <f>'Adj Close Prices'!G691/'Adj Close Prices'!G690-1</f>
        <v>-4.3393492712989756E-3</v>
      </c>
    </row>
    <row r="691" spans="1:7" x14ac:dyDescent="0.45">
      <c r="A691" s="2">
        <f>'Adj Close Prices'!A692</f>
        <v>46083</v>
      </c>
      <c r="B691" s="6">
        <f>'Adj Close Prices'!B692/'Adj Close Prices'!B691-1</f>
        <v>1.0181077739801481E-4</v>
      </c>
      <c r="C691" s="6">
        <f>'Adj Close Prices'!C692/'Adj Close Prices'!C691-1</f>
        <v>1.9305019305019488E-2</v>
      </c>
      <c r="D691" s="6">
        <f>'Adj Close Prices'!D692/'Adj Close Prices'!D691-1</f>
        <v>1.8375815056312916E-2</v>
      </c>
      <c r="E691" s="6">
        <f>'Adj Close Prices'!E692/'Adj Close Prices'!E691-1</f>
        <v>4.6733016010385153E-2</v>
      </c>
      <c r="F691" s="6">
        <f>'Adj Close Prices'!F692/'Adj Close Prices'!F691-1</f>
        <v>-3.9800995024885655E-4</v>
      </c>
      <c r="G691" s="6">
        <f>'Adj Close Prices'!G692/'Adj Close Prices'!G691-1</f>
        <v>3.9832007780327139E-4</v>
      </c>
    </row>
    <row r="692" spans="1:7" x14ac:dyDescent="0.45">
      <c r="A692" s="2">
        <f>'Adj Close Prices'!A693</f>
        <v>46084</v>
      </c>
      <c r="B692" s="6">
        <f>'Adj Close Prices'!B693/'Adj Close Prices'!B692-1</f>
        <v>-8.8130071842006386E-3</v>
      </c>
      <c r="C692" s="6">
        <f>'Adj Close Prices'!C693/'Adj Close Prices'!C692-1</f>
        <v>-1.6233766233766378E-3</v>
      </c>
      <c r="D692" s="6">
        <f>'Adj Close Prices'!D693/'Adj Close Prices'!D692-1</f>
        <v>8.7310826542490449E-3</v>
      </c>
      <c r="E692" s="6">
        <f>'Adj Close Prices'!E693/'Adj Close Prices'!E692-1</f>
        <v>-2.6870607689127857E-2</v>
      </c>
      <c r="F692" s="6">
        <f>'Adj Close Prices'!F693/'Adj Close Prices'!F692-1</f>
        <v>0</v>
      </c>
      <c r="G692" s="6">
        <f>'Adj Close Prices'!G693/'Adj Close Prices'!G692-1</f>
        <v>-9.4468897630358706E-3</v>
      </c>
    </row>
    <row r="693" spans="1:7" x14ac:dyDescent="0.45">
      <c r="A693" s="2">
        <f>'Adj Close Prices'!A694</f>
        <v>46085</v>
      </c>
      <c r="B693" s="6">
        <f>'Adj Close Prices'!B694/'Adj Close Prices'!B693-1</f>
        <v>7.1747168261049321E-3</v>
      </c>
      <c r="C693" s="6">
        <f>'Adj Close Prices'!C694/'Adj Close Prices'!C693-1</f>
        <v>9.2140921409213927E-3</v>
      </c>
      <c r="D693" s="6">
        <f>'Adj Close Prices'!D694/'Adj Close Prices'!D693-1</f>
        <v>3.8661281015579974E-2</v>
      </c>
      <c r="E693" s="6">
        <f>'Adj Close Prices'!E694/'Adj Close Prices'!E693-1</f>
        <v>2.9736618521665203E-3</v>
      </c>
      <c r="F693" s="6">
        <f>'Adj Close Prices'!F694/'Adj Close Prices'!F693-1</f>
        <v>0</v>
      </c>
      <c r="G693" s="6">
        <f>'Adj Close Prices'!G694/'Adj Close Prices'!G693-1</f>
        <v>7.7560433176560029E-3</v>
      </c>
    </row>
    <row r="694" spans="1:7" x14ac:dyDescent="0.45">
      <c r="A694" s="2">
        <f>'Adj Close Prices'!A695</f>
        <v>46086</v>
      </c>
      <c r="B694" s="6">
        <f>'Adj Close Prices'!B695/'Adj Close Prices'!B694-1</f>
        <v>-5.5502949959940207E-3</v>
      </c>
      <c r="C694" s="6">
        <f>'Adj Close Prices'!C695/'Adj Close Prices'!C694-1</f>
        <v>-6.4446831364125545E-3</v>
      </c>
      <c r="D694" s="6">
        <f>'Adj Close Prices'!D695/'Adj Close Prices'!D694-1</f>
        <v>-1.6666666666667052E-3</v>
      </c>
      <c r="E694" s="6">
        <f>'Adj Close Prices'!E695/'Adj Close Prices'!E694-1</f>
        <v>-1.6518424396442244E-2</v>
      </c>
      <c r="F694" s="6">
        <f>'Adj Close Prices'!F695/'Adj Close Prices'!F694-1</f>
        <v>0</v>
      </c>
      <c r="G694" s="6">
        <f>'Adj Close Prices'!G695/'Adj Close Prices'!G694-1</f>
        <v>-5.6437959732089649E-3</v>
      </c>
    </row>
    <row r="695" spans="1:7" x14ac:dyDescent="0.45">
      <c r="A695" s="2">
        <f>'Adj Close Prices'!A696</f>
        <v>46087</v>
      </c>
      <c r="B695" s="6">
        <f>'Adj Close Prices'!B696/'Adj Close Prices'!B695-1</f>
        <v>-1.3228055783429005E-2</v>
      </c>
      <c r="C695" s="6">
        <f>'Adj Close Prices'!C696/'Adj Close Prices'!C695-1</f>
        <v>-1.4054054054054133E-2</v>
      </c>
      <c r="D695" s="6">
        <f>'Adj Close Prices'!D696/'Adj Close Prices'!D695-1</f>
        <v>-6.1213132999443642E-3</v>
      </c>
      <c r="E695" s="6">
        <f>'Adj Close Prices'!E696/'Adj Close Prices'!E695-1</f>
        <v>-7.3212747631351549E-3</v>
      </c>
      <c r="F695" s="6">
        <f>'Adj Close Prices'!F696/'Adj Close Prices'!F695-1</f>
        <v>-3.9816842524376117E-4</v>
      </c>
      <c r="G695" s="6">
        <f>'Adj Close Prices'!G696/'Adj Close Prices'!G695-1</f>
        <v>-1.3279712826759105E-2</v>
      </c>
    </row>
    <row r="696" spans="1:7" x14ac:dyDescent="0.45">
      <c r="A696" s="2">
        <f>'Adj Close Prices'!A697</f>
        <v>46090</v>
      </c>
      <c r="B696" s="6">
        <f>'Adj Close Prices'!B697/'Adj Close Prices'!B696-1</f>
        <v>8.8033134900016297E-3</v>
      </c>
      <c r="C696" s="6">
        <f>'Adj Close Prices'!C697/'Adj Close Prices'!C696-1</f>
        <v>-2.7412280701752945E-3</v>
      </c>
      <c r="D696" s="6">
        <f>'Adj Close Prices'!D697/'Adj Close Prices'!D696-1</f>
        <v>3.3594624860022737E-3</v>
      </c>
      <c r="E696" s="6">
        <f>'Adj Close Prices'!E697/'Adj Close Prices'!E696-1</f>
        <v>1.0845986984815648E-2</v>
      </c>
      <c r="F696" s="6">
        <f>'Adj Close Prices'!F697/'Adj Close Prices'!F696-1</f>
        <v>3.9832702648867624E-4</v>
      </c>
      <c r="G696" s="6">
        <f>'Adj Close Prices'!G697/'Adj Close Prices'!G696-1</f>
        <v>8.304141981985147E-3</v>
      </c>
    </row>
    <row r="697" spans="1:7" x14ac:dyDescent="0.45">
      <c r="A697" s="2">
        <f>'Adj Close Prices'!A698</f>
        <v>46091</v>
      </c>
      <c r="B697" s="6">
        <f>'Adj Close Prices'!B698/'Adj Close Prices'!B697-1</f>
        <v>-1.8100479736292696E-3</v>
      </c>
      <c r="C697" s="6">
        <f>'Adj Close Prices'!C698/'Adj Close Prices'!C697-1</f>
        <v>-1.0445299615173265E-2</v>
      </c>
      <c r="D697" s="6">
        <f>'Adj Close Prices'!D698/'Adj Close Prices'!D697-1</f>
        <v>1.6741071428569843E-3</v>
      </c>
      <c r="E697" s="6">
        <f>'Adj Close Prices'!E698/'Adj Close Prices'!E697-1</f>
        <v>-5.1502145922747156E-3</v>
      </c>
      <c r="F697" s="6">
        <f>'Adj Close Prices'!F698/'Adj Close Prices'!F697-1</f>
        <v>-1.990842126219361E-4</v>
      </c>
      <c r="G697" s="6">
        <f>'Adj Close Prices'!G698/'Adj Close Prices'!G697-1</f>
        <v>-2.1321428256115826E-3</v>
      </c>
    </row>
    <row r="698" spans="1:7" x14ac:dyDescent="0.45">
      <c r="A698" s="2">
        <f>'Adj Close Prices'!A699</f>
        <v>46092</v>
      </c>
      <c r="B698" s="6">
        <f>'Adj Close Prices'!B699/'Adj Close Prices'!B698-1</f>
        <v>-1.06146157361664E-3</v>
      </c>
      <c r="C698" s="6">
        <f>'Adj Close Prices'!C699/'Adj Close Prices'!C698-1</f>
        <v>0</v>
      </c>
      <c r="D698" s="6">
        <f>'Adj Close Prices'!D699/'Adj Close Prices'!D698-1</f>
        <v>-1.6713091922003764E-3</v>
      </c>
      <c r="E698" s="6">
        <f>'Adj Close Prices'!E699/'Adj Close Prices'!E698-1</f>
        <v>1.2942191544436099E-3</v>
      </c>
      <c r="F698" s="6">
        <f>'Adj Close Prices'!F699/'Adj Close Prices'!F698-1</f>
        <v>-1.9912385503784158E-4</v>
      </c>
      <c r="G698" s="6">
        <f>'Adj Close Prices'!G699/'Adj Close Prices'!G698-1</f>
        <v>-8.4052324784078536E-4</v>
      </c>
    </row>
    <row r="699" spans="1:7" x14ac:dyDescent="0.45">
      <c r="A699" s="2">
        <f>'Adj Close Prices'!A700</f>
        <v>46093</v>
      </c>
      <c r="B699" s="6">
        <f>'Adj Close Prices'!B700/'Adj Close Prices'!B699-1</f>
        <v>-1.5378030962676648E-2</v>
      </c>
      <c r="C699" s="6">
        <f>'Adj Close Prices'!C700/'Adj Close Prices'!C699-1</f>
        <v>-2.2777777777777786E-2</v>
      </c>
      <c r="D699" s="6">
        <f>'Adj Close Prices'!D700/'Adj Close Prices'!D699-1</f>
        <v>-1.9531250000000111E-2</v>
      </c>
      <c r="E699" s="6">
        <f>'Adj Close Prices'!E700/'Adj Close Prices'!E699-1</f>
        <v>-1.1632916846186947E-2</v>
      </c>
      <c r="F699" s="6">
        <f>'Adj Close Prices'!F700/'Adj Close Prices'!F699-1</f>
        <v>-7.966540529774635E-4</v>
      </c>
      <c r="G699" s="6">
        <f>'Adj Close Prices'!G700/'Adj Close Prices'!G699-1</f>
        <v>-1.5227744661508114E-2</v>
      </c>
    </row>
    <row r="700" spans="1:7" x14ac:dyDescent="0.45">
      <c r="A700" s="2">
        <f>'Adj Close Prices'!A701</f>
        <v>46094</v>
      </c>
      <c r="B700" s="6">
        <f>'Adj Close Prices'!B701/'Adj Close Prices'!B700-1</f>
        <v>-5.6057676454277505E-3</v>
      </c>
      <c r="C700" s="6">
        <f>'Adj Close Prices'!C701/'Adj Close Prices'!C700-1</f>
        <v>1.5349630471858999E-2</v>
      </c>
      <c r="D700" s="6">
        <f>'Adj Close Prices'!D701/'Adj Close Prices'!D700-1</f>
        <v>-1.2521343198633961E-2</v>
      </c>
      <c r="E700" s="6">
        <f>'Adj Close Prices'!E701/'Adj Close Prices'!E700-1</f>
        <v>-2.6155187445511263E-3</v>
      </c>
      <c r="F700" s="6">
        <f>'Adj Close Prices'!F701/'Adj Close Prices'!F700-1</f>
        <v>0</v>
      </c>
      <c r="G700" s="6">
        <f>'Adj Close Prices'!G701/'Adj Close Prices'!G700-1</f>
        <v>-6.0561009859709802E-3</v>
      </c>
    </row>
    <row r="701" spans="1:7" x14ac:dyDescent="0.45">
      <c r="A701" s="2">
        <f>'Adj Close Prices'!A702</f>
        <v>46097</v>
      </c>
      <c r="B701" s="6">
        <f>'Adj Close Prices'!B702/'Adj Close Prices'!B701-1</f>
        <v>1.0099030794507469E-2</v>
      </c>
      <c r="C701" s="6">
        <f>'Adj Close Prices'!C702/'Adj Close Prices'!C701-1</f>
        <v>4.4792833146698463E-3</v>
      </c>
      <c r="D701" s="6">
        <f>'Adj Close Prices'!D702/'Adj Close Prices'!D701-1</f>
        <v>1.8443804034582234E-2</v>
      </c>
      <c r="E701" s="6">
        <f>'Adj Close Prices'!E702/'Adj Close Prices'!E701-1</f>
        <v>-4.8076923076922906E-3</v>
      </c>
      <c r="F701" s="6">
        <f>'Adj Close Prices'!F702/'Adj Close Prices'!F701-1</f>
        <v>1.9932230416586094E-4</v>
      </c>
      <c r="G701" s="6">
        <f>'Adj Close Prices'!G702/'Adj Close Prices'!G701-1</f>
        <v>1.0127861041584918E-2</v>
      </c>
    </row>
    <row r="702" spans="1:7" x14ac:dyDescent="0.45">
      <c r="A702" s="2">
        <f>'Adj Close Prices'!A703</f>
        <v>46098</v>
      </c>
      <c r="B702" s="6">
        <f>'Adj Close Prices'!B703/'Adj Close Prices'!B702-1</f>
        <v>2.7755808574456697E-3</v>
      </c>
      <c r="C702" s="6">
        <f>'Adj Close Prices'!C703/'Adj Close Prices'!C702-1</f>
        <v>2.7870680044593144E-2</v>
      </c>
      <c r="D702" s="6">
        <f>'Adj Close Prices'!D703/'Adj Close Prices'!D702-1</f>
        <v>3.2258064516128782E-2</v>
      </c>
      <c r="E702" s="6">
        <f>'Adj Close Prices'!E703/'Adj Close Prices'!E702-1</f>
        <v>3.996486605182259E-2</v>
      </c>
      <c r="F702" s="6">
        <f>'Adj Close Prices'!F703/'Adj Close Prices'!F702-1</f>
        <v>7.9713033080897056E-4</v>
      </c>
      <c r="G702" s="6">
        <f>'Adj Close Prices'!G703/'Adj Close Prices'!G702-1</f>
        <v>2.4942643860541569E-3</v>
      </c>
    </row>
    <row r="703" spans="1:7" x14ac:dyDescent="0.45">
      <c r="A703" s="2">
        <f>'Adj Close Prices'!A704</f>
        <v>46099</v>
      </c>
      <c r="B703" s="6">
        <f>'Adj Close Prices'!B704/'Adj Close Prices'!B703-1</f>
        <v>-1.3601392877870211E-2</v>
      </c>
      <c r="C703" s="6">
        <f>'Adj Close Prices'!C704/'Adj Close Prices'!C703-1</f>
        <v>-8.6767895878524515E-3</v>
      </c>
      <c r="D703" s="6">
        <f>'Adj Close Prices'!D704/'Adj Close Prices'!D703-1</f>
        <v>-2.1929824561403022E-3</v>
      </c>
      <c r="E703" s="6">
        <f>'Adj Close Prices'!E704/'Adj Close Prices'!E703-1</f>
        <v>-5.9121621621621712E-3</v>
      </c>
      <c r="F703" s="6">
        <f>'Adj Close Prices'!F704/'Adj Close Prices'!F703-1</f>
        <v>-1.9912385503784158E-4</v>
      </c>
      <c r="G703" s="6">
        <f>'Adj Close Prices'!G704/'Adj Close Prices'!G703-1</f>
        <v>-1.3604662243451471E-2</v>
      </c>
    </row>
    <row r="704" spans="1:7" x14ac:dyDescent="0.45">
      <c r="A704" s="2">
        <f>'Adj Close Prices'!A705</f>
        <v>46100</v>
      </c>
      <c r="B704" s="6">
        <f>'Adj Close Prices'!B705/'Adj Close Prices'!B704-1</f>
        <v>-2.8965829373162055E-3</v>
      </c>
      <c r="C704" s="6">
        <f>'Adj Close Prices'!C705/'Adj Close Prices'!C704-1</f>
        <v>-4.9234135667396428E-3</v>
      </c>
      <c r="D704" s="6">
        <f>'Adj Close Prices'!D705/'Adj Close Prices'!D704-1</f>
        <v>-1.6483516483515315E-3</v>
      </c>
      <c r="E704" s="6">
        <f>'Adj Close Prices'!E705/'Adj Close Prices'!E704-1</f>
        <v>-8.4961767204760896E-4</v>
      </c>
      <c r="F704" s="6">
        <f>'Adj Close Prices'!F705/'Adj Close Prices'!F704-1</f>
        <v>-1.9916351324433812E-4</v>
      </c>
      <c r="G704" s="6">
        <f>'Adj Close Prices'!G705/'Adj Close Prices'!G704-1</f>
        <v>-2.7518185701714826E-3</v>
      </c>
    </row>
    <row r="705" spans="1:7" x14ac:dyDescent="0.45">
      <c r="A705" s="2">
        <f>'Adj Close Prices'!A706</f>
        <v>46101</v>
      </c>
      <c r="B705" s="6">
        <f>'Adj Close Prices'!B706/'Adj Close Prices'!B705-1</f>
        <v>-1.4570378103581305E-2</v>
      </c>
      <c r="C705" s="6">
        <f>'Adj Close Prices'!C706/'Adj Close Prices'!C705-1</f>
        <v>-1.2644310060472841E-2</v>
      </c>
      <c r="D705" s="6">
        <f>'Adj Close Prices'!D706/'Adj Close Prices'!D705-1</f>
        <v>-2.3115024766098058E-2</v>
      </c>
      <c r="E705" s="6">
        <f>'Adj Close Prices'!E706/'Adj Close Prices'!E705-1</f>
        <v>-2.2534013605442271E-2</v>
      </c>
      <c r="F705" s="6">
        <f>'Adj Close Prices'!F706/'Adj Close Prices'!F705-1</f>
        <v>-5.9760956175303193E-4</v>
      </c>
      <c r="G705" s="6">
        <f>'Adj Close Prices'!G706/'Adj Close Prices'!G705-1</f>
        <v>-1.5135140044320039E-2</v>
      </c>
    </row>
    <row r="706" spans="1:7" x14ac:dyDescent="0.45">
      <c r="A706" s="2">
        <f>'Adj Close Prices'!A707</f>
        <v>46104</v>
      </c>
      <c r="B706" s="6">
        <f>'Adj Close Prices'!B707/'Adj Close Prices'!B706-1</f>
        <v>1.0809150928911437E-2</v>
      </c>
      <c r="C706" s="6">
        <f>'Adj Close Prices'!C707/'Adj Close Prices'!C706-1</f>
        <v>1.7817371937639104E-2</v>
      </c>
      <c r="D706" s="6">
        <f>'Adj Close Prices'!D707/'Adj Close Prices'!D706-1</f>
        <v>2.5915492957746533E-2</v>
      </c>
      <c r="E706" s="6">
        <f>'Adj Close Prices'!E707/'Adj Close Prices'!E706-1</f>
        <v>2.9143105698129723E-2</v>
      </c>
      <c r="F706" s="6">
        <f>'Adj Close Prices'!F707/'Adj Close Prices'!F706-1</f>
        <v>7.9728921666322172E-4</v>
      </c>
      <c r="G706" s="6">
        <f>'Adj Close Prices'!G707/'Adj Close Prices'!G706-1</f>
        <v>1.1450105971114954E-2</v>
      </c>
    </row>
    <row r="707" spans="1:7" x14ac:dyDescent="0.45">
      <c r="A707" s="2">
        <f>'Adj Close Prices'!A708</f>
        <v>46105</v>
      </c>
      <c r="B707" s="6">
        <f>'Adj Close Prices'!B708/'Adj Close Prices'!B707-1</f>
        <v>-3.2050308351307955E-3</v>
      </c>
      <c r="C707" s="6">
        <f>'Adj Close Prices'!C708/'Adj Close Prices'!C707-1</f>
        <v>-1.7505470459518668E-2</v>
      </c>
      <c r="D707" s="6">
        <f>'Adj Close Prices'!D708/'Adj Close Prices'!D707-1</f>
        <v>-2.5260845689181854E-2</v>
      </c>
      <c r="E707" s="6">
        <f>'Adj Close Prices'!E708/'Adj Close Prices'!E707-1</f>
        <v>-1.4792899408284099E-2</v>
      </c>
      <c r="F707" s="6">
        <f>'Adj Close Prices'!F708/'Adj Close Prices'!F707-1</f>
        <v>-1.9916351324433812E-4</v>
      </c>
      <c r="G707" s="6">
        <f>'Adj Close Prices'!G708/'Adj Close Prices'!G707-1</f>
        <v>-3.742597998173558E-3</v>
      </c>
    </row>
    <row r="708" spans="1:7" x14ac:dyDescent="0.45">
      <c r="A708" s="2">
        <f>'Adj Close Prices'!A709</f>
        <v>46106</v>
      </c>
      <c r="B708" s="6">
        <f>'Adj Close Prices'!B709/'Adj Close Prices'!B708-1</f>
        <v>5.3487344376208501E-3</v>
      </c>
      <c r="C708" s="6">
        <f>'Adj Close Prices'!C709/'Adj Close Prices'!C708-1</f>
        <v>5.5679287305121505E-3</v>
      </c>
      <c r="D708" s="6">
        <f>'Adj Close Prices'!D709/'Adj Close Prices'!D708-1</f>
        <v>0</v>
      </c>
      <c r="E708" s="6">
        <f>'Adj Close Prices'!E709/'Adj Close Prices'!E708-1</f>
        <v>2.1450021450022394E-3</v>
      </c>
      <c r="F708" s="6">
        <f>'Adj Close Prices'!F709/'Adj Close Prices'!F708-1</f>
        <v>1.9920318725086261E-4</v>
      </c>
      <c r="G708" s="6">
        <f>'Adj Close Prices'!G709/'Adj Close Prices'!G708-1</f>
        <v>5.4191655125710447E-3</v>
      </c>
    </row>
    <row r="709" spans="1:7" x14ac:dyDescent="0.45">
      <c r="A709" s="2">
        <f>'Adj Close Prices'!A710</f>
        <v>46107</v>
      </c>
      <c r="B709" s="6">
        <f>'Adj Close Prices'!B710/'Adj Close Prices'!B709-1</f>
        <v>-1.777973140934308E-2</v>
      </c>
      <c r="C709" s="6">
        <f>'Adj Close Prices'!C710/'Adj Close Prices'!C709-1</f>
        <v>-7.7519379844959158E-3</v>
      </c>
      <c r="D709" s="6">
        <f>'Adj Close Prices'!D710/'Adj Close Prices'!D709-1</f>
        <v>-3.3802816901408184E-3</v>
      </c>
      <c r="E709" s="6">
        <f>'Adj Close Prices'!E710/'Adj Close Prices'!E709-1</f>
        <v>-5.5650684931506378E-3</v>
      </c>
      <c r="F709" s="6">
        <f>'Adj Close Prices'!F710/'Adj Close Prices'!F709-1</f>
        <v>-7.966540529774635E-4</v>
      </c>
      <c r="G709" s="6">
        <f>'Adj Close Prices'!G710/'Adj Close Prices'!G709-1</f>
        <v>-1.7403203026749581E-2</v>
      </c>
    </row>
    <row r="710" spans="1:7" x14ac:dyDescent="0.45">
      <c r="A710" s="2">
        <f>'Adj Close Prices'!A711</f>
        <v>46108</v>
      </c>
      <c r="B710" s="6">
        <f>'Adj Close Prices'!B711/'Adj Close Prices'!B710-1</f>
        <v>-1.700591040261723E-2</v>
      </c>
      <c r="C710" s="6">
        <f>'Adj Close Prices'!C711/'Adj Close Prices'!C710-1</f>
        <v>-2.6227678571428714E-2</v>
      </c>
      <c r="D710" s="6">
        <f>'Adj Close Prices'!D711/'Adj Close Prices'!D710-1</f>
        <v>-1.0740531373657491E-2</v>
      </c>
      <c r="E710" s="6">
        <f>'Adj Close Prices'!E711/'Adj Close Prices'!E710-1</f>
        <v>-2.06629358588033E-2</v>
      </c>
      <c r="F710" s="6">
        <f>'Adj Close Prices'!F711/'Adj Close Prices'!F710-1</f>
        <v>1.9932230416586094E-4</v>
      </c>
      <c r="G710" s="6">
        <f>'Adj Close Prices'!G711/'Adj Close Prices'!G710-1</f>
        <v>-1.6721809061673643E-2</v>
      </c>
    </row>
    <row r="711" spans="1:7" x14ac:dyDescent="0.45">
      <c r="A711" s="2">
        <f>'Adj Close Prices'!A712</f>
        <v>46111</v>
      </c>
      <c r="B711" s="6">
        <f>'Adj Close Prices'!B712/'Adj Close Prices'!B711-1</f>
        <v>-3.2339597167931888E-3</v>
      </c>
      <c r="C711" s="6">
        <f>'Adj Close Prices'!C712/'Adj Close Prices'!C711-1</f>
        <v>1.6618911174784978E-2</v>
      </c>
      <c r="D711" s="6">
        <f>'Adj Close Prices'!D712/'Adj Close Prices'!D711-1</f>
        <v>2.3428571428571354E-2</v>
      </c>
      <c r="E711" s="6">
        <f>'Adj Close Prices'!E712/'Adj Close Prices'!E711-1</f>
        <v>1.1868131868131959E-2</v>
      </c>
      <c r="F711" s="6">
        <f>'Adj Close Prices'!F712/'Adj Close Prices'!F711-1</f>
        <v>7.9713033080897056E-4</v>
      </c>
      <c r="G711" s="6">
        <f>'Adj Close Prices'!G712/'Adj Close Prices'!G711-1</f>
        <v>-3.9457610938221643E-3</v>
      </c>
    </row>
    <row r="712" spans="1:7" x14ac:dyDescent="0.45">
      <c r="A712" s="2">
        <f>'Adj Close Prices'!A713</f>
        <v>46112</v>
      </c>
      <c r="B712" s="6">
        <f>'Adj Close Prices'!B713/'Adj Close Prices'!B712-1</f>
        <v>2.8790575339013857E-2</v>
      </c>
      <c r="C712" s="6">
        <f>'Adj Close Prices'!C713/'Adj Close Prices'!C712-1</f>
        <v>1.5783540022547893E-2</v>
      </c>
      <c r="D712" s="6">
        <f>'Adj Close Prices'!D713/'Adj Close Prices'!D712-1</f>
        <v>2.6242322724734812E-2</v>
      </c>
      <c r="E712" s="6">
        <f>'Adj Close Prices'!E713/'Adj Close Prices'!E712-1</f>
        <v>2.9105125977411106E-2</v>
      </c>
      <c r="F712" s="6">
        <f>'Adj Close Prices'!F713/'Adj Close Prices'!F712-1</f>
        <v>7.9649542015136632E-4</v>
      </c>
      <c r="G712" s="6">
        <f>'Adj Close Prices'!G713/'Adj Close Prices'!G712-1</f>
        <v>2.9131126324733359E-2</v>
      </c>
    </row>
    <row r="713" spans="1:7" x14ac:dyDescent="0.45">
      <c r="A713" s="2">
        <f>'Adj Close Prices'!A714</f>
        <v>46113</v>
      </c>
      <c r="B713" s="6">
        <f>'Adj Close Prices'!B714/'Adj Close Prices'!B713-1</f>
        <v>7.4248710215703007E-3</v>
      </c>
      <c r="C713" s="6">
        <f>'Adj Close Prices'!C714/'Adj Close Prices'!C713-1</f>
        <v>-1.6093229744728044E-2</v>
      </c>
      <c r="D713" s="6">
        <f>'Adj Close Prices'!D714/'Adj Close Prices'!D713-1</f>
        <v>-1.4689880304678993E-2</v>
      </c>
      <c r="E713" s="6">
        <f>'Adj Close Prices'!E714/'Adj Close Prices'!E713-1</f>
        <v>-1.519628535246953E-2</v>
      </c>
      <c r="F713" s="6">
        <f>'Adj Close Prices'!F714/'Adj Close Prices'!F713-1</f>
        <v>0</v>
      </c>
      <c r="G713" s="6">
        <f>'Adj Close Prices'!G714/'Adj Close Prices'!G713-1</f>
        <v>7.1685356427864111E-3</v>
      </c>
    </row>
    <row r="714" spans="1:7" x14ac:dyDescent="0.45">
      <c r="A714" s="2">
        <f>'Adj Close Prices'!A715</f>
        <v>46114</v>
      </c>
      <c r="B714" s="6">
        <f>'Adj Close Prices'!B715/'Adj Close Prices'!B714-1</f>
        <v>1.3676564447011597E-3</v>
      </c>
      <c r="C714" s="6">
        <f>'Adj Close Prices'!C715/'Adj Close Prices'!C714-1</f>
        <v>2.0304568527918843E-2</v>
      </c>
      <c r="D714" s="6">
        <f>'Adj Close Prices'!D715/'Adj Close Prices'!D714-1</f>
        <v>1.5461071231363865E-2</v>
      </c>
      <c r="E714" s="6">
        <f>'Adj Close Prices'!E715/'Adj Close Prices'!E714-1</f>
        <v>1.8859837119588496E-2</v>
      </c>
      <c r="F714" s="6">
        <f>'Adj Close Prices'!F715/'Adj Close Prices'!F714-1</f>
        <v>3.9793076004774885E-3</v>
      </c>
      <c r="G714" s="6">
        <f>'Adj Close Prices'!G715/'Adj Close Prices'!G714-1</f>
        <v>1.1178146191903604E-3</v>
      </c>
    </row>
    <row r="715" spans="1:7" x14ac:dyDescent="0.45">
      <c r="A715" s="2">
        <f>'Adj Close Prices'!A716</f>
        <v>46118</v>
      </c>
      <c r="B715" s="6">
        <f>'Adj Close Prices'!B716/'Adj Close Prices'!B715-1</f>
        <v>4.4008741046497324E-3</v>
      </c>
      <c r="C715" s="6">
        <f>'Adj Close Prices'!C716/'Adj Close Prices'!C715-1</f>
        <v>1.1608623548922115E-2</v>
      </c>
      <c r="D715" s="6">
        <f>'Adj Close Prices'!D716/'Adj Close Prices'!D715-1</f>
        <v>8.7003806416530161E-3</v>
      </c>
      <c r="E715" s="6">
        <f>'Adj Close Prices'!E716/'Adj Close Prices'!E715-1</f>
        <v>1.4724442574673979E-2</v>
      </c>
      <c r="F715" s="6">
        <f>'Adj Close Prices'!F716/'Adj Close Prices'!F715-1</f>
        <v>-3.7653586999603084E-3</v>
      </c>
      <c r="G715" s="6">
        <f>'Adj Close Prices'!G716/'Adj Close Prices'!G715-1</f>
        <v>4.4267684286642961E-3</v>
      </c>
    </row>
    <row r="716" spans="1:7" x14ac:dyDescent="0.45">
      <c r="A716" s="2">
        <f>'Adj Close Prices'!A717</f>
        <v>46119</v>
      </c>
      <c r="B716" s="6">
        <f>'Adj Close Prices'!B717/'Adj Close Prices'!B716-1</f>
        <v>7.8566464206919484E-4</v>
      </c>
      <c r="C716" s="6">
        <f>'Adj Close Prices'!C717/'Adj Close Prices'!C716-1</f>
        <v>-1.3661202185792365E-2</v>
      </c>
      <c r="D716" s="6">
        <f>'Adj Close Prices'!D717/'Adj Close Prices'!D716-1</f>
        <v>-2.533692722371983E-2</v>
      </c>
      <c r="E716" s="6">
        <f>'Adj Close Prices'!E717/'Adj Close Prices'!E716-1</f>
        <v>-1.7412935323383172E-2</v>
      </c>
      <c r="F716" s="6">
        <f>'Adj Close Prices'!F717/'Adj Close Prices'!F716-1</f>
        <v>5.9677740202901397E-4</v>
      </c>
      <c r="G716" s="6">
        <f>'Adj Close Prices'!G717/'Adj Close Prices'!G716-1</f>
        <v>7.5924631947033028E-4</v>
      </c>
    </row>
    <row r="717" spans="1:7" x14ac:dyDescent="0.45">
      <c r="A717" s="2">
        <f>'Adj Close Prices'!A718</f>
        <v>46120</v>
      </c>
      <c r="B717" s="6">
        <f>'Adj Close Prices'!B718/'Adj Close Prices'!B717-1</f>
        <v>2.5076240224644497E-2</v>
      </c>
      <c r="C717" s="6">
        <f>'Adj Close Prices'!C718/'Adj Close Prices'!C717-1</f>
        <v>6.6481994459834937E-3</v>
      </c>
      <c r="D717" s="6">
        <f>'Adj Close Prices'!D718/'Adj Close Prices'!D717-1</f>
        <v>-1.1615044247787476E-2</v>
      </c>
      <c r="E717" s="6">
        <f>'Adj Close Prices'!E718/'Adj Close Prices'!E717-1</f>
        <v>-2.4894514767932474E-2</v>
      </c>
      <c r="F717" s="6">
        <f>'Adj Close Prices'!F718/'Adj Close Prices'!F717-1</f>
        <v>1.9880715705777874E-4</v>
      </c>
      <c r="G717" s="6">
        <f>'Adj Close Prices'!G718/'Adj Close Prices'!G717-1</f>
        <v>2.5084481414088922E-2</v>
      </c>
    </row>
    <row r="718" spans="1:7" x14ac:dyDescent="0.45">
      <c r="A718" s="2">
        <f>'Adj Close Prices'!A719</f>
        <v>46121</v>
      </c>
      <c r="B718" s="6">
        <f>'Adj Close Prices'!B719/'Adj Close Prices'!B718-1</f>
        <v>5.9205584765607E-3</v>
      </c>
      <c r="C718" s="6">
        <f>'Adj Close Prices'!C719/'Adj Close Prices'!C718-1</f>
        <v>-8.8057237204183236E-3</v>
      </c>
      <c r="D718" s="6">
        <f>'Adj Close Prices'!D719/'Adj Close Prices'!D718-1</f>
        <v>2.2383883603804833E-3</v>
      </c>
      <c r="E718" s="6">
        <f>'Adj Close Prices'!E719/'Adj Close Prices'!E718-1</f>
        <v>-5.6252704456944969E-3</v>
      </c>
      <c r="F718" s="6">
        <f>'Adj Close Prices'!F719/'Adj Close Prices'!F718-1</f>
        <v>1.9876764062809471E-4</v>
      </c>
      <c r="G718" s="6">
        <f>'Adj Close Prices'!G719/'Adj Close Prices'!G718-1</f>
        <v>6.1700000884588047E-3</v>
      </c>
    </row>
    <row r="719" spans="1:7" x14ac:dyDescent="0.45">
      <c r="A719" s="2">
        <f>'Adj Close Prices'!A720</f>
        <v>46122</v>
      </c>
      <c r="B719" s="6">
        <f>'Adj Close Prices'!B720/'Adj Close Prices'!B719-1</f>
        <v>-5.7100188869851909E-4</v>
      </c>
      <c r="C719" s="6">
        <f>'Adj Close Prices'!C720/'Adj Close Prices'!C719-1</f>
        <v>4.441976679622428E-3</v>
      </c>
      <c r="D719" s="6">
        <f>'Adj Close Prices'!D720/'Adj Close Prices'!D719-1</f>
        <v>8.3752093802345051E-3</v>
      </c>
      <c r="E719" s="6">
        <f>'Adj Close Prices'!E720/'Adj Close Prices'!E719-1</f>
        <v>6.5274151436029992E-3</v>
      </c>
      <c r="F719" s="6">
        <f>'Adj Close Prices'!F720/'Adj Close Prices'!F719-1</f>
        <v>0</v>
      </c>
      <c r="G719" s="6">
        <f>'Adj Close Prices'!G720/'Adj Close Prices'!G719-1</f>
        <v>-1.1385165876153236E-3</v>
      </c>
    </row>
    <row r="720" spans="1:7" x14ac:dyDescent="0.45">
      <c r="A720" s="2">
        <f>'Adj Close Prices'!A721</f>
        <v>46125</v>
      </c>
      <c r="B720" s="6">
        <f>'Adj Close Prices'!B721/'Adj Close Prices'!B720-1</f>
        <v>1.0137411737130453E-2</v>
      </c>
      <c r="C720" s="6">
        <f>'Adj Close Prices'!C721/'Adj Close Prices'!C720-1</f>
        <v>5.5279159756771445E-3</v>
      </c>
      <c r="D720" s="6">
        <f>'Adj Close Prices'!D721/'Adj Close Prices'!D720-1</f>
        <v>1.1074197120708895E-2</v>
      </c>
      <c r="E720" s="6">
        <f>'Adj Close Prices'!E721/'Adj Close Prices'!E720-1</f>
        <v>2.2049286640726473E-2</v>
      </c>
      <c r="F720" s="6">
        <f>'Adj Close Prices'!F721/'Adj Close Prices'!F720-1</f>
        <v>1.9872813990451377E-4</v>
      </c>
      <c r="G720" s="6">
        <f>'Adj Close Prices'!G721/'Adj Close Prices'!G720-1</f>
        <v>1.0170312018659589E-2</v>
      </c>
    </row>
    <row r="721" spans="1:7" x14ac:dyDescent="0.45">
      <c r="A721" s="2">
        <f>'Adj Close Prices'!A722</f>
        <v>46126</v>
      </c>
      <c r="B721" s="6">
        <f>'Adj Close Prices'!B722/'Adj Close Prices'!B721-1</f>
        <v>1.1819473852133333E-2</v>
      </c>
      <c r="C721" s="6">
        <f>'Adj Close Prices'!C722/'Adj Close Prices'!C721-1</f>
        <v>2.4189114898295561E-2</v>
      </c>
      <c r="D721" s="6">
        <f>'Adj Close Prices'!D722/'Adj Close Prices'!D721-1</f>
        <v>2.3548740416210245E-2</v>
      </c>
      <c r="E721" s="6">
        <f>'Adj Close Prices'!E722/'Adj Close Prices'!E721-1</f>
        <v>2.1150592216581998E-2</v>
      </c>
      <c r="F721" s="6">
        <f>'Adj Close Prices'!F722/'Adj Close Prices'!F721-1</f>
        <v>0</v>
      </c>
      <c r="G721" s="6">
        <f>'Adj Close Prices'!G722/'Adj Close Prices'!G721-1</f>
        <v>1.1785839276353016E-2</v>
      </c>
    </row>
    <row r="722" spans="1:7" x14ac:dyDescent="0.45">
      <c r="A722" s="2">
        <f>'Adj Close Prices'!A723</f>
        <v>46127</v>
      </c>
      <c r="B722" s="6">
        <f>'Adj Close Prices'!B723/'Adj Close Prices'!B722-1</f>
        <v>7.8831572761541846E-3</v>
      </c>
      <c r="C722" s="6">
        <f>'Adj Close Prices'!C723/'Adj Close Prices'!C722-1</f>
        <v>1.8250134192163259E-2</v>
      </c>
      <c r="D722" s="6">
        <f>'Adj Close Prices'!D723/'Adj Close Prices'!D722-1</f>
        <v>2.7287319422150791E-2</v>
      </c>
      <c r="E722" s="6">
        <f>'Adj Close Prices'!E723/'Adj Close Prices'!E722-1</f>
        <v>2.609776304888145E-2</v>
      </c>
      <c r="F722" s="6">
        <f>'Adj Close Prices'!F723/'Adj Close Prices'!F722-1</f>
        <v>3.9737730975564212E-4</v>
      </c>
      <c r="G722" s="6">
        <f>'Adj Close Prices'!G723/'Adj Close Prices'!G722-1</f>
        <v>7.9757269221329974E-3</v>
      </c>
    </row>
    <row r="723" spans="1:7" x14ac:dyDescent="0.45">
      <c r="A723" s="2">
        <f>'Adj Close Prices'!A724</f>
        <v>46128</v>
      </c>
      <c r="B723" s="6">
        <f>'Adj Close Prices'!B724/'Adj Close Prices'!B723-1</f>
        <v>2.2042406746398679E-3</v>
      </c>
      <c r="C723" s="6">
        <f>'Adj Close Prices'!C724/'Adj Close Prices'!C723-1</f>
        <v>-1.0015814443858573E-2</v>
      </c>
      <c r="D723" s="6">
        <f>'Adj Close Prices'!D724/'Adj Close Prices'!D723-1</f>
        <v>1.0416666666666075E-3</v>
      </c>
      <c r="E723" s="6">
        <f>'Adj Close Prices'!E724/'Adj Close Prices'!E723-1</f>
        <v>-9.285425918449719E-3</v>
      </c>
      <c r="F723" s="6">
        <f>'Adj Close Prices'!F724/'Adj Close Prices'!F723-1</f>
        <v>-1.9860973187679765E-4</v>
      </c>
      <c r="G723" s="6">
        <f>'Adj Close Prices'!G724/'Adj Close Prices'!G723-1</f>
        <v>2.6100105938235973E-3</v>
      </c>
    </row>
    <row r="724" spans="1:7" x14ac:dyDescent="0.45">
      <c r="A724" s="2">
        <f>'Adj Close Prices'!A725</f>
        <v>46129</v>
      </c>
      <c r="B724" s="6">
        <f>'Adj Close Prices'!B725/'Adj Close Prices'!B724-1</f>
        <v>1.2231461248119802E-2</v>
      </c>
      <c r="C724" s="6">
        <f>'Adj Close Prices'!C725/'Adj Close Prices'!C724-1</f>
        <v>1.6506922257720991E-2</v>
      </c>
      <c r="D724" s="6">
        <f>'Adj Close Prices'!D725/'Adj Close Prices'!D724-1</f>
        <v>1.0405827263267664E-2</v>
      </c>
      <c r="E724" s="6">
        <f>'Adj Close Prices'!E725/'Adj Close Prices'!E724-1</f>
        <v>5.2974735126325445E-3</v>
      </c>
      <c r="F724" s="6">
        <f>'Adj Close Prices'!F725/'Adj Close Prices'!F724-1</f>
        <v>7.9459674215343057E-4</v>
      </c>
      <c r="G724" s="6">
        <f>'Adj Close Prices'!G725/'Adj Close Prices'!G724-1</f>
        <v>1.2037566979914205E-2</v>
      </c>
    </row>
    <row r="725" spans="1:7" x14ac:dyDescent="0.45">
      <c r="A725" s="2">
        <f>'Adj Close Prices'!A726</f>
        <v>46132</v>
      </c>
      <c r="B725" s="6">
        <f>'Adj Close Prices'!B726/'Adj Close Prices'!B725-1</f>
        <v>-1.7803072782325291E-3</v>
      </c>
      <c r="C725" s="6">
        <f>'Adj Close Prices'!C726/'Adj Close Prices'!C725-1</f>
        <v>1.5715034049241794E-3</v>
      </c>
      <c r="D725" s="6">
        <f>'Adj Close Prices'!D726/'Adj Close Prices'!D725-1</f>
        <v>-9.2687950566427979E-3</v>
      </c>
      <c r="E725" s="6">
        <f>'Adj Close Prices'!E726/'Adj Close Prices'!E725-1</f>
        <v>2.8374543980542732E-3</v>
      </c>
      <c r="F725" s="6">
        <f>'Adj Close Prices'!F726/'Adj Close Prices'!F725-1</f>
        <v>1.9849146486694558E-4</v>
      </c>
      <c r="G725" s="6">
        <f>'Adj Close Prices'!G726/'Adj Close Prices'!G725-1</f>
        <v>-2.3743869324520661E-3</v>
      </c>
    </row>
    <row r="726" spans="1:7" x14ac:dyDescent="0.45">
      <c r="A726" s="2">
        <f>'Adj Close Prices'!A727</f>
        <v>46133</v>
      </c>
      <c r="B726" s="6">
        <f>'Adj Close Prices'!B727/'Adj Close Prices'!B726-1</f>
        <v>-6.8249799884846363E-3</v>
      </c>
      <c r="C726" s="6">
        <f>'Adj Close Prices'!C727/'Adj Close Prices'!C726-1</f>
        <v>-8.3682008368201055E-3</v>
      </c>
      <c r="D726" s="6">
        <f>'Adj Close Prices'!D727/'Adj Close Prices'!D726-1</f>
        <v>-1.4033264033263992E-2</v>
      </c>
      <c r="E726" s="6">
        <f>'Adj Close Prices'!E727/'Adj Close Prices'!E726-1</f>
        <v>-2.303961196442994E-2</v>
      </c>
      <c r="F726" s="6">
        <f>'Adj Close Prices'!F727/'Adj Close Prices'!F726-1</f>
        <v>-1.9845207382418462E-4</v>
      </c>
      <c r="G726" s="6">
        <f>'Adj Close Prices'!G727/'Adj Close Prices'!G726-1</f>
        <v>-6.3453615280631981E-3</v>
      </c>
    </row>
    <row r="727" spans="1:7" x14ac:dyDescent="0.45">
      <c r="A727" s="2">
        <f>'Adj Close Prices'!A728</f>
        <v>46134</v>
      </c>
      <c r="B727" s="6">
        <f>'Adj Close Prices'!B728/'Adj Close Prices'!B727-1</f>
        <v>1.0364379339111718E-2</v>
      </c>
      <c r="C727" s="6">
        <f>'Adj Close Prices'!C728/'Adj Close Prices'!C727-1</f>
        <v>7.3839662447257037E-3</v>
      </c>
      <c r="D727" s="6">
        <f>'Adj Close Prices'!D728/'Adj Close Prices'!D727-1</f>
        <v>-2.1085925144965767E-3</v>
      </c>
      <c r="E727" s="6">
        <f>'Adj Close Prices'!E728/'Adj Close Prices'!E727-1</f>
        <v>-8.2747207281763657E-4</v>
      </c>
      <c r="F727" s="6">
        <f>'Adj Close Prices'!F728/'Adj Close Prices'!F727-1</f>
        <v>0</v>
      </c>
      <c r="G727" s="6">
        <f>'Adj Close Prices'!G728/'Adj Close Prices'!G727-1</f>
        <v>1.0457218411046298E-2</v>
      </c>
    </row>
    <row r="728" spans="1:7" x14ac:dyDescent="0.45">
      <c r="A728" s="2">
        <f>'Adj Close Prices'!A729</f>
        <v>46135</v>
      </c>
      <c r="B728" s="6">
        <f>'Adj Close Prices'!B729/'Adj Close Prices'!B728-1</f>
        <v>-3.9464845499327383E-3</v>
      </c>
      <c r="C728" s="6">
        <f>'Adj Close Prices'!C729/'Adj Close Prices'!C728-1</f>
        <v>-2.5130890052356025E-2</v>
      </c>
      <c r="D728" s="6">
        <f>'Adj Close Prices'!D729/'Adj Close Prices'!D728-1</f>
        <v>-2.0073956682514438E-2</v>
      </c>
      <c r="E728" s="6">
        <f>'Adj Close Prices'!E729/'Adj Close Prices'!E728-1</f>
        <v>-1.7805383022774346E-2</v>
      </c>
      <c r="F728" s="6">
        <f>'Adj Close Prices'!F729/'Adj Close Prices'!F728-1</f>
        <v>1.9849146486694558E-4</v>
      </c>
      <c r="G728" s="6">
        <f>'Adj Close Prices'!G729/'Adj Close Prices'!G728-1</f>
        <v>-4.1300720521051382E-3</v>
      </c>
    </row>
    <row r="729" spans="1:7" x14ac:dyDescent="0.45">
      <c r="A729" s="2">
        <f>'Adj Close Prices'!A730</f>
        <v>46136</v>
      </c>
      <c r="B729" s="6">
        <f>'Adj Close Prices'!B730/'Adj Close Prices'!B729-1</f>
        <v>7.7837412538286355E-3</v>
      </c>
      <c r="C729" s="6">
        <f>'Adj Close Prices'!C730/'Adj Close Prices'!C729-1</f>
        <v>2.6852846401719255E-3</v>
      </c>
      <c r="D729" s="6">
        <f>'Adj Close Prices'!D730/'Adj Close Prices'!D729-1</f>
        <v>7.547169811320753E-3</v>
      </c>
      <c r="E729" s="6">
        <f>'Adj Close Prices'!E730/'Adj Close Prices'!E729-1</f>
        <v>-1.3490725126475533E-2</v>
      </c>
      <c r="F729" s="6">
        <f>'Adj Close Prices'!F730/'Adj Close Prices'!F729-1</f>
        <v>5.9535622147244283E-4</v>
      </c>
      <c r="G729" s="6">
        <f>'Adj Close Prices'!G730/'Adj Close Prices'!G729-1</f>
        <v>7.9708401738223245E-3</v>
      </c>
    </row>
    <row r="730" spans="1:7" x14ac:dyDescent="0.45">
      <c r="A730" s="2">
        <f>'Adj Close Prices'!A731</f>
        <v>46139</v>
      </c>
      <c r="B730" s="6">
        <f>'Adj Close Prices'!B731/'Adj Close Prices'!B730-1</f>
        <v>1.7008699531564364E-3</v>
      </c>
      <c r="C730" s="6">
        <f>'Adj Close Prices'!C731/'Adj Close Prices'!C730-1</f>
        <v>-3.2137118371720064E-3</v>
      </c>
      <c r="D730" s="6">
        <f>'Adj Close Prices'!D731/'Adj Close Prices'!D730-1</f>
        <v>6.4205457463883953E-3</v>
      </c>
      <c r="E730" s="6">
        <f>'Adj Close Prices'!E731/'Adj Close Prices'!E730-1</f>
        <v>1.6239316239316404E-2</v>
      </c>
      <c r="F730" s="6">
        <f>'Adj Close Prices'!F731/'Adj Close Prices'!F730-1</f>
        <v>-1.9833399444679767E-4</v>
      </c>
      <c r="G730" s="6">
        <f>'Adj Close Prices'!G731/'Adj Close Prices'!G730-1</f>
        <v>1.2351589028440912E-3</v>
      </c>
    </row>
    <row r="731" spans="1:7" x14ac:dyDescent="0.45">
      <c r="A731" s="2">
        <f>'Adj Close Prices'!A732</f>
        <v>46140</v>
      </c>
      <c r="B731" s="6">
        <f>'Adj Close Prices'!B732/'Adj Close Prices'!B731-1</f>
        <v>-4.9269311064717991E-3</v>
      </c>
      <c r="C731" s="6">
        <f>'Adj Close Prices'!C732/'Adj Close Prices'!C731-1</f>
        <v>1.6657710908114076E-2</v>
      </c>
      <c r="D731" s="6">
        <f>'Adj Close Prices'!D732/'Adj Close Prices'!D731-1</f>
        <v>1.063264221158966E-2</v>
      </c>
      <c r="E731" s="6">
        <f>'Adj Close Prices'!E732/'Adj Close Prices'!E731-1</f>
        <v>7.148864592094073E-3</v>
      </c>
      <c r="F731" s="6">
        <f>'Adj Close Prices'!F732/'Adj Close Prices'!F731-1</f>
        <v>1.9837333862349205E-4</v>
      </c>
      <c r="G731" s="6">
        <f>'Adj Close Prices'!G732/'Adj Close Prices'!G731-1</f>
        <v>-4.8941164663112158E-3</v>
      </c>
    </row>
    <row r="732" spans="1:7" x14ac:dyDescent="0.45">
      <c r="A732" s="2">
        <f>'Adj Close Prices'!A733</f>
        <v>46141</v>
      </c>
      <c r="B732" s="6">
        <f>'Adj Close Prices'!B733/'Adj Close Prices'!B732-1</f>
        <v>-9.7907575249078782E-5</v>
      </c>
      <c r="C732" s="6">
        <f>'Adj Close Prices'!C733/'Adj Close Prices'!C732-1</f>
        <v>-1.3213530655391104E-2</v>
      </c>
      <c r="D732" s="6">
        <f>'Adj Close Prices'!D733/'Adj Close Prices'!D732-1</f>
        <v>-3.6822724881641067E-3</v>
      </c>
      <c r="E732" s="6">
        <f>'Adj Close Prices'!E733/'Adj Close Prices'!E732-1</f>
        <v>-4.1753653444664973E-4</v>
      </c>
      <c r="F732" s="6">
        <f>'Adj Close Prices'!F733/'Adj Close Prices'!F732-1</f>
        <v>-1.9833399444679767E-4</v>
      </c>
      <c r="G732" s="6">
        <f>'Adj Close Prices'!G733/'Adj Close Prices'!G732-1</f>
        <v>-3.9922620156584987E-4</v>
      </c>
    </row>
    <row r="733" spans="1:7" x14ac:dyDescent="0.45">
      <c r="A733" s="2">
        <f>'Adj Close Prices'!A734</f>
        <v>46142</v>
      </c>
      <c r="B733" s="6">
        <f>'Adj Close Prices'!B734/'Adj Close Prices'!B733-1</f>
        <v>1.0043503196295989E-2</v>
      </c>
      <c r="C733" s="6">
        <f>'Adj Close Prices'!C734/'Adj Close Prices'!C733-1</f>
        <v>2.6245313336904053E-2</v>
      </c>
      <c r="D733" s="6">
        <f>'Adj Close Prices'!D734/'Adj Close Prices'!D733-1</f>
        <v>3.4846884899683239E-2</v>
      </c>
      <c r="E733" s="6">
        <f>'Adj Close Prices'!E734/'Adj Close Prices'!E733-1</f>
        <v>3.5923141186299024E-2</v>
      </c>
      <c r="F733" s="6">
        <f>'Adj Close Prices'!F734/'Adj Close Prices'!F733-1</f>
        <v>1.9837333862349205E-4</v>
      </c>
      <c r="G733" s="6">
        <f>'Adj Close Prices'!G734/'Adj Close Prices'!G733-1</f>
        <v>1.0238286089047532E-2</v>
      </c>
    </row>
    <row r="734" spans="1:7" x14ac:dyDescent="0.45">
      <c r="A734" s="2">
        <f>'Adj Close Prices'!A735</f>
        <v>46143</v>
      </c>
      <c r="B734" s="6">
        <f>'Adj Close Prices'!B735/'Adj Close Prices'!B734-1</f>
        <v>2.6867201240876604E-3</v>
      </c>
      <c r="C734" s="6">
        <f>'Adj Close Prices'!C735/'Adj Close Prices'!C734-1</f>
        <v>4.6972860125260585E-3</v>
      </c>
      <c r="D734" s="6">
        <f>'Adj Close Prices'!D735/'Adj Close Prices'!D734-1</f>
        <v>2.5510204081631294E-3</v>
      </c>
      <c r="E734" s="6">
        <f>'Adj Close Prices'!E735/'Adj Close Prices'!E734-1</f>
        <v>5.6451612903225534E-3</v>
      </c>
      <c r="F734" s="6">
        <f>'Adj Close Prices'!F735/'Adj Close Prices'!F734-1</f>
        <v>5.9500198334005994E-4</v>
      </c>
      <c r="G734" s="6">
        <f>'Adj Close Prices'!G735/'Adj Close Prices'!G734-1</f>
        <v>2.9255016631941633E-3</v>
      </c>
    </row>
    <row r="735" spans="1:7" x14ac:dyDescent="0.45">
      <c r="A735" s="2">
        <f>'Adj Close Prices'!A736</f>
        <v>46146</v>
      </c>
      <c r="B735" s="6">
        <f>'Adj Close Prices'!B736/'Adj Close Prices'!B735-1</f>
        <v>-3.618734547865321E-3</v>
      </c>
      <c r="C735" s="6">
        <f>'Adj Close Prices'!C736/'Adj Close Prices'!C735-1</f>
        <v>-3.6363636363636598E-3</v>
      </c>
      <c r="D735" s="6">
        <f>'Adj Close Prices'!D736/'Adj Close Prices'!D735-1</f>
        <v>5.5979643765904363E-3</v>
      </c>
      <c r="E735" s="6">
        <f>'Adj Close Prices'!E736/'Adj Close Prices'!E735-1</f>
        <v>-8.8211708099439345E-3</v>
      </c>
      <c r="F735" s="6">
        <f>'Adj Close Prices'!F736/'Adj Close Prices'!F735-1</f>
        <v>-3.9643211100104381E-4</v>
      </c>
      <c r="G735" s="6">
        <f>'Adj Close Prices'!G736/'Adj Close Prices'!G735-1</f>
        <v>-4.0594126507065287E-3</v>
      </c>
    </row>
    <row r="736" spans="1:7" x14ac:dyDescent="0.45">
      <c r="A736" s="2">
        <f>'Adj Close Prices'!A737</f>
        <v>46147</v>
      </c>
      <c r="B736" s="6">
        <f>'Adj Close Prices'!B737/'Adj Close Prices'!B736-1</f>
        <v>7.748929150667605E-3</v>
      </c>
      <c r="C736" s="6">
        <f>'Adj Close Prices'!C737/'Adj Close Prices'!C736-1</f>
        <v>8.8633993743483241E-3</v>
      </c>
      <c r="D736" s="6">
        <f>'Adj Close Prices'!D737/'Adj Close Prices'!D736-1</f>
        <v>-8.0971659919027994E-3</v>
      </c>
      <c r="E736" s="6">
        <f>'Adj Close Prices'!E737/'Adj Close Prices'!E736-1</f>
        <v>8.8996763754045638E-3</v>
      </c>
      <c r="F736" s="6">
        <f>'Adj Close Prices'!F737/'Adj Close Prices'!F736-1</f>
        <v>5.9488399762042121E-4</v>
      </c>
      <c r="G736" s="6">
        <f>'Adj Close Prices'!G737/'Adj Close Prices'!G736-1</f>
        <v>8.1171987401329471E-3</v>
      </c>
    </row>
    <row r="737" spans="1:7" x14ac:dyDescent="0.45">
      <c r="A737" s="2">
        <f>'Adj Close Prices'!A738</f>
        <v>46148</v>
      </c>
      <c r="B737" s="6">
        <f>'Adj Close Prices'!B738/'Adj Close Prices'!B737-1</f>
        <v>1.4347024677432652E-2</v>
      </c>
      <c r="C737" s="6">
        <f>'Adj Close Prices'!C738/'Adj Close Prices'!C737-1</f>
        <v>-9.819121447028456E-3</v>
      </c>
      <c r="D737" s="6">
        <f>'Adj Close Prices'!D738/'Adj Close Prices'!D737-1</f>
        <v>-8.6224489795918458E-2</v>
      </c>
      <c r="E737" s="6">
        <f>'Adj Close Prices'!E738/'Adj Close Prices'!E737-1</f>
        <v>-1.5637530072173278E-2</v>
      </c>
      <c r="F737" s="6">
        <f>'Adj Close Prices'!F738/'Adj Close Prices'!F737-1</f>
        <v>3.9635354736411443E-4</v>
      </c>
      <c r="G737" s="6">
        <f>'Adj Close Prices'!G738/'Adj Close Prices'!G737-1</f>
        <v>1.4588364298594447E-2</v>
      </c>
    </row>
    <row r="738" spans="1:7" x14ac:dyDescent="0.45">
      <c r="A738" s="2">
        <f>'Adj Close Prices'!A739</f>
        <v>46149</v>
      </c>
      <c r="B738" s="6">
        <f>'Adj Close Prices'!B739/'Adj Close Prices'!B738-1</f>
        <v>-3.3224393485306036E-3</v>
      </c>
      <c r="C738" s="6">
        <f>'Adj Close Prices'!C739/'Adj Close Prices'!C738-1</f>
        <v>-1.0438413361169019E-2</v>
      </c>
      <c r="D738" s="6">
        <f>'Adj Close Prices'!D739/'Adj Close Prices'!D738-1</f>
        <v>-1.116694584031297E-3</v>
      </c>
      <c r="E738" s="6">
        <f>'Adj Close Prices'!E739/'Adj Close Prices'!E738-1</f>
        <v>-7.7393075356415597E-3</v>
      </c>
      <c r="F738" s="6">
        <f>'Adj Close Prices'!F739/'Adj Close Prices'!F738-1</f>
        <v>1.980982567353351E-4</v>
      </c>
      <c r="G738" s="6">
        <f>'Adj Close Prices'!G739/'Adj Close Prices'!G738-1</f>
        <v>-3.803066077763817E-3</v>
      </c>
    </row>
    <row r="739" spans="1:7" x14ac:dyDescent="0.45">
      <c r="A739" s="2">
        <f>'Adj Close Prices'!A740</f>
        <v>46150</v>
      </c>
      <c r="B739" s="6">
        <f>'Adj Close Prices'!B740/'Adj Close Prices'!B739-1</f>
        <v>8.1773157722868639E-3</v>
      </c>
      <c r="C739" s="6">
        <f>'Adj Close Prices'!C740/'Adj Close Prices'!C739-1</f>
        <v>2.6371308016877038E-3</v>
      </c>
      <c r="D739" s="6">
        <f>'Adj Close Prices'!D740/'Adj Close Prices'!D739-1</f>
        <v>2.7948574622693734E-3</v>
      </c>
      <c r="E739" s="6">
        <f>'Adj Close Prices'!E740/'Adj Close Prices'!E739-1</f>
        <v>-7.3891625615762901E-3</v>
      </c>
      <c r="F739" s="6">
        <f>'Adj Close Prices'!F740/'Adj Close Prices'!F739-1</f>
        <v>1.9805902158842592E-4</v>
      </c>
      <c r="G739" s="6">
        <f>'Adj Close Prices'!G740/'Adj Close Prices'!G739-1</f>
        <v>8.425672268334905E-3</v>
      </c>
    </row>
    <row r="740" spans="1:7" x14ac:dyDescent="0.45">
      <c r="A740" s="2">
        <f>'Adj Close Prices'!A741</f>
        <v>46153</v>
      </c>
      <c r="B740" s="6">
        <f>'Adj Close Prices'!B741/'Adj Close Prices'!B740-1</f>
        <v>2.4022565016126318E-3</v>
      </c>
      <c r="C740" s="6">
        <f>'Adj Close Prices'!C741/'Adj Close Prices'!C740-1</f>
        <v>-1.7359284587059487E-2</v>
      </c>
      <c r="D740" s="6">
        <f>'Adj Close Prices'!D741/'Adj Close Prices'!D740-1</f>
        <v>-3.0100334448160737E-2</v>
      </c>
      <c r="E740" s="6">
        <f>'Adj Close Prices'!E741/'Adj Close Prices'!E740-1</f>
        <v>-2.3159636062861866E-2</v>
      </c>
      <c r="F740" s="6">
        <f>'Adj Close Prices'!F741/'Adj Close Prices'!F740-1</f>
        <v>0</v>
      </c>
      <c r="G740" s="6">
        <f>'Adj Close Prices'!G741/'Adj Close Prices'!G740-1</f>
        <v>1.8827072059166561E-3</v>
      </c>
    </row>
    <row r="741" spans="1:7" x14ac:dyDescent="0.45">
      <c r="A741" s="2">
        <f>'Adj Close Prices'!A742</f>
        <v>46154</v>
      </c>
      <c r="B741" s="6">
        <f>'Adj Close Prices'!B742/'Adj Close Prices'!B741-1</f>
        <v>-1.5348367553011943E-3</v>
      </c>
      <c r="C741" s="6">
        <f>'Adj Close Prices'!C742/'Adj Close Prices'!C741-1</f>
        <v>4.8179871520341866E-3</v>
      </c>
      <c r="D741" s="6">
        <f>'Adj Close Prices'!D742/'Adj Close Prices'!D741-1</f>
        <v>1.3218390804597746E-2</v>
      </c>
      <c r="E741" s="6">
        <f>'Adj Close Prices'!E742/'Adj Close Prices'!E741-1</f>
        <v>6.3505503810330488E-3</v>
      </c>
      <c r="F741" s="6">
        <f>'Adj Close Prices'!F742/'Adj Close Prices'!F741-1</f>
        <v>0</v>
      </c>
      <c r="G741" s="6">
        <f>'Adj Close Prices'!G742/'Adj Close Prices'!G741-1</f>
        <v>-1.6026224731379157E-3</v>
      </c>
    </row>
    <row r="742" spans="1:7" x14ac:dyDescent="0.45">
      <c r="A742" s="2">
        <f>'Adj Close Prices'!A743</f>
        <v>46155</v>
      </c>
      <c r="B742" s="6">
        <f>'Adj Close Prices'!B743/'Adj Close Prices'!B742-1</f>
        <v>5.5689648197840835E-3</v>
      </c>
      <c r="C742" s="6">
        <f>'Adj Close Prices'!C743/'Adj Close Prices'!C742-1</f>
        <v>5.3276505061283785E-4</v>
      </c>
      <c r="D742" s="6">
        <f>'Adj Close Prices'!D743/'Adj Close Prices'!D742-1</f>
        <v>-1.5882019285308968E-2</v>
      </c>
      <c r="E742" s="6">
        <f>'Adj Close Prices'!E743/'Adj Close Prices'!E742-1</f>
        <v>-1.6827934371055342E-3</v>
      </c>
      <c r="F742" s="6">
        <f>'Adj Close Prices'!F743/'Adj Close Prices'!F742-1</f>
        <v>3.9603960396039639E-4</v>
      </c>
      <c r="G742" s="6">
        <f>'Adj Close Prices'!G743/'Adj Close Prices'!G742-1</f>
        <v>5.8492332761785892E-3</v>
      </c>
    </row>
    <row r="743" spans="1:7" x14ac:dyDescent="0.45">
      <c r="A743" s="2">
        <f>'Adj Close Prices'!A744</f>
        <v>46156</v>
      </c>
      <c r="B743" s="6">
        <f>'Adj Close Prices'!B744/'Adj Close Prices'!B743-1</f>
        <v>7.8043285863704792E-3</v>
      </c>
      <c r="C743" s="6">
        <f>'Adj Close Prices'!C744/'Adj Close Prices'!C743-1</f>
        <v>8.5197018104365974E-3</v>
      </c>
      <c r="D743" s="6">
        <f>'Adj Close Prices'!D744/'Adj Close Prices'!D743-1</f>
        <v>3.2276657060518632E-2</v>
      </c>
      <c r="E743" s="6">
        <f>'Adj Close Prices'!E744/'Adj Close Prices'!E743-1</f>
        <v>1.6013485040033748E-2</v>
      </c>
      <c r="F743" s="6">
        <f>'Adj Close Prices'!F744/'Adj Close Prices'!F743-1</f>
        <v>-1.979414093429277E-4</v>
      </c>
      <c r="G743" s="6">
        <f>'Adj Close Prices'!G744/'Adj Close Prices'!G743-1</f>
        <v>7.655562809466554E-3</v>
      </c>
    </row>
    <row r="744" spans="1:7" x14ac:dyDescent="0.45">
      <c r="A744" s="2">
        <f>'Adj Close Prices'!A745</f>
        <v>46157</v>
      </c>
      <c r="B744" s="6">
        <f>'Adj Close Prices'!B745/'Adj Close Prices'!B744-1</f>
        <v>-1.2121454042258617E-2</v>
      </c>
      <c r="C744" s="6">
        <f>'Adj Close Prices'!C745/'Adj Close Prices'!C744-1</f>
        <v>-2.1119324181627652E-3</v>
      </c>
      <c r="D744" s="6">
        <f>'Adj Close Prices'!D745/'Adj Close Prices'!D744-1</f>
        <v>-1.005025125628134E-2</v>
      </c>
      <c r="E744" s="6">
        <f>'Adj Close Prices'!E745/'Adj Close Prices'!E744-1</f>
        <v>-3.7328909166320923E-3</v>
      </c>
      <c r="F744" s="6">
        <f>'Adj Close Prices'!F745/'Adj Close Prices'!F744-1</f>
        <v>-1.9798059790132605E-4</v>
      </c>
      <c r="G744" s="6">
        <f>'Adj Close Prices'!G745/'Adj Close Prices'!G744-1</f>
        <v>-1.2365939010165028E-2</v>
      </c>
    </row>
    <row r="745" spans="1:7" x14ac:dyDescent="0.45">
      <c r="A745" s="2">
        <f>'Adj Close Prices'!A746</f>
        <v>46160</v>
      </c>
      <c r="B745" s="6">
        <f>'Adj Close Prices'!B746/'Adj Close Prices'!B745-1</f>
        <v>-7.2732170516542904E-4</v>
      </c>
      <c r="C745" s="6">
        <f>'Adj Close Prices'!C746/'Adj Close Prices'!C745-1</f>
        <v>-9.52380952380949E-3</v>
      </c>
      <c r="D745" s="6">
        <f>'Adj Close Prices'!D746/'Adj Close Prices'!D745-1</f>
        <v>3.9481105470953182E-3</v>
      </c>
      <c r="E745" s="6">
        <f>'Adj Close Prices'!E746/'Adj Close Prices'!E745-1</f>
        <v>-1.4571190674437906E-2</v>
      </c>
      <c r="F745" s="6">
        <f>'Adj Close Prices'!F746/'Adj Close Prices'!F745-1</f>
        <v>0</v>
      </c>
      <c r="G745" s="6">
        <f>'Adj Close Prices'!G746/'Adj Close Prices'!G745-1</f>
        <v>-7.3564248585067382E-4</v>
      </c>
    </row>
    <row r="746" spans="1:7" x14ac:dyDescent="0.45">
      <c r="A746" s="2">
        <f>'Adj Close Prices'!A747</f>
        <v>46161</v>
      </c>
      <c r="B746" s="6">
        <f>'Adj Close Prices'!B747/'Adj Close Prices'!B746-1</f>
        <v>-6.3619576498495922E-3</v>
      </c>
      <c r="C746" s="6">
        <f>'Adj Close Prices'!C747/'Adj Close Prices'!C746-1</f>
        <v>-8.0128205128204844E-3</v>
      </c>
      <c r="D746" s="6">
        <f>'Adj Close Prices'!D747/'Adj Close Prices'!D746-1</f>
        <v>-1.2359550561797938E-2</v>
      </c>
      <c r="E746" s="6">
        <f>'Adj Close Prices'!E747/'Adj Close Prices'!E746-1</f>
        <v>-5.9146599070554196E-3</v>
      </c>
      <c r="F746" s="6">
        <f>'Adj Close Prices'!F747/'Adj Close Prices'!F746-1</f>
        <v>-1.980198019801982E-4</v>
      </c>
      <c r="G746" s="6">
        <f>'Adj Close Prices'!G747/'Adj Close Prices'!G746-1</f>
        <v>-6.6756359549590139E-3</v>
      </c>
    </row>
    <row r="747" spans="1:7" x14ac:dyDescent="0.45">
      <c r="A747" s="2">
        <f>'Adj Close Prices'!A748</f>
        <v>46162</v>
      </c>
      <c r="B747" s="6">
        <f>'Adj Close Prices'!B748/'Adj Close Prices'!B747-1</f>
        <v>1.0309418196122966E-2</v>
      </c>
      <c r="C747" s="6">
        <f>'Adj Close Prices'!C748/'Adj Close Prices'!C747-1</f>
        <v>7.0005385029616729E-3</v>
      </c>
      <c r="D747" s="6">
        <f>'Adj Close Prices'!D748/'Adj Close Prices'!D747-1</f>
        <v>-7.9635949943115403E-3</v>
      </c>
      <c r="E747" s="6">
        <f>'Adj Close Prices'!E748/'Adj Close Prices'!E747-1</f>
        <v>8.0747981300466343E-3</v>
      </c>
      <c r="F747" s="6">
        <f>'Adj Close Prices'!F748/'Adj Close Prices'!F747-1</f>
        <v>7.9223608635370368E-4</v>
      </c>
      <c r="G747" s="6">
        <f>'Adj Close Prices'!G748/'Adj Close Prices'!G747-1</f>
        <v>1.0789243936999648E-2</v>
      </c>
    </row>
    <row r="748" spans="1:7" x14ac:dyDescent="0.45">
      <c r="A748" s="2">
        <f>'Adj Close Prices'!A749</f>
        <v>46163</v>
      </c>
      <c r="B748" s="6">
        <f>'Adj Close Prices'!B749/'Adj Close Prices'!B748-1</f>
        <v>1.8662978826247123E-3</v>
      </c>
      <c r="C748" s="6">
        <f>'Adj Close Prices'!C749/'Adj Close Prices'!C748-1</f>
        <v>2.1390374331551332E-3</v>
      </c>
      <c r="D748" s="6">
        <f>'Adj Close Prices'!D749/'Adj Close Prices'!D748-1</f>
        <v>-4.5871559633028358E-3</v>
      </c>
      <c r="E748" s="6">
        <f>'Adj Close Prices'!E749/'Adj Close Prices'!E748-1</f>
        <v>-7.1669477234400647E-3</v>
      </c>
      <c r="F748" s="6">
        <f>'Adj Close Prices'!F749/'Adj Close Prices'!F748-1</f>
        <v>1.9790223629523318E-4</v>
      </c>
      <c r="G748" s="6">
        <f>'Adj Close Prices'!G749/'Adj Close Prices'!G748-1</f>
        <v>1.7180235061131643E-3</v>
      </c>
    </row>
    <row r="749" spans="1:7" x14ac:dyDescent="0.45">
      <c r="A749" s="2">
        <f>'Adj Close Prices'!A750</f>
        <v>46164</v>
      </c>
      <c r="B749" s="6">
        <f>'Adj Close Prices'!B750/'Adj Close Prices'!B749-1</f>
        <v>3.966871264306171E-3</v>
      </c>
      <c r="C749" s="6">
        <f>'Adj Close Prices'!C750/'Adj Close Prices'!C749-1</f>
        <v>-8.0042689434364211E-3</v>
      </c>
      <c r="D749" s="6">
        <f>'Adj Close Prices'!D750/'Adj Close Prices'!D749-1</f>
        <v>-1.1520737327188946E-2</v>
      </c>
      <c r="E749" s="6">
        <f>'Adj Close Prices'!E750/'Adj Close Prices'!E749-1</f>
        <v>-9.3418259023355654E-3</v>
      </c>
      <c r="F749" s="6">
        <f>'Adj Close Prices'!F750/'Adj Close Prices'!F749-1</f>
        <v>-1.9786307874947173E-4</v>
      </c>
      <c r="G749" s="6">
        <f>'Adj Close Prices'!G750/'Adj Close Prices'!G749-1</f>
        <v>3.7269683429295153E-3</v>
      </c>
    </row>
    <row r="750" spans="1:7" x14ac:dyDescent="0.45">
      <c r="A750" s="2">
        <f>'Adj Close Prices'!A751</f>
        <v>46168</v>
      </c>
      <c r="B750" s="6">
        <f>'Adj Close Prices'!B751/'Adj Close Prices'!B750-1</f>
        <v>6.5274848492937743E-3</v>
      </c>
      <c r="C750" s="6">
        <f>'Adj Close Prices'!C751/'Adj Close Prices'!C750-1</f>
        <v>1.2372243141473893E-2</v>
      </c>
      <c r="D750" s="6">
        <f>'Adj Close Prices'!D751/'Adj Close Prices'!D750-1</f>
        <v>2.9137529137530649E-3</v>
      </c>
      <c r="E750" s="6">
        <f>'Adj Close Prices'!E751/'Adj Close Prices'!E750-1</f>
        <v>1.5002143163309167E-2</v>
      </c>
      <c r="F750" s="6">
        <f>'Adj Close Prices'!F751/'Adj Close Prices'!F750-1</f>
        <v>5.9370670888592159E-4</v>
      </c>
      <c r="G750" s="6">
        <f>'Adj Close Prices'!G751/'Adj Close Prices'!G750-1</f>
        <v>6.1055893639911929E-3</v>
      </c>
    </row>
    <row r="751" spans="1:7" x14ac:dyDescent="0.45">
      <c r="A751" s="2">
        <f>'Adj Close Prices'!A752</f>
        <v>46169</v>
      </c>
      <c r="B751" s="6">
        <f>'Adj Close Prices'!B752/'Adj Close Prices'!B751-1</f>
        <v>1.8566900521199692E-4</v>
      </c>
      <c r="C751" s="6">
        <f>'Adj Close Prices'!C752/'Adj Close Prices'!C751-1</f>
        <v>2.1253985122209329E-3</v>
      </c>
      <c r="D751" s="6">
        <f>'Adj Close Prices'!D752/'Adj Close Prices'!D751-1</f>
        <v>2.9052876234747504E-3</v>
      </c>
      <c r="E751" s="6">
        <f>'Adj Close Prices'!E752/'Adj Close Prices'!E751-1</f>
        <v>-2.1114864864865135E-3</v>
      </c>
      <c r="F751" s="6">
        <f>'Adj Close Prices'!F752/'Adj Close Prices'!F751-1</f>
        <v>3.9556962025311115E-4</v>
      </c>
      <c r="G751" s="6">
        <f>'Adj Close Prices'!G752/'Adj Close Prices'!G751-1</f>
        <v>1.6757302393499707E-4</v>
      </c>
    </row>
    <row r="752" spans="1:7" x14ac:dyDescent="0.45">
      <c r="A752" s="2">
        <f>'Adj Close Prices'!A753</f>
        <v>46170</v>
      </c>
      <c r="B752" s="6">
        <f>'Adj Close Prices'!B753/'Adj Close Prices'!B752-1</f>
        <v>5.3038439609107702E-3</v>
      </c>
      <c r="C752" s="6">
        <f>'Adj Close Prices'!C753/'Adj Close Prices'!C752-1</f>
        <v>-2.6511134676564518E-3</v>
      </c>
      <c r="D752" s="6">
        <f>'Adj Close Prices'!D753/'Adj Close Prices'!D752-1</f>
        <v>5.2143684820393776E-3</v>
      </c>
      <c r="E752" s="6">
        <f>'Adj Close Prices'!E753/'Adj Close Prices'!E752-1</f>
        <v>-4.2319085907743803E-3</v>
      </c>
      <c r="F752" s="6">
        <f>'Adj Close Prices'!F753/'Adj Close Prices'!F752-1</f>
        <v>0</v>
      </c>
      <c r="G752" s="6">
        <f>'Adj Close Prices'!G753/'Adj Close Prices'!G752-1</f>
        <v>5.7510468234940326E-3</v>
      </c>
    </row>
    <row r="753" spans="1:7" x14ac:dyDescent="0.45">
      <c r="A753" s="2">
        <f>'Adj Close Prices'!A754</f>
        <v>46171</v>
      </c>
      <c r="B753" s="6">
        <f>'Adj Close Prices'!B754/'Adj Close Prices'!B753-1</f>
        <v>2.4796549586503236E-3</v>
      </c>
      <c r="C753" s="6">
        <f>'Adj Close Prices'!C754/'Adj Close Prices'!C753-1</f>
        <v>9.5693779904306719E-3</v>
      </c>
      <c r="D753" s="6">
        <f>'Adj Close Prices'!D754/'Adj Close Prices'!D753-1</f>
        <v>-6.91642651296831E-3</v>
      </c>
      <c r="E753" s="6">
        <f>'Adj Close Prices'!E754/'Adj Close Prices'!E753-1</f>
        <v>8.4997875053123284E-3</v>
      </c>
      <c r="F753" s="6">
        <f>'Adj Close Prices'!F754/'Adj Close Prices'!F753-1</f>
        <v>7.9082641360228578E-4</v>
      </c>
      <c r="G753" s="6">
        <f>'Adj Close Prices'!G754/'Adj Close Prices'!G753-1</f>
        <v>2.1722402764814408E-3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90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8" customWidth="1"/>
    <col min="2" max="2" width="18" customWidth="1"/>
    <col min="3" max="3" width="16" customWidth="1"/>
  </cols>
  <sheetData>
    <row r="1" spans="1:3" ht="18" x14ac:dyDescent="0.45">
      <c r="A1" s="10" t="s">
        <v>28</v>
      </c>
    </row>
    <row r="2" spans="1:3" x14ac:dyDescent="0.45">
      <c r="A2" s="11" t="s">
        <v>29</v>
      </c>
    </row>
    <row r="4" spans="1:3" x14ac:dyDescent="0.45">
      <c r="A4" s="4" t="s">
        <v>30</v>
      </c>
      <c r="B4" s="4"/>
    </row>
    <row r="5" spans="1:3" x14ac:dyDescent="0.45">
      <c r="A5" s="1" t="s">
        <v>31</v>
      </c>
      <c r="B5" s="1" t="s">
        <v>32</v>
      </c>
    </row>
    <row r="6" spans="1:3" x14ac:dyDescent="0.45">
      <c r="A6" s="12" t="s">
        <v>1</v>
      </c>
      <c r="B6" s="6">
        <v>0.33</v>
      </c>
    </row>
    <row r="7" spans="1:3" x14ac:dyDescent="0.45">
      <c r="A7" s="12" t="s">
        <v>2</v>
      </c>
      <c r="B7" s="6">
        <v>0.127</v>
      </c>
    </row>
    <row r="8" spans="1:3" x14ac:dyDescent="0.45">
      <c r="A8" s="12" t="s">
        <v>3</v>
      </c>
      <c r="B8" s="6">
        <v>0.12</v>
      </c>
    </row>
    <row r="9" spans="1:3" x14ac:dyDescent="0.45">
      <c r="A9" s="12" t="s">
        <v>4</v>
      </c>
      <c r="B9" s="6">
        <v>8.5999999999999993E-2</v>
      </c>
    </row>
    <row r="10" spans="1:3" x14ac:dyDescent="0.45">
      <c r="A10" s="12" t="s">
        <v>5</v>
      </c>
      <c r="B10" s="6">
        <v>0.33700000000000002</v>
      </c>
    </row>
    <row r="12" spans="1:3" x14ac:dyDescent="0.45">
      <c r="A12" s="4" t="s">
        <v>33</v>
      </c>
      <c r="B12" s="4"/>
      <c r="C12" s="4"/>
    </row>
    <row r="13" spans="1:3" x14ac:dyDescent="0.45">
      <c r="A13" s="1" t="s">
        <v>0</v>
      </c>
      <c r="B13" s="1" t="s">
        <v>34</v>
      </c>
      <c r="C13" s="1" t="s">
        <v>35</v>
      </c>
    </row>
    <row r="14" spans="1:3" x14ac:dyDescent="0.45">
      <c r="A14" s="2">
        <f>'Daily Returns'!A2</f>
        <v>45077</v>
      </c>
      <c r="B14" s="6">
        <f>0.33*'Daily Returns'!B2+0.127*'Daily Returns'!C2+0.12*'Daily Returns'!D2+0.086*'Daily Returns'!E2+0.337*'Daily Returns'!F2</f>
        <v>-3.2170547597192884E-3</v>
      </c>
      <c r="C14" s="13">
        <f>1+B14</f>
        <v>0.99678294524028066</v>
      </c>
    </row>
    <row r="15" spans="1:3" x14ac:dyDescent="0.45">
      <c r="A15" s="2">
        <f>'Daily Returns'!A3</f>
        <v>45078</v>
      </c>
      <c r="B15" s="6">
        <f>0.33*'Daily Returns'!B3+0.127*'Daily Returns'!C3+0.12*'Daily Returns'!D3+0.086*'Daily Returns'!E3+0.337*'Daily Returns'!F3</f>
        <v>8.5772459682341932E-3</v>
      </c>
      <c r="C15" s="13">
        <f t="shared" ref="C15:C78" si="0">C14*(1+B15)</f>
        <v>1.0053325977385474</v>
      </c>
    </row>
    <row r="16" spans="1:3" x14ac:dyDescent="0.45">
      <c r="A16" s="2">
        <f>'Daily Returns'!A4</f>
        <v>45079</v>
      </c>
      <c r="B16" s="6">
        <f>0.33*'Daily Returns'!B4+0.127*'Daily Returns'!C4+0.12*'Daily Returns'!D4+0.086*'Daily Returns'!E4+0.337*'Daily Returns'!F4</f>
        <v>5.9982376445826685E-3</v>
      </c>
      <c r="C16" s="13">
        <f t="shared" si="0"/>
        <v>1.0113628215716288</v>
      </c>
    </row>
    <row r="17" spans="1:3" x14ac:dyDescent="0.45">
      <c r="A17" s="2">
        <f>'Daily Returns'!A5</f>
        <v>45082</v>
      </c>
      <c r="B17" s="6">
        <f>0.33*'Daily Returns'!B5+0.127*'Daily Returns'!C5+0.12*'Daily Returns'!D5+0.086*'Daily Returns'!E5+0.337*'Daily Returns'!F5</f>
        <v>1.0410045825042572E-3</v>
      </c>
      <c r="C17" s="13">
        <f t="shared" si="0"/>
        <v>1.0124156549034593</v>
      </c>
    </row>
    <row r="18" spans="1:3" x14ac:dyDescent="0.45">
      <c r="A18" s="2">
        <f>'Daily Returns'!A6</f>
        <v>45083</v>
      </c>
      <c r="B18" s="6">
        <f>0.33*'Daily Returns'!B6+0.127*'Daily Returns'!C6+0.12*'Daily Returns'!D6+0.086*'Daily Returns'!E6+0.337*'Daily Returns'!F6</f>
        <v>3.5843511373924496E-4</v>
      </c>
      <c r="C18" s="13">
        <f t="shared" si="0"/>
        <v>1.012778540223876</v>
      </c>
    </row>
    <row r="19" spans="1:3" x14ac:dyDescent="0.45">
      <c r="A19" s="2">
        <f>'Daily Returns'!A7</f>
        <v>45084</v>
      </c>
      <c r="B19" s="6">
        <f>0.33*'Daily Returns'!B7+0.127*'Daily Returns'!C7+0.12*'Daily Returns'!D7+0.086*'Daily Returns'!E7+0.337*'Daily Returns'!F7</f>
        <v>-2.664608451543779E-4</v>
      </c>
      <c r="C19" s="13">
        <f t="shared" si="0"/>
        <v>1.0125086743980938</v>
      </c>
    </row>
    <row r="20" spans="1:3" x14ac:dyDescent="0.45">
      <c r="A20" s="2">
        <f>'Daily Returns'!A8</f>
        <v>45085</v>
      </c>
      <c r="B20" s="6">
        <f>0.33*'Daily Returns'!B8+0.127*'Daily Returns'!C8+0.12*'Daily Returns'!D8+0.086*'Daily Returns'!E8+0.337*'Daily Returns'!F8</f>
        <v>2.1824577617757649E-3</v>
      </c>
      <c r="C20" s="13">
        <f t="shared" si="0"/>
        <v>1.014718431813399</v>
      </c>
    </row>
    <row r="21" spans="1:3" x14ac:dyDescent="0.45">
      <c r="A21" s="2">
        <f>'Daily Returns'!A9</f>
        <v>45086</v>
      </c>
      <c r="B21" s="6">
        <f>0.33*'Daily Returns'!B9+0.127*'Daily Returns'!C9+0.12*'Daily Returns'!D9+0.086*'Daily Returns'!E9+0.337*'Daily Returns'!F9</f>
        <v>7.0000806266883151E-4</v>
      </c>
      <c r="C21" s="13">
        <f t="shared" si="0"/>
        <v>1.0154287428970072</v>
      </c>
    </row>
    <row r="22" spans="1:3" x14ac:dyDescent="0.45">
      <c r="A22" s="2">
        <f>'Daily Returns'!A10</f>
        <v>45089</v>
      </c>
      <c r="B22" s="6">
        <f>0.33*'Daily Returns'!B10+0.127*'Daily Returns'!C10+0.12*'Daily Returns'!D10+0.086*'Daily Returns'!E10+0.337*'Daily Returns'!F10</f>
        <v>3.9844172848132941E-3</v>
      </c>
      <c r="C22" s="13">
        <f t="shared" si="0"/>
        <v>1.0194746347317023</v>
      </c>
    </row>
    <row r="23" spans="1:3" x14ac:dyDescent="0.45">
      <c r="A23" s="2">
        <f>'Daily Returns'!A11</f>
        <v>45090</v>
      </c>
      <c r="B23" s="6">
        <f>0.33*'Daily Returns'!B11+0.127*'Daily Returns'!C11+0.12*'Daily Returns'!D11+0.086*'Daily Returns'!E11+0.337*'Daily Returns'!F11</f>
        <v>3.4018624169632589E-3</v>
      </c>
      <c r="C23" s="13">
        <f t="shared" si="0"/>
        <v>1.0229427471766432</v>
      </c>
    </row>
    <row r="24" spans="1:3" x14ac:dyDescent="0.45">
      <c r="A24" s="2">
        <f>'Daily Returns'!A12</f>
        <v>45091</v>
      </c>
      <c r="B24" s="6">
        <f>0.33*'Daily Returns'!B12+0.127*'Daily Returns'!C12+0.12*'Daily Returns'!D12+0.086*'Daily Returns'!E12+0.337*'Daily Returns'!F12</f>
        <v>-1.518195802928236E-3</v>
      </c>
      <c r="C24" s="13">
        <f t="shared" si="0"/>
        <v>1.0213897197912438</v>
      </c>
    </row>
    <row r="25" spans="1:3" x14ac:dyDescent="0.45">
      <c r="A25" s="2">
        <f>'Daily Returns'!A13</f>
        <v>45092</v>
      </c>
      <c r="B25" s="6">
        <f>0.33*'Daily Returns'!B13+0.127*'Daily Returns'!C13+0.12*'Daily Returns'!D13+0.086*'Daily Returns'!E13+0.337*'Daily Returns'!F13</f>
        <v>4.7643274064658025E-3</v>
      </c>
      <c r="C25" s="13">
        <f t="shared" si="0"/>
        <v>1.0262559548259276</v>
      </c>
    </row>
    <row r="26" spans="1:3" x14ac:dyDescent="0.45">
      <c r="A26" s="2">
        <f>'Daily Returns'!A14</f>
        <v>45093</v>
      </c>
      <c r="B26" s="6">
        <f>0.33*'Daily Returns'!B14+0.127*'Daily Returns'!C14+0.12*'Daily Returns'!D14+0.086*'Daily Returns'!E14+0.337*'Daily Returns'!F14</f>
        <v>-5.9396571551169558E-4</v>
      </c>
      <c r="C26" s="13">
        <f t="shared" si="0"/>
        <v>1.0256463939734213</v>
      </c>
    </row>
    <row r="27" spans="1:3" x14ac:dyDescent="0.45">
      <c r="A27" s="2">
        <f>'Daily Returns'!A15</f>
        <v>45097</v>
      </c>
      <c r="B27" s="6">
        <f>0.33*'Daily Returns'!B15+0.127*'Daily Returns'!C15+0.12*'Daily Returns'!D15+0.086*'Daily Returns'!E15+0.337*'Daily Returns'!F15</f>
        <v>-1.5586231032612915E-3</v>
      </c>
      <c r="C27" s="13">
        <f t="shared" si="0"/>
        <v>1.0240477978079976</v>
      </c>
    </row>
    <row r="28" spans="1:3" x14ac:dyDescent="0.45">
      <c r="A28" s="2">
        <f>'Daily Returns'!A16</f>
        <v>45098</v>
      </c>
      <c r="B28" s="6">
        <f>0.33*'Daily Returns'!B16+0.127*'Daily Returns'!C16+0.12*'Daily Returns'!D16+0.086*'Daily Returns'!E16+0.337*'Daily Returns'!F16</f>
        <v>9.1247598072103937E-4</v>
      </c>
      <c r="C28" s="13">
        <f t="shared" si="0"/>
        <v>1.0249822168266076</v>
      </c>
    </row>
    <row r="29" spans="1:3" x14ac:dyDescent="0.45">
      <c r="A29" s="2">
        <f>'Daily Returns'!A17</f>
        <v>45099</v>
      </c>
      <c r="B29" s="6">
        <f>0.33*'Daily Returns'!B17+0.127*'Daily Returns'!C17+0.12*'Daily Returns'!D17+0.086*'Daily Returns'!E17+0.337*'Daily Returns'!F17</f>
        <v>-3.7037454787155356E-3</v>
      </c>
      <c r="C29" s="13">
        <f t="shared" si="0"/>
        <v>1.0211859435752721</v>
      </c>
    </row>
    <row r="30" spans="1:3" x14ac:dyDescent="0.45">
      <c r="A30" s="2">
        <f>'Daily Returns'!A18</f>
        <v>45100</v>
      </c>
      <c r="B30" s="6">
        <f>0.33*'Daily Returns'!B18+0.127*'Daily Returns'!C18+0.12*'Daily Returns'!D18+0.086*'Daily Returns'!E18+0.337*'Daily Returns'!F18</f>
        <v>-4.749408567889659E-3</v>
      </c>
      <c r="C30" s="13">
        <f t="shared" si="0"/>
        <v>1.0163359143054473</v>
      </c>
    </row>
    <row r="31" spans="1:3" x14ac:dyDescent="0.45">
      <c r="A31" s="2">
        <f>'Daily Returns'!A19</f>
        <v>45103</v>
      </c>
      <c r="B31" s="6">
        <f>0.33*'Daily Returns'!B19+0.127*'Daily Returns'!C19+0.12*'Daily Returns'!D19+0.086*'Daily Returns'!E19+0.337*'Daily Returns'!F19</f>
        <v>2.1483681055238374E-3</v>
      </c>
      <c r="C31" s="13">
        <f t="shared" si="0"/>
        <v>1.0185193779682395</v>
      </c>
    </row>
    <row r="32" spans="1:3" x14ac:dyDescent="0.45">
      <c r="A32" s="2">
        <f>'Daily Returns'!A20</f>
        <v>45104</v>
      </c>
      <c r="B32" s="6">
        <f>0.33*'Daily Returns'!B20+0.127*'Daily Returns'!C20+0.12*'Daily Returns'!D20+0.086*'Daily Returns'!E20+0.337*'Daily Returns'!F20</f>
        <v>4.4021020347415297E-3</v>
      </c>
      <c r="C32" s="13">
        <f t="shared" si="0"/>
        <v>1.0230030041944171</v>
      </c>
    </row>
    <row r="33" spans="1:3" x14ac:dyDescent="0.45">
      <c r="A33" s="2">
        <f>'Daily Returns'!A21</f>
        <v>45105</v>
      </c>
      <c r="B33" s="6">
        <f>0.33*'Daily Returns'!B21+0.127*'Daily Returns'!C21+0.12*'Daily Returns'!D21+0.086*'Daily Returns'!E21+0.337*'Daily Returns'!F21</f>
        <v>3.7638168361612246E-3</v>
      </c>
      <c r="C33" s="13">
        <f t="shared" si="0"/>
        <v>1.0268534001250476</v>
      </c>
    </row>
    <row r="34" spans="1:3" x14ac:dyDescent="0.45">
      <c r="A34" s="2">
        <f>'Daily Returns'!A22</f>
        <v>45106</v>
      </c>
      <c r="B34" s="6">
        <f>0.33*'Daily Returns'!B22+0.127*'Daily Returns'!C22+0.12*'Daily Returns'!D22+0.086*'Daily Returns'!E22+0.337*'Daily Returns'!F22</f>
        <v>5.5088534285503647E-3</v>
      </c>
      <c r="C34" s="13">
        <f t="shared" si="0"/>
        <v>1.0325101849989451</v>
      </c>
    </row>
    <row r="35" spans="1:3" x14ac:dyDescent="0.45">
      <c r="A35" s="2">
        <f>'Daily Returns'!A23</f>
        <v>45107</v>
      </c>
      <c r="B35" s="6">
        <f>0.33*'Daily Returns'!B23+0.127*'Daily Returns'!C23+0.12*'Daily Returns'!D23+0.086*'Daily Returns'!E23+0.337*'Daily Returns'!F23</f>
        <v>4.4615483932146874E-3</v>
      </c>
      <c r="C35" s="13">
        <f t="shared" si="0"/>
        <v>1.0371167791558049</v>
      </c>
    </row>
    <row r="36" spans="1:3" x14ac:dyDescent="0.45">
      <c r="A36" s="2">
        <f>'Daily Returns'!A24</f>
        <v>45110</v>
      </c>
      <c r="B36" s="6">
        <f>0.33*'Daily Returns'!B24+0.127*'Daily Returns'!C24+0.12*'Daily Returns'!D24+0.086*'Daily Returns'!E24+0.337*'Daily Returns'!F24</f>
        <v>3.2079211766870451E-4</v>
      </c>
      <c r="C36" s="13">
        <f t="shared" si="0"/>
        <v>1.0374494780436601</v>
      </c>
    </row>
    <row r="37" spans="1:3" x14ac:dyDescent="0.45">
      <c r="A37" s="2">
        <f>'Daily Returns'!A25</f>
        <v>45112</v>
      </c>
      <c r="B37" s="6">
        <f>0.33*'Daily Returns'!B25+0.127*'Daily Returns'!C25+0.12*'Daily Returns'!D25+0.086*'Daily Returns'!E25+0.337*'Daily Returns'!F25</f>
        <v>-6.7431530121343764E-4</v>
      </c>
      <c r="C37" s="13">
        <f t="shared" si="0"/>
        <v>1.0367499099863793</v>
      </c>
    </row>
    <row r="38" spans="1:3" x14ac:dyDescent="0.45">
      <c r="A38" s="2">
        <f>'Daily Returns'!A26</f>
        <v>45113</v>
      </c>
      <c r="B38" s="6">
        <f>0.33*'Daily Returns'!B26+0.127*'Daily Returns'!C26+0.12*'Daily Returns'!D26+0.086*'Daily Returns'!E26+0.337*'Daily Returns'!F26</f>
        <v>-2.1186126396058728E-3</v>
      </c>
      <c r="C38" s="13">
        <f t="shared" si="0"/>
        <v>1.0345534385229718</v>
      </c>
    </row>
    <row r="39" spans="1:3" x14ac:dyDescent="0.45">
      <c r="A39" s="2">
        <f>'Daily Returns'!A27</f>
        <v>45114</v>
      </c>
      <c r="B39" s="6">
        <f>0.33*'Daily Returns'!B27+0.127*'Daily Returns'!C27+0.12*'Daily Returns'!D27+0.086*'Daily Returns'!E27+0.337*'Daily Returns'!F27</f>
        <v>6.2827303985094334E-4</v>
      </c>
      <c r="C39" s="13">
        <f t="shared" si="0"/>
        <v>1.0352034205566809</v>
      </c>
    </row>
    <row r="40" spans="1:3" x14ac:dyDescent="0.45">
      <c r="A40" s="2">
        <f>'Daily Returns'!A28</f>
        <v>45117</v>
      </c>
      <c r="B40" s="6">
        <f>0.33*'Daily Returns'!B28+0.127*'Daily Returns'!C28+0.12*'Daily Returns'!D28+0.086*'Daily Returns'!E28+0.337*'Daily Returns'!F28</f>
        <v>4.0609082237752828E-4</v>
      </c>
      <c r="C40" s="13">
        <f t="shared" si="0"/>
        <v>1.0356238071650627</v>
      </c>
    </row>
    <row r="41" spans="1:3" x14ac:dyDescent="0.45">
      <c r="A41" s="2">
        <f>'Daily Returns'!A29</f>
        <v>45118</v>
      </c>
      <c r="B41" s="6">
        <f>0.33*'Daily Returns'!B29+0.127*'Daily Returns'!C29+0.12*'Daily Returns'!D29+0.086*'Daily Returns'!E29+0.337*'Daily Returns'!F29</f>
        <v>3.8580407210368271E-3</v>
      </c>
      <c r="C41" s="13">
        <f t="shared" si="0"/>
        <v>1.0396192859847808</v>
      </c>
    </row>
    <row r="42" spans="1:3" x14ac:dyDescent="0.45">
      <c r="A42" s="2">
        <f>'Daily Returns'!A30</f>
        <v>45119</v>
      </c>
      <c r="B42" s="6">
        <f>0.33*'Daily Returns'!B30+0.127*'Daily Returns'!C30+0.12*'Daily Returns'!D30+0.086*'Daily Returns'!E30+0.337*'Daily Returns'!F30</f>
        <v>5.4228660867478642E-3</v>
      </c>
      <c r="C42" s="13">
        <f t="shared" si="0"/>
        <v>1.0452570021538767</v>
      </c>
    </row>
    <row r="43" spans="1:3" x14ac:dyDescent="0.45">
      <c r="A43" s="2">
        <f>'Daily Returns'!A31</f>
        <v>45120</v>
      </c>
      <c r="B43" s="6">
        <f>0.33*'Daily Returns'!B31+0.127*'Daily Returns'!C31+0.12*'Daily Returns'!D31+0.086*'Daily Returns'!E31+0.337*'Daily Returns'!F31</f>
        <v>4.4521936825807568E-3</v>
      </c>
      <c r="C43" s="13">
        <f t="shared" si="0"/>
        <v>1.0499106887755396</v>
      </c>
    </row>
    <row r="44" spans="1:3" x14ac:dyDescent="0.45">
      <c r="A44" s="2">
        <f>'Daily Returns'!A32</f>
        <v>45121</v>
      </c>
      <c r="B44" s="6">
        <f>0.33*'Daily Returns'!B32+0.127*'Daily Returns'!C32+0.12*'Daily Returns'!D32+0.086*'Daily Returns'!E32+0.337*'Daily Returns'!F32</f>
        <v>-1.1250875065865343E-4</v>
      </c>
      <c r="C44" s="13">
        <f t="shared" si="0"/>
        <v>1.0497925646356423</v>
      </c>
    </row>
    <row r="45" spans="1:3" x14ac:dyDescent="0.45">
      <c r="A45" s="2">
        <f>'Daily Returns'!A33</f>
        <v>45124</v>
      </c>
      <c r="B45" s="6">
        <f>0.33*'Daily Returns'!B33+0.127*'Daily Returns'!C33+0.12*'Daily Returns'!D33+0.086*'Daily Returns'!E33+0.337*'Daily Returns'!F33</f>
        <v>3.6761915756468662E-3</v>
      </c>
      <c r="C45" s="13">
        <f t="shared" si="0"/>
        <v>1.0536518032179327</v>
      </c>
    </row>
    <row r="46" spans="1:3" x14ac:dyDescent="0.45">
      <c r="A46" s="2">
        <f>'Daily Returns'!A34</f>
        <v>45125</v>
      </c>
      <c r="B46" s="6">
        <f>0.33*'Daily Returns'!B34+0.127*'Daily Returns'!C34+0.12*'Daily Returns'!D34+0.086*'Daily Returns'!E34+0.337*'Daily Returns'!F34</f>
        <v>6.8536629652586091E-3</v>
      </c>
      <c r="C46" s="13">
        <f t="shared" si="0"/>
        <v>1.0608731775599256</v>
      </c>
    </row>
    <row r="47" spans="1:3" x14ac:dyDescent="0.45">
      <c r="A47" s="2">
        <f>'Daily Returns'!A35</f>
        <v>45126</v>
      </c>
      <c r="B47" s="6">
        <f>0.33*'Daily Returns'!B35+0.127*'Daily Returns'!C35+0.12*'Daily Returns'!D35+0.086*'Daily Returns'!E35+0.337*'Daily Returns'!F35</f>
        <v>-3.9112397211556855E-4</v>
      </c>
      <c r="C47" s="13">
        <f t="shared" si="0"/>
        <v>1.0604582446288076</v>
      </c>
    </row>
    <row r="48" spans="1:3" x14ac:dyDescent="0.45">
      <c r="A48" s="2">
        <f>'Daily Returns'!A36</f>
        <v>45127</v>
      </c>
      <c r="B48" s="6">
        <f>0.33*'Daily Returns'!B36+0.127*'Daily Returns'!C36+0.12*'Daily Returns'!D36+0.086*'Daily Returns'!E36+0.337*'Daily Returns'!F36</f>
        <v>-3.513787417343016E-3</v>
      </c>
      <c r="C48" s="13">
        <f t="shared" si="0"/>
        <v>1.0567320197922132</v>
      </c>
    </row>
    <row r="49" spans="1:3" x14ac:dyDescent="0.45">
      <c r="A49" s="2">
        <f>'Daily Returns'!A37</f>
        <v>45128</v>
      </c>
      <c r="B49" s="6">
        <f>0.33*'Daily Returns'!B37+0.127*'Daily Returns'!C37+0.12*'Daily Returns'!D37+0.086*'Daily Returns'!E37+0.337*'Daily Returns'!F37</f>
        <v>1.362453574957767E-3</v>
      </c>
      <c r="C49" s="13">
        <f t="shared" si="0"/>
        <v>1.0581717681103513</v>
      </c>
    </row>
    <row r="50" spans="1:3" x14ac:dyDescent="0.45">
      <c r="A50" s="2">
        <f>'Daily Returns'!A38</f>
        <v>45131</v>
      </c>
      <c r="B50" s="6">
        <f>0.33*'Daily Returns'!B38+0.127*'Daily Returns'!C38+0.12*'Daily Returns'!D38+0.086*'Daily Returns'!E38+0.337*'Daily Returns'!F38</f>
        <v>3.9865679755155918E-3</v>
      </c>
      <c r="C50" s="13">
        <f t="shared" si="0"/>
        <v>1.0623902417936948</v>
      </c>
    </row>
    <row r="51" spans="1:3" x14ac:dyDescent="0.45">
      <c r="A51" s="2">
        <f>'Daily Returns'!A39</f>
        <v>45132</v>
      </c>
      <c r="B51" s="6">
        <f>0.33*'Daily Returns'!B39+0.127*'Daily Returns'!C39+0.12*'Daily Returns'!D39+0.086*'Daily Returns'!E39+0.337*'Daily Returns'!F39</f>
        <v>-1.6175357318161596E-3</v>
      </c>
      <c r="C51" s="13">
        <f t="shared" si="0"/>
        <v>1.0606717876164606</v>
      </c>
    </row>
    <row r="52" spans="1:3" x14ac:dyDescent="0.45">
      <c r="A52" s="2">
        <f>'Daily Returns'!A40</f>
        <v>45133</v>
      </c>
      <c r="B52" s="6">
        <f>0.33*'Daily Returns'!B40+0.127*'Daily Returns'!C40+0.12*'Daily Returns'!D40+0.086*'Daily Returns'!E40+0.337*'Daily Returns'!F40</f>
        <v>6.2529260342639734E-3</v>
      </c>
      <c r="C52" s="13">
        <f t="shared" si="0"/>
        <v>1.0673040898510571</v>
      </c>
    </row>
    <row r="53" spans="1:3" x14ac:dyDescent="0.45">
      <c r="A53" s="2">
        <f>'Daily Returns'!A41</f>
        <v>45134</v>
      </c>
      <c r="B53" s="6">
        <f>0.33*'Daily Returns'!B41+0.127*'Daily Returns'!C41+0.12*'Daily Returns'!D41+0.086*'Daily Returns'!E41+0.337*'Daily Returns'!F41</f>
        <v>-4.3382027463727373E-3</v>
      </c>
      <c r="C53" s="13">
        <f t="shared" si="0"/>
        <v>1.0626739083172503</v>
      </c>
    </row>
    <row r="54" spans="1:3" x14ac:dyDescent="0.45">
      <c r="A54" s="2">
        <f>'Daily Returns'!A42</f>
        <v>45135</v>
      </c>
      <c r="B54" s="6">
        <f>0.33*'Daily Returns'!B42+0.127*'Daily Returns'!C42+0.12*'Daily Returns'!D42+0.086*'Daily Returns'!E42+0.337*'Daily Returns'!F42</f>
        <v>3.3646091436881579E-3</v>
      </c>
      <c r="C54" s="13">
        <f t="shared" si="0"/>
        <v>1.0662493906659332</v>
      </c>
    </row>
    <row r="55" spans="1:3" x14ac:dyDescent="0.45">
      <c r="A55" s="2">
        <f>'Daily Returns'!A43</f>
        <v>45138</v>
      </c>
      <c r="B55" s="6">
        <f>0.33*'Daily Returns'!B43+0.127*'Daily Returns'!C43+0.12*'Daily Returns'!D43+0.086*'Daily Returns'!E43+0.337*'Daily Returns'!F43</f>
        <v>8.8625538272317343E-4</v>
      </c>
      <c r="C55" s="13">
        <f t="shared" si="0"/>
        <v>1.067194359927736</v>
      </c>
    </row>
    <row r="56" spans="1:3" x14ac:dyDescent="0.45">
      <c r="A56" s="2">
        <f>'Daily Returns'!A44</f>
        <v>45139</v>
      </c>
      <c r="B56" s="6">
        <f>0.33*'Daily Returns'!B44+0.127*'Daily Returns'!C44+0.12*'Daily Returns'!D44+0.086*'Daily Returns'!E44+0.337*'Daily Returns'!F44</f>
        <v>-9.5617928293127361E-4</v>
      </c>
      <c r="C56" s="13">
        <f t="shared" si="0"/>
        <v>1.0661739307899121</v>
      </c>
    </row>
    <row r="57" spans="1:3" x14ac:dyDescent="0.45">
      <c r="A57" s="2">
        <f>'Daily Returns'!A45</f>
        <v>45140</v>
      </c>
      <c r="B57" s="6">
        <f>0.33*'Daily Returns'!B45+0.127*'Daily Returns'!C45+0.12*'Daily Returns'!D45+0.086*'Daily Returns'!E45+0.337*'Daily Returns'!F45</f>
        <v>-6.3120985714463168E-3</v>
      </c>
      <c r="C57" s="13">
        <f t="shared" si="0"/>
        <v>1.0594441358444597</v>
      </c>
    </row>
    <row r="58" spans="1:3" x14ac:dyDescent="0.45">
      <c r="A58" s="2">
        <f>'Daily Returns'!A46</f>
        <v>45141</v>
      </c>
      <c r="B58" s="6">
        <f>0.33*'Daily Returns'!B46+0.127*'Daily Returns'!C46+0.12*'Daily Returns'!D46+0.086*'Daily Returns'!E46+0.337*'Daily Returns'!F46</f>
        <v>-6.5847405243442652E-4</v>
      </c>
      <c r="C58" s="13">
        <f t="shared" si="0"/>
        <v>1.0587465193710024</v>
      </c>
    </row>
    <row r="59" spans="1:3" x14ac:dyDescent="0.45">
      <c r="A59" s="2">
        <f>'Daily Returns'!A47</f>
        <v>45142</v>
      </c>
      <c r="B59" s="6">
        <f>0.33*'Daily Returns'!B47+0.127*'Daily Returns'!C47+0.12*'Daily Returns'!D47+0.086*'Daily Returns'!E47+0.337*'Daily Returns'!F47</f>
        <v>5.6881442899613457E-3</v>
      </c>
      <c r="C59" s="13">
        <f t="shared" si="0"/>
        <v>1.0647688223396792</v>
      </c>
    </row>
    <row r="60" spans="1:3" x14ac:dyDescent="0.45">
      <c r="A60" s="2">
        <f>'Daily Returns'!A48</f>
        <v>45145</v>
      </c>
      <c r="B60" s="6">
        <f>0.33*'Daily Returns'!B48+0.127*'Daily Returns'!C48+0.12*'Daily Returns'!D48+0.086*'Daily Returns'!E48+0.337*'Daily Returns'!F48</f>
        <v>1.5949061594874964E-3</v>
      </c>
      <c r="C60" s="13">
        <f t="shared" si="0"/>
        <v>1.066467028692859</v>
      </c>
    </row>
    <row r="61" spans="1:3" x14ac:dyDescent="0.45">
      <c r="A61" s="2">
        <f>'Daily Returns'!A49</f>
        <v>45146</v>
      </c>
      <c r="B61" s="6">
        <f>0.33*'Daily Returns'!B49+0.127*'Daily Returns'!C49+0.12*'Daily Returns'!D49+0.086*'Daily Returns'!E49+0.337*'Daily Returns'!F49</f>
        <v>-1.3595011206767634E-3</v>
      </c>
      <c r="C61" s="13">
        <f t="shared" si="0"/>
        <v>1.0650171655721863</v>
      </c>
    </row>
    <row r="62" spans="1:3" x14ac:dyDescent="0.45">
      <c r="A62" s="2">
        <f>'Daily Returns'!A50</f>
        <v>45147</v>
      </c>
      <c r="B62" s="6">
        <f>0.33*'Daily Returns'!B50+0.127*'Daily Returns'!C50+0.12*'Daily Returns'!D50+0.086*'Daily Returns'!E50+0.337*'Daily Returns'!F50</f>
        <v>-2.2079618715111987E-3</v>
      </c>
      <c r="C62" s="13">
        <f t="shared" si="0"/>
        <v>1.0626656482780981</v>
      </c>
    </row>
    <row r="63" spans="1:3" x14ac:dyDescent="0.45">
      <c r="A63" s="2">
        <f>'Daily Returns'!A51</f>
        <v>45148</v>
      </c>
      <c r="B63" s="6">
        <f>0.33*'Daily Returns'!B51+0.127*'Daily Returns'!C51+0.12*'Daily Returns'!D51+0.086*'Daily Returns'!E51+0.337*'Daily Returns'!F51</f>
        <v>-5.5569153287517116E-3</v>
      </c>
      <c r="C63" s="13">
        <f t="shared" si="0"/>
        <v>1.0567605052478437</v>
      </c>
    </row>
    <row r="64" spans="1:3" x14ac:dyDescent="0.45">
      <c r="A64" s="2">
        <f>'Daily Returns'!A52</f>
        <v>45149</v>
      </c>
      <c r="B64" s="6">
        <f>0.33*'Daily Returns'!B52+0.127*'Daily Returns'!C52+0.12*'Daily Returns'!D52+0.086*'Daily Returns'!E52+0.337*'Daily Returns'!F52</f>
        <v>2.8897577264902838E-4</v>
      </c>
      <c r="C64" s="13">
        <f t="shared" si="0"/>
        <v>1.0570658834313527</v>
      </c>
    </row>
    <row r="65" spans="1:3" x14ac:dyDescent="0.45">
      <c r="A65" s="2">
        <f>'Daily Returns'!A53</f>
        <v>45152</v>
      </c>
      <c r="B65" s="6">
        <f>0.33*'Daily Returns'!B53+0.127*'Daily Returns'!C53+0.12*'Daily Returns'!D53+0.086*'Daily Returns'!E53+0.337*'Daily Returns'!F53</f>
        <v>2.7994382739964271E-3</v>
      </c>
      <c r="C65" s="13">
        <f t="shared" si="0"/>
        <v>1.0600250741235662</v>
      </c>
    </row>
    <row r="66" spans="1:3" x14ac:dyDescent="0.45">
      <c r="A66" s="2">
        <f>'Daily Returns'!A54</f>
        <v>45153</v>
      </c>
      <c r="B66" s="6">
        <f>0.33*'Daily Returns'!B54+0.127*'Daily Returns'!C54+0.12*'Daily Returns'!D54+0.086*'Daily Returns'!E54+0.337*'Daily Returns'!F54</f>
        <v>-6.057486832275763E-3</v>
      </c>
      <c r="C66" s="13">
        <f t="shared" si="0"/>
        <v>1.0536039861951805</v>
      </c>
    </row>
    <row r="67" spans="1:3" x14ac:dyDescent="0.45">
      <c r="A67" s="2">
        <f>'Daily Returns'!A55</f>
        <v>45154</v>
      </c>
      <c r="B67" s="6">
        <f>0.33*'Daily Returns'!B55+0.127*'Daily Returns'!C55+0.12*'Daily Returns'!D55+0.086*'Daily Returns'!E55+0.337*'Daily Returns'!F55</f>
        <v>-2.4663835085125927E-3</v>
      </c>
      <c r="C67" s="13">
        <f t="shared" si="0"/>
        <v>1.0510053946991256</v>
      </c>
    </row>
    <row r="68" spans="1:3" x14ac:dyDescent="0.45">
      <c r="A68" s="2">
        <f>'Daily Returns'!A56</f>
        <v>45155</v>
      </c>
      <c r="B68" s="6">
        <f>0.33*'Daily Returns'!B56+0.127*'Daily Returns'!C56+0.12*'Daily Returns'!D56+0.086*'Daily Returns'!E56+0.337*'Daily Returns'!F56</f>
        <v>-6.4297859616853524E-3</v>
      </c>
      <c r="C68" s="13">
        <f t="shared" si="0"/>
        <v>1.0442476549666335</v>
      </c>
    </row>
    <row r="69" spans="1:3" x14ac:dyDescent="0.45">
      <c r="A69" s="2">
        <f>'Daily Returns'!A57</f>
        <v>45156</v>
      </c>
      <c r="B69" s="6">
        <f>0.33*'Daily Returns'!B57+0.127*'Daily Returns'!C57+0.12*'Daily Returns'!D57+0.086*'Daily Returns'!E57+0.337*'Daily Returns'!F57</f>
        <v>2.7148083504411149E-3</v>
      </c>
      <c r="C69" s="13">
        <f t="shared" si="0"/>
        <v>1.0470825872202656</v>
      </c>
    </row>
    <row r="70" spans="1:3" x14ac:dyDescent="0.45">
      <c r="A70" s="2">
        <f>'Daily Returns'!A58</f>
        <v>45159</v>
      </c>
      <c r="B70" s="6">
        <f>0.33*'Daily Returns'!B58+0.127*'Daily Returns'!C58+0.12*'Daily Returns'!D58+0.086*'Daily Returns'!E58+0.337*'Daily Returns'!F58</f>
        <v>1.9936100669075071E-3</v>
      </c>
      <c r="C70" s="13">
        <f t="shared" si="0"/>
        <v>1.0491700616070316</v>
      </c>
    </row>
    <row r="71" spans="1:3" x14ac:dyDescent="0.45">
      <c r="A71" s="2">
        <f>'Daily Returns'!A59</f>
        <v>45160</v>
      </c>
      <c r="B71" s="6">
        <f>0.33*'Daily Returns'!B59+0.127*'Daily Returns'!C59+0.12*'Daily Returns'!D59+0.086*'Daily Returns'!E59+0.337*'Daily Returns'!F59</f>
        <v>-4.2208767553111809E-3</v>
      </c>
      <c r="C71" s="13">
        <f t="shared" si="0"/>
        <v>1.0447416440816262</v>
      </c>
    </row>
    <row r="72" spans="1:3" x14ac:dyDescent="0.45">
      <c r="A72" s="2">
        <f>'Daily Returns'!A60</f>
        <v>45161</v>
      </c>
      <c r="B72" s="6">
        <f>0.33*'Daily Returns'!B60+0.127*'Daily Returns'!C60+0.12*'Daily Returns'!D60+0.086*'Daily Returns'!E60+0.337*'Daily Returns'!F60</f>
        <v>5.3747274383345294E-3</v>
      </c>
      <c r="C72" s="13">
        <f t="shared" si="0"/>
        <v>1.0503568456620422</v>
      </c>
    </row>
    <row r="73" spans="1:3" x14ac:dyDescent="0.45">
      <c r="A73" s="2">
        <f>'Daily Returns'!A61</f>
        <v>45162</v>
      </c>
      <c r="B73" s="6">
        <f>0.33*'Daily Returns'!B61+0.127*'Daily Returns'!C61+0.12*'Daily Returns'!D61+0.086*'Daily Returns'!E61+0.337*'Daily Returns'!F61</f>
        <v>-3.9171459030632825E-3</v>
      </c>
      <c r="C73" s="13">
        <f t="shared" si="0"/>
        <v>1.0462424446473026</v>
      </c>
    </row>
    <row r="74" spans="1:3" x14ac:dyDescent="0.45">
      <c r="A74" s="2">
        <f>'Daily Returns'!A62</f>
        <v>45163</v>
      </c>
      <c r="B74" s="6">
        <f>0.33*'Daily Returns'!B62+0.127*'Daily Returns'!C62+0.12*'Daily Returns'!D62+0.086*'Daily Returns'!E62+0.337*'Daily Returns'!F62</f>
        <v>3.0233144285419702E-3</v>
      </c>
      <c r="C74" s="13">
        <f t="shared" si="0"/>
        <v>1.0494055645259577</v>
      </c>
    </row>
    <row r="75" spans="1:3" x14ac:dyDescent="0.45">
      <c r="A75" s="2">
        <f>'Daily Returns'!A63</f>
        <v>45166</v>
      </c>
      <c r="B75" s="6">
        <f>0.33*'Daily Returns'!B63+0.127*'Daily Returns'!C63+0.12*'Daily Returns'!D63+0.086*'Daily Returns'!E63+0.337*'Daily Returns'!F63</f>
        <v>4.27377424586618E-3</v>
      </c>
      <c r="C75" s="13">
        <f t="shared" si="0"/>
        <v>1.0538904870010974</v>
      </c>
    </row>
    <row r="76" spans="1:3" x14ac:dyDescent="0.45">
      <c r="A76" s="2">
        <f>'Daily Returns'!A64</f>
        <v>45167</v>
      </c>
      <c r="B76" s="6">
        <f>0.33*'Daily Returns'!B64+0.127*'Daily Returns'!C64+0.12*'Daily Returns'!D64+0.086*'Daily Returns'!E64+0.337*'Daily Returns'!F64</f>
        <v>6.1139502424402414E-3</v>
      </c>
      <c r="C76" s="13">
        <f t="shared" si="0"/>
        <v>1.0603339209996034</v>
      </c>
    </row>
    <row r="77" spans="1:3" x14ac:dyDescent="0.45">
      <c r="A77" s="2">
        <f>'Daily Returns'!A65</f>
        <v>45168</v>
      </c>
      <c r="B77" s="6">
        <f>0.33*'Daily Returns'!B65+0.127*'Daily Returns'!C65+0.12*'Daily Returns'!D65+0.086*'Daily Returns'!E65+0.337*'Daily Returns'!F65</f>
        <v>1.9953354847641507E-3</v>
      </c>
      <c r="C77" s="13">
        <f t="shared" si="0"/>
        <v>1.0624496428978731</v>
      </c>
    </row>
    <row r="78" spans="1:3" x14ac:dyDescent="0.45">
      <c r="A78" s="2">
        <f>'Daily Returns'!A66</f>
        <v>45169</v>
      </c>
      <c r="B78" s="6">
        <f>0.33*'Daily Returns'!B66+0.127*'Daily Returns'!C66+0.12*'Daily Returns'!D66+0.086*'Daily Returns'!E66+0.337*'Daily Returns'!F66</f>
        <v>5.7824784241804227E-4</v>
      </c>
      <c r="C78" s="13">
        <f t="shared" si="0"/>
        <v>1.0630640021115567</v>
      </c>
    </row>
    <row r="79" spans="1:3" x14ac:dyDescent="0.45">
      <c r="A79" s="2">
        <f>'Daily Returns'!A67</f>
        <v>45170</v>
      </c>
      <c r="B79" s="6">
        <f>0.33*'Daily Returns'!B67+0.127*'Daily Returns'!C67+0.12*'Daily Returns'!D67+0.086*'Daily Returns'!E67+0.337*'Daily Returns'!F67</f>
        <v>2.2231500349182394E-3</v>
      </c>
      <c r="C79" s="13">
        <f t="shared" ref="C79:C142" si="1">C78*(1+B79)</f>
        <v>1.0654273528849711</v>
      </c>
    </row>
    <row r="80" spans="1:3" x14ac:dyDescent="0.45">
      <c r="A80" s="2">
        <f>'Daily Returns'!A68</f>
        <v>45174</v>
      </c>
      <c r="B80" s="6">
        <f>0.33*'Daily Returns'!B68+0.127*'Daily Returns'!C68+0.12*'Daily Returns'!D68+0.086*'Daily Returns'!E68+0.337*'Daily Returns'!F68</f>
        <v>-5.6553269142350822E-3</v>
      </c>
      <c r="C80" s="13">
        <f t="shared" si="1"/>
        <v>1.0594020129010384</v>
      </c>
    </row>
    <row r="81" spans="1:3" x14ac:dyDescent="0.45">
      <c r="A81" s="2">
        <f>'Daily Returns'!A69</f>
        <v>45175</v>
      </c>
      <c r="B81" s="6">
        <f>0.33*'Daily Returns'!B69+0.127*'Daily Returns'!C69+0.12*'Daily Returns'!D69+0.086*'Daily Returns'!E69+0.337*'Daily Returns'!F69</f>
        <v>-5.2572748443999989E-3</v>
      </c>
      <c r="C81" s="13">
        <f t="shared" si="1"/>
        <v>1.0538324453485071</v>
      </c>
    </row>
    <row r="82" spans="1:3" x14ac:dyDescent="0.45">
      <c r="A82" s="2">
        <f>'Daily Returns'!A70</f>
        <v>45176</v>
      </c>
      <c r="B82" s="6">
        <f>0.33*'Daily Returns'!B70+0.127*'Daily Returns'!C70+0.12*'Daily Returns'!D70+0.086*'Daily Returns'!E70+0.337*'Daily Returns'!F70</f>
        <v>2.1383699803934854E-3</v>
      </c>
      <c r="C82" s="13">
        <f t="shared" si="1"/>
        <v>1.0560859290140048</v>
      </c>
    </row>
    <row r="83" spans="1:3" x14ac:dyDescent="0.45">
      <c r="A83" s="2">
        <f>'Daily Returns'!A71</f>
        <v>45177</v>
      </c>
      <c r="B83" s="6">
        <f>0.33*'Daily Returns'!B71+0.127*'Daily Returns'!C71+0.12*'Daily Returns'!D71+0.086*'Daily Returns'!E71+0.337*'Daily Returns'!F71</f>
        <v>3.0818446223105441E-3</v>
      </c>
      <c r="C83" s="13">
        <f t="shared" si="1"/>
        <v>1.0593406217550345</v>
      </c>
    </row>
    <row r="84" spans="1:3" x14ac:dyDescent="0.45">
      <c r="A84" s="2">
        <f>'Daily Returns'!A72</f>
        <v>45180</v>
      </c>
      <c r="B84" s="6">
        <f>0.33*'Daily Returns'!B72+0.127*'Daily Returns'!C72+0.12*'Daily Returns'!D72+0.086*'Daily Returns'!E72+0.337*'Daily Returns'!F72</f>
        <v>4.8157217020359565E-3</v>
      </c>
      <c r="C84" s="13">
        <f t="shared" si="1"/>
        <v>1.0644421113770686</v>
      </c>
    </row>
    <row r="85" spans="1:3" x14ac:dyDescent="0.45">
      <c r="A85" s="2">
        <f>'Daily Returns'!A73</f>
        <v>45181</v>
      </c>
      <c r="B85" s="6">
        <f>0.33*'Daily Returns'!B73+0.127*'Daily Returns'!C73+0.12*'Daily Returns'!D73+0.086*'Daily Returns'!E73+0.337*'Daily Returns'!F73</f>
        <v>-1.1742189854536873E-3</v>
      </c>
      <c r="C85" s="13">
        <f t="shared" si="1"/>
        <v>1.0631922232409732</v>
      </c>
    </row>
    <row r="86" spans="1:3" x14ac:dyDescent="0.45">
      <c r="A86" s="2">
        <f>'Daily Returns'!A74</f>
        <v>45182</v>
      </c>
      <c r="B86" s="6">
        <f>0.33*'Daily Returns'!B74+0.127*'Daily Returns'!C74+0.12*'Daily Returns'!D74+0.086*'Daily Returns'!E74+0.337*'Daily Returns'!F74</f>
        <v>2.215383810220442E-3</v>
      </c>
      <c r="C86" s="13">
        <f t="shared" si="1"/>
        <v>1.0655476020794934</v>
      </c>
    </row>
    <row r="87" spans="1:3" x14ac:dyDescent="0.45">
      <c r="A87" s="2">
        <f>'Daily Returns'!A75</f>
        <v>45183</v>
      </c>
      <c r="B87" s="6">
        <f>0.33*'Daily Returns'!B75+0.127*'Daily Returns'!C75+0.12*'Daily Returns'!D75+0.086*'Daily Returns'!E75+0.337*'Daily Returns'!F75</f>
        <v>3.8158337297275755E-3</v>
      </c>
      <c r="C87" s="13">
        <f t="shared" si="1"/>
        <v>1.0696135545601386</v>
      </c>
    </row>
    <row r="88" spans="1:3" x14ac:dyDescent="0.45">
      <c r="A88" s="2">
        <f>'Daily Returns'!A76</f>
        <v>45184</v>
      </c>
      <c r="B88" s="6">
        <f>0.33*'Daily Returns'!B76+0.127*'Daily Returns'!C76+0.12*'Daily Returns'!D76+0.086*'Daily Returns'!E76+0.337*'Daily Returns'!F76</f>
        <v>-3.633262038741379E-3</v>
      </c>
      <c r="C88" s="13">
        <f t="shared" si="1"/>
        <v>1.065727368236232</v>
      </c>
    </row>
    <row r="89" spans="1:3" x14ac:dyDescent="0.45">
      <c r="A89" s="2">
        <f>'Daily Returns'!A77</f>
        <v>45187</v>
      </c>
      <c r="B89" s="6">
        <f>0.33*'Daily Returns'!B77+0.127*'Daily Returns'!C77+0.12*'Daily Returns'!D77+0.086*'Daily Returns'!E77+0.337*'Daily Returns'!F77</f>
        <v>1.2506285739146571E-3</v>
      </c>
      <c r="C89" s="13">
        <f t="shared" si="1"/>
        <v>1.0670601973349512</v>
      </c>
    </row>
    <row r="90" spans="1:3" x14ac:dyDescent="0.45">
      <c r="A90" s="2">
        <f>'Daily Returns'!A78</f>
        <v>45188</v>
      </c>
      <c r="B90" s="6">
        <f>0.33*'Daily Returns'!B78+0.127*'Daily Returns'!C78+0.12*'Daily Returns'!D78+0.086*'Daily Returns'!E78+0.337*'Daily Returns'!F78</f>
        <v>3.4950767942517973E-4</v>
      </c>
      <c r="C90" s="13">
        <f t="shared" si="1"/>
        <v>1.0674331430683286</v>
      </c>
    </row>
    <row r="91" spans="1:3" x14ac:dyDescent="0.45">
      <c r="A91" s="2">
        <f>'Daily Returns'!A79</f>
        <v>45189</v>
      </c>
      <c r="B91" s="6">
        <f>0.33*'Daily Returns'!B79+0.127*'Daily Returns'!C79+0.12*'Daily Returns'!D79+0.086*'Daily Returns'!E79+0.337*'Daily Returns'!F79</f>
        <v>-3.4332763539021843E-3</v>
      </c>
      <c r="C91" s="13">
        <f t="shared" si="1"/>
        <v>1.0637683500988606</v>
      </c>
    </row>
    <row r="92" spans="1:3" x14ac:dyDescent="0.45">
      <c r="A92" s="2">
        <f>'Daily Returns'!A80</f>
        <v>45190</v>
      </c>
      <c r="B92" s="6">
        <f>0.33*'Daily Returns'!B80+0.127*'Daily Returns'!C80+0.12*'Daily Returns'!D80+0.086*'Daily Returns'!E80+0.337*'Daily Returns'!F80</f>
        <v>-1.0246423124649056E-2</v>
      </c>
      <c r="C92" s="13">
        <f t="shared" si="1"/>
        <v>1.0528685294771378</v>
      </c>
    </row>
    <row r="93" spans="1:3" x14ac:dyDescent="0.45">
      <c r="A93" s="2">
        <f>'Daily Returns'!A81</f>
        <v>45191</v>
      </c>
      <c r="B93" s="6">
        <f>0.33*'Daily Returns'!B81+0.127*'Daily Returns'!C81+0.12*'Daily Returns'!D81+0.086*'Daily Returns'!E81+0.337*'Daily Returns'!F81</f>
        <v>2.4289283036233217E-3</v>
      </c>
      <c r="C93" s="13">
        <f t="shared" si="1"/>
        <v>1.0554258716483791</v>
      </c>
    </row>
    <row r="94" spans="1:3" x14ac:dyDescent="0.45">
      <c r="A94" s="2">
        <f>'Daily Returns'!A82</f>
        <v>45194</v>
      </c>
      <c r="B94" s="6">
        <f>0.33*'Daily Returns'!B82+0.127*'Daily Returns'!C82+0.12*'Daily Returns'!D82+0.086*'Daily Returns'!E82+0.337*'Daily Returns'!F82</f>
        <v>4.893750512496093E-3</v>
      </c>
      <c r="C94" s="13">
        <f t="shared" si="1"/>
        <v>1.06059086254866</v>
      </c>
    </row>
    <row r="95" spans="1:3" x14ac:dyDescent="0.45">
      <c r="A95" s="2">
        <f>'Daily Returns'!A83</f>
        <v>45195</v>
      </c>
      <c r="B95" s="6">
        <f>0.33*'Daily Returns'!B83+0.127*'Daily Returns'!C83+0.12*'Daily Returns'!D83+0.086*'Daily Returns'!E83+0.337*'Daily Returns'!F83</f>
        <v>-8.887534516336202E-3</v>
      </c>
      <c r="C95" s="13">
        <f t="shared" si="1"/>
        <v>1.051164824650048</v>
      </c>
    </row>
    <row r="96" spans="1:3" x14ac:dyDescent="0.45">
      <c r="A96" s="2">
        <f>'Daily Returns'!A84</f>
        <v>45196</v>
      </c>
      <c r="B96" s="6">
        <f>0.33*'Daily Returns'!B84+0.127*'Daily Returns'!C84+0.12*'Daily Returns'!D84+0.086*'Daily Returns'!E84+0.337*'Daily Returns'!F84</f>
        <v>1.4879838910659719E-3</v>
      </c>
      <c r="C96" s="13">
        <f t="shared" si="1"/>
        <v>1.0527289409759826</v>
      </c>
    </row>
    <row r="97" spans="1:3" x14ac:dyDescent="0.45">
      <c r="A97" s="2">
        <f>'Daily Returns'!A85</f>
        <v>45197</v>
      </c>
      <c r="B97" s="6">
        <f>0.33*'Daily Returns'!B85+0.127*'Daily Returns'!C85+0.12*'Daily Returns'!D85+0.086*'Daily Returns'!E85+0.337*'Daily Returns'!F85</f>
        <v>6.507118257319075E-3</v>
      </c>
      <c r="C97" s="13">
        <f t="shared" si="1"/>
        <v>1.0595791726878157</v>
      </c>
    </row>
    <row r="98" spans="1:3" x14ac:dyDescent="0.45">
      <c r="A98" s="2">
        <f>'Daily Returns'!A86</f>
        <v>45198</v>
      </c>
      <c r="B98" s="6">
        <f>0.33*'Daily Returns'!B86+0.127*'Daily Returns'!C86+0.12*'Daily Returns'!D86+0.086*'Daily Returns'!E86+0.337*'Daily Returns'!F86</f>
        <v>-3.0729123172256044E-3</v>
      </c>
      <c r="C98" s="13">
        <f t="shared" si="1"/>
        <v>1.0563231787969876</v>
      </c>
    </row>
    <row r="99" spans="1:3" x14ac:dyDescent="0.45">
      <c r="A99" s="2">
        <f>'Daily Returns'!A87</f>
        <v>45201</v>
      </c>
      <c r="B99" s="6">
        <f>0.33*'Daily Returns'!B87+0.127*'Daily Returns'!C87+0.12*'Daily Returns'!D87+0.086*'Daily Returns'!E87+0.337*'Daily Returns'!F87</f>
        <v>-6.7100860293181535E-3</v>
      </c>
      <c r="C99" s="13">
        <f t="shared" si="1"/>
        <v>1.0492351593924969</v>
      </c>
    </row>
    <row r="100" spans="1:3" x14ac:dyDescent="0.45">
      <c r="A100" s="2">
        <f>'Daily Returns'!A88</f>
        <v>45202</v>
      </c>
      <c r="B100" s="6">
        <f>0.33*'Daily Returns'!B88+0.127*'Daily Returns'!C88+0.12*'Daily Returns'!D88+0.086*'Daily Returns'!E88+0.337*'Daily Returns'!F88</f>
        <v>-1.0382311709670911E-2</v>
      </c>
      <c r="C100" s="13">
        <f t="shared" si="1"/>
        <v>1.0383416729109378</v>
      </c>
    </row>
    <row r="101" spans="1:3" x14ac:dyDescent="0.45">
      <c r="A101" s="2">
        <f>'Daily Returns'!A89</f>
        <v>45203</v>
      </c>
      <c r="B101" s="6">
        <f>0.33*'Daily Returns'!B89+0.127*'Daily Returns'!C89+0.12*'Daily Returns'!D89+0.086*'Daily Returns'!E89+0.337*'Daily Returns'!F89</f>
        <v>2.7289754626284909E-3</v>
      </c>
      <c r="C101" s="13">
        <f t="shared" si="1"/>
        <v>1.0411752818581363</v>
      </c>
    </row>
    <row r="102" spans="1:3" x14ac:dyDescent="0.45">
      <c r="A102" s="2">
        <f>'Daily Returns'!A90</f>
        <v>45204</v>
      </c>
      <c r="B102" s="6">
        <f>0.33*'Daily Returns'!B90+0.127*'Daily Returns'!C90+0.12*'Daily Returns'!D90+0.086*'Daily Returns'!E90+0.337*'Daily Returns'!F90</f>
        <v>1.6820142965287804E-3</v>
      </c>
      <c r="C102" s="13">
        <f t="shared" si="1"/>
        <v>1.0429265535674141</v>
      </c>
    </row>
    <row r="103" spans="1:3" x14ac:dyDescent="0.45">
      <c r="A103" s="2">
        <f>'Daily Returns'!A91</f>
        <v>45205</v>
      </c>
      <c r="B103" s="6">
        <f>0.33*'Daily Returns'!B91+0.127*'Daily Returns'!C91+0.12*'Daily Returns'!D91+0.086*'Daily Returns'!E91+0.337*'Daily Returns'!F91</f>
        <v>4.4792025177974731E-3</v>
      </c>
      <c r="C103" s="13">
        <f t="shared" si="1"/>
        <v>1.0475980328120311</v>
      </c>
    </row>
    <row r="104" spans="1:3" x14ac:dyDescent="0.45">
      <c r="A104" s="2">
        <f>'Daily Returns'!A92</f>
        <v>45208</v>
      </c>
      <c r="B104" s="6">
        <f>0.33*'Daily Returns'!B92+0.127*'Daily Returns'!C92+0.12*'Daily Returns'!D92+0.086*'Daily Returns'!E92+0.337*'Daily Returns'!F92</f>
        <v>5.5239457327147471E-3</v>
      </c>
      <c r="C104" s="13">
        <f t="shared" si="1"/>
        <v>1.0533849074949835</v>
      </c>
    </row>
    <row r="105" spans="1:3" x14ac:dyDescent="0.45">
      <c r="A105" s="2">
        <f>'Daily Returns'!A93</f>
        <v>45209</v>
      </c>
      <c r="B105" s="6">
        <f>0.33*'Daily Returns'!B93+0.127*'Daily Returns'!C93+0.12*'Daily Returns'!D93+0.086*'Daily Returns'!E93+0.337*'Daily Returns'!F93</f>
        <v>2.5993137996467388E-3</v>
      </c>
      <c r="C105" s="13">
        <f t="shared" si="1"/>
        <v>1.0561229854213747</v>
      </c>
    </row>
    <row r="106" spans="1:3" x14ac:dyDescent="0.45">
      <c r="A106" s="2">
        <f>'Daily Returns'!A94</f>
        <v>45210</v>
      </c>
      <c r="B106" s="6">
        <f>0.33*'Daily Returns'!B94+0.127*'Daily Returns'!C94+0.12*'Daily Returns'!D94+0.086*'Daily Returns'!E94+0.337*'Daily Returns'!F94</f>
        <v>2.4666509607180775E-3</v>
      </c>
      <c r="C106" s="13">
        <f t="shared" si="1"/>
        <v>1.0587280721980008</v>
      </c>
    </row>
    <row r="107" spans="1:3" x14ac:dyDescent="0.45">
      <c r="A107" s="2">
        <f>'Daily Returns'!A95</f>
        <v>45211</v>
      </c>
      <c r="B107" s="6">
        <f>0.33*'Daily Returns'!B95+0.127*'Daily Returns'!C95+0.12*'Daily Returns'!D95+0.086*'Daily Returns'!E95+0.337*'Daily Returns'!F95</f>
        <v>-4.7069511539685601E-3</v>
      </c>
      <c r="C107" s="13">
        <f t="shared" si="1"/>
        <v>1.0537446908768295</v>
      </c>
    </row>
    <row r="108" spans="1:3" x14ac:dyDescent="0.45">
      <c r="A108" s="2">
        <f>'Daily Returns'!A96</f>
        <v>45212</v>
      </c>
      <c r="B108" s="6">
        <f>0.33*'Daily Returns'!B96+0.127*'Daily Returns'!C96+0.12*'Daily Returns'!D96+0.086*'Daily Returns'!E96+0.337*'Daily Returns'!F96</f>
        <v>-1.0603973303369152E-3</v>
      </c>
      <c r="C108" s="13">
        <f t="shared" si="1"/>
        <v>1.052627302819767</v>
      </c>
    </row>
    <row r="109" spans="1:3" x14ac:dyDescent="0.45">
      <c r="A109" s="2">
        <f>'Daily Returns'!A97</f>
        <v>45215</v>
      </c>
      <c r="B109" s="6">
        <f>0.33*'Daily Returns'!B97+0.127*'Daily Returns'!C97+0.12*'Daily Returns'!D97+0.086*'Daily Returns'!E97+0.337*'Daily Returns'!F97</f>
        <v>9.657938979161812E-3</v>
      </c>
      <c r="C109" s="13">
        <f t="shared" si="1"/>
        <v>1.0627935130782</v>
      </c>
    </row>
    <row r="110" spans="1:3" x14ac:dyDescent="0.45">
      <c r="A110" s="2">
        <f>'Daily Returns'!A98</f>
        <v>45216</v>
      </c>
      <c r="B110" s="6">
        <f>0.33*'Daily Returns'!B98+0.127*'Daily Returns'!C98+0.12*'Daily Returns'!D98+0.086*'Daily Returns'!E98+0.337*'Daily Returns'!F98</f>
        <v>2.4452174832794246E-4</v>
      </c>
      <c r="C110" s="13">
        <f t="shared" si="1"/>
        <v>1.0630533892061296</v>
      </c>
    </row>
    <row r="111" spans="1:3" x14ac:dyDescent="0.45">
      <c r="A111" s="2">
        <f>'Daily Returns'!A99</f>
        <v>45217</v>
      </c>
      <c r="B111" s="6">
        <f>0.33*'Daily Returns'!B99+0.127*'Daily Returns'!C99+0.12*'Daily Returns'!D99+0.086*'Daily Returns'!E99+0.337*'Daily Returns'!F99</f>
        <v>-8.4796077297837752E-3</v>
      </c>
      <c r="C111" s="13">
        <f t="shared" si="1"/>
        <v>1.0540391134698446</v>
      </c>
    </row>
    <row r="112" spans="1:3" x14ac:dyDescent="0.45">
      <c r="A112" s="2">
        <f>'Daily Returns'!A100</f>
        <v>45218</v>
      </c>
      <c r="B112" s="6">
        <f>0.33*'Daily Returns'!B100+0.127*'Daily Returns'!C100+0.12*'Daily Returns'!D100+0.086*'Daily Returns'!E100+0.337*'Daily Returns'!F100</f>
        <v>-7.5537188922982874E-3</v>
      </c>
      <c r="C112" s="13">
        <f t="shared" si="1"/>
        <v>1.0460771983052062</v>
      </c>
    </row>
    <row r="113" spans="1:3" x14ac:dyDescent="0.45">
      <c r="A113" s="2">
        <f>'Daily Returns'!A101</f>
        <v>45219</v>
      </c>
      <c r="B113" s="6">
        <f>0.33*'Daily Returns'!B101+0.127*'Daily Returns'!C101+0.12*'Daily Returns'!D101+0.086*'Daily Returns'!E101+0.337*'Daily Returns'!F101</f>
        <v>-5.9353358575162983E-3</v>
      </c>
      <c r="C113" s="13">
        <f t="shared" si="1"/>
        <v>1.0398683788003751</v>
      </c>
    </row>
    <row r="114" spans="1:3" x14ac:dyDescent="0.45">
      <c r="A114" s="2">
        <f>'Daily Returns'!A102</f>
        <v>45222</v>
      </c>
      <c r="B114" s="6">
        <f>0.33*'Daily Returns'!B102+0.127*'Daily Returns'!C102+0.12*'Daily Returns'!D102+0.086*'Daily Returns'!E102+0.337*'Daily Returns'!F102</f>
        <v>-2.8344865789454483E-4</v>
      </c>
      <c r="C114" s="13">
        <f t="shared" si="1"/>
        <v>1.0395736295040172</v>
      </c>
    </row>
    <row r="115" spans="1:3" x14ac:dyDescent="0.45">
      <c r="A115" s="2">
        <f>'Daily Returns'!A103</f>
        <v>45223</v>
      </c>
      <c r="B115" s="6">
        <f>0.33*'Daily Returns'!B103+0.127*'Daily Returns'!C103+0.12*'Daily Returns'!D103+0.086*'Daily Returns'!E103+0.337*'Daily Returns'!F103</f>
        <v>5.3727699521153183E-3</v>
      </c>
      <c r="C115" s="13">
        <f t="shared" si="1"/>
        <v>1.0451590194636278</v>
      </c>
    </row>
    <row r="116" spans="1:3" x14ac:dyDescent="0.45">
      <c r="A116" s="2">
        <f>'Daily Returns'!A104</f>
        <v>45224</v>
      </c>
      <c r="B116" s="6">
        <f>0.33*'Daily Returns'!B104+0.127*'Daily Returns'!C104+0.12*'Daily Returns'!D104+0.086*'Daily Returns'!E104+0.337*'Daily Returns'!F104</f>
        <v>-7.4334590815523611E-3</v>
      </c>
      <c r="C116" s="13">
        <f t="shared" si="1"/>
        <v>1.0373898726587296</v>
      </c>
    </row>
    <row r="117" spans="1:3" x14ac:dyDescent="0.45">
      <c r="A117" s="2">
        <f>'Daily Returns'!A105</f>
        <v>45225</v>
      </c>
      <c r="B117" s="6">
        <f>0.33*'Daily Returns'!B105+0.127*'Daily Returns'!C105+0.12*'Daily Returns'!D105+0.086*'Daily Returns'!E105+0.337*'Daily Returns'!F105</f>
        <v>-2.5627597229318758E-3</v>
      </c>
      <c r="C117" s="13">
        <f t="shared" si="1"/>
        <v>1.0347312916761024</v>
      </c>
    </row>
    <row r="118" spans="1:3" x14ac:dyDescent="0.45">
      <c r="A118" s="2">
        <f>'Daily Returns'!A106</f>
        <v>45226</v>
      </c>
      <c r="B118" s="6">
        <f>0.33*'Daily Returns'!B106+0.127*'Daily Returns'!C106+0.12*'Daily Returns'!D106+0.086*'Daily Returns'!E106+0.337*'Daily Returns'!F106</f>
        <v>-5.3373112769926666E-3</v>
      </c>
      <c r="C118" s="13">
        <f t="shared" si="1"/>
        <v>1.0292086086843824</v>
      </c>
    </row>
    <row r="119" spans="1:3" x14ac:dyDescent="0.45">
      <c r="A119" s="2">
        <f>'Daily Returns'!A107</f>
        <v>45229</v>
      </c>
      <c r="B119" s="6">
        <f>0.33*'Daily Returns'!B107+0.127*'Daily Returns'!C107+0.12*'Daily Returns'!D107+0.086*'Daily Returns'!E107+0.337*'Daily Returns'!F107</f>
        <v>8.8383461163096914E-3</v>
      </c>
      <c r="C119" s="13">
        <f t="shared" si="1"/>
        <v>1.0383051105938206</v>
      </c>
    </row>
    <row r="120" spans="1:3" x14ac:dyDescent="0.45">
      <c r="A120" s="2">
        <f>'Daily Returns'!A108</f>
        <v>45230</v>
      </c>
      <c r="B120" s="6">
        <f>0.33*'Daily Returns'!B108+0.127*'Daily Returns'!C108+0.12*'Daily Returns'!D108+0.086*'Daily Returns'!E108+0.337*'Daily Returns'!F108</f>
        <v>2.227227529649036E-3</v>
      </c>
      <c r="C120" s="13">
        <f t="shared" si="1"/>
        <v>1.0406176523203106</v>
      </c>
    </row>
    <row r="121" spans="1:3" x14ac:dyDescent="0.45">
      <c r="A121" s="2">
        <f>'Daily Returns'!A109</f>
        <v>45231</v>
      </c>
      <c r="B121" s="6">
        <f>0.33*'Daily Returns'!B109+0.127*'Daily Returns'!C109+0.12*'Daily Returns'!D109+0.086*'Daily Returns'!E109+0.337*'Daily Returns'!F109</f>
        <v>8.1477499311974691E-3</v>
      </c>
      <c r="C121" s="13">
        <f t="shared" si="1"/>
        <v>1.0490963447254062</v>
      </c>
    </row>
    <row r="122" spans="1:3" x14ac:dyDescent="0.45">
      <c r="A122" s="2">
        <f>'Daily Returns'!A110</f>
        <v>45232</v>
      </c>
      <c r="B122" s="6">
        <f>0.33*'Daily Returns'!B110+0.127*'Daily Returns'!C110+0.12*'Daily Returns'!D110+0.086*'Daily Returns'!E110+0.337*'Daily Returns'!F110</f>
        <v>1.2756893856357997E-2</v>
      </c>
      <c r="C122" s="13">
        <f t="shared" si="1"/>
        <v>1.0624795554401614</v>
      </c>
    </row>
    <row r="123" spans="1:3" x14ac:dyDescent="0.45">
      <c r="A123" s="2">
        <f>'Daily Returns'!A111</f>
        <v>45233</v>
      </c>
      <c r="B123" s="6">
        <f>0.33*'Daily Returns'!B111+0.127*'Daily Returns'!C111+0.12*'Daily Returns'!D111+0.086*'Daily Returns'!E111+0.337*'Daily Returns'!F111</f>
        <v>7.1735327622849928E-3</v>
      </c>
      <c r="C123" s="13">
        <f t="shared" si="1"/>
        <v>1.0701012873403695</v>
      </c>
    </row>
    <row r="124" spans="1:3" x14ac:dyDescent="0.45">
      <c r="A124" s="2">
        <f>'Daily Returns'!A112</f>
        <v>45236</v>
      </c>
      <c r="B124" s="6">
        <f>0.33*'Daily Returns'!B112+0.127*'Daily Returns'!C112+0.12*'Daily Returns'!D112+0.086*'Daily Returns'!E112+0.337*'Daily Returns'!F112</f>
        <v>-1.4907514020088717E-3</v>
      </c>
      <c r="C124" s="13">
        <f t="shared" si="1"/>
        <v>1.0685060323459754</v>
      </c>
    </row>
    <row r="125" spans="1:3" x14ac:dyDescent="0.45">
      <c r="A125" s="2">
        <f>'Daily Returns'!A113</f>
        <v>45237</v>
      </c>
      <c r="B125" s="6">
        <f>0.33*'Daily Returns'!B113+0.127*'Daily Returns'!C113+0.12*'Daily Returns'!D113+0.086*'Daily Returns'!E113+0.337*'Daily Returns'!F113</f>
        <v>-6.6644228434734244E-5</v>
      </c>
      <c r="C125" s="13">
        <f t="shared" si="1"/>
        <v>1.068434822585872</v>
      </c>
    </row>
    <row r="126" spans="1:3" x14ac:dyDescent="0.45">
      <c r="A126" s="2">
        <f>'Daily Returns'!A114</f>
        <v>45238</v>
      </c>
      <c r="B126" s="6">
        <f>0.33*'Daily Returns'!B114+0.127*'Daily Returns'!C114+0.12*'Daily Returns'!D114+0.086*'Daily Returns'!E114+0.337*'Daily Returns'!F114</f>
        <v>2.3328630591957231E-4</v>
      </c>
      <c r="C126" s="13">
        <f t="shared" si="1"/>
        <v>1.0686840737987489</v>
      </c>
    </row>
    <row r="127" spans="1:3" x14ac:dyDescent="0.45">
      <c r="A127" s="2">
        <f>'Daily Returns'!A115</f>
        <v>45239</v>
      </c>
      <c r="B127" s="6">
        <f>0.33*'Daily Returns'!B115+0.127*'Daily Returns'!C115+0.12*'Daily Returns'!D115+0.086*'Daily Returns'!E115+0.337*'Daily Returns'!F115</f>
        <v>-2.5005387737633352E-3</v>
      </c>
      <c r="C127" s="13">
        <f t="shared" si="1"/>
        <v>1.0660117878353117</v>
      </c>
    </row>
    <row r="128" spans="1:3" x14ac:dyDescent="0.45">
      <c r="A128" s="2">
        <f>'Daily Returns'!A116</f>
        <v>45240</v>
      </c>
      <c r="B128" s="6">
        <f>0.33*'Daily Returns'!B116+0.127*'Daily Returns'!C116+0.12*'Daily Returns'!D116+0.086*'Daily Returns'!E116+0.337*'Daily Returns'!F116</f>
        <v>7.6460806687692626E-3</v>
      </c>
      <c r="C128" s="13">
        <f t="shared" si="1"/>
        <v>1.0741625999589595</v>
      </c>
    </row>
    <row r="129" spans="1:3" x14ac:dyDescent="0.45">
      <c r="A129" s="2">
        <f>'Daily Returns'!A117</f>
        <v>45243</v>
      </c>
      <c r="B129" s="6">
        <f>0.33*'Daily Returns'!B117+0.127*'Daily Returns'!C117+0.12*'Daily Returns'!D117+0.086*'Daily Returns'!E117+0.337*'Daily Returns'!F117</f>
        <v>5.1035737028144756E-4</v>
      </c>
      <c r="C129" s="13">
        <f t="shared" si="1"/>
        <v>1.0747108067587292</v>
      </c>
    </row>
    <row r="130" spans="1:3" x14ac:dyDescent="0.45">
      <c r="A130" s="2">
        <f>'Daily Returns'!A118</f>
        <v>45244</v>
      </c>
      <c r="B130" s="6">
        <f>0.33*'Daily Returns'!B118+0.127*'Daily Returns'!C118+0.12*'Daily Returns'!D118+0.086*'Daily Returns'!E118+0.337*'Daily Returns'!F118</f>
        <v>1.0892753910412476E-2</v>
      </c>
      <c r="C130" s="13">
        <f t="shared" si="1"/>
        <v>1.0864173671016129</v>
      </c>
    </row>
    <row r="131" spans="1:3" x14ac:dyDescent="0.45">
      <c r="A131" s="2">
        <f>'Daily Returns'!A119</f>
        <v>45245</v>
      </c>
      <c r="B131" s="6">
        <f>0.33*'Daily Returns'!B119+0.127*'Daily Returns'!C119+0.12*'Daily Returns'!D119+0.086*'Daily Returns'!E119+0.337*'Daily Returns'!F119</f>
        <v>-7.9028852318454028E-4</v>
      </c>
      <c r="C131" s="13">
        <f t="shared" si="1"/>
        <v>1.085558783925004</v>
      </c>
    </row>
    <row r="132" spans="1:3" x14ac:dyDescent="0.45">
      <c r="A132" s="2">
        <f>'Daily Returns'!A120</f>
        <v>45246</v>
      </c>
      <c r="B132" s="6">
        <f>0.33*'Daily Returns'!B120+0.127*'Daily Returns'!C120+0.12*'Daily Returns'!D120+0.086*'Daily Returns'!E120+0.337*'Daily Returns'!F120</f>
        <v>-9.4731865588845894E-4</v>
      </c>
      <c r="C132" s="13">
        <f t="shared" si="1"/>
        <v>1.0845304138369283</v>
      </c>
    </row>
    <row r="133" spans="1:3" x14ac:dyDescent="0.45">
      <c r="A133" s="2">
        <f>'Daily Returns'!A121</f>
        <v>45247</v>
      </c>
      <c r="B133" s="6">
        <f>0.33*'Daily Returns'!B121+0.127*'Daily Returns'!C121+0.12*'Daily Returns'!D121+0.086*'Daily Returns'!E121+0.337*'Daily Returns'!F121</f>
        <v>1.9877554035411995E-3</v>
      </c>
      <c r="C133" s="13">
        <f t="shared" si="1"/>
        <v>1.0866861950273374</v>
      </c>
    </row>
    <row r="134" spans="1:3" x14ac:dyDescent="0.45">
      <c r="A134" s="2">
        <f>'Daily Returns'!A122</f>
        <v>45250</v>
      </c>
      <c r="B134" s="6">
        <f>0.33*'Daily Returns'!B122+0.127*'Daily Returns'!C122+0.12*'Daily Returns'!D122+0.086*'Daily Returns'!E122+0.337*'Daily Returns'!F122</f>
        <v>3.1244361553253628E-3</v>
      </c>
      <c r="C134" s="13">
        <f t="shared" si="1"/>
        <v>1.0900814766645737</v>
      </c>
    </row>
    <row r="135" spans="1:3" x14ac:dyDescent="0.45">
      <c r="A135" s="2">
        <f>'Daily Returns'!A123</f>
        <v>45251</v>
      </c>
      <c r="B135" s="6">
        <f>0.33*'Daily Returns'!B123+0.127*'Daily Returns'!C123+0.12*'Daily Returns'!D123+0.086*'Daily Returns'!E123+0.337*'Daily Returns'!F123</f>
        <v>-4.4659562615633451E-4</v>
      </c>
      <c r="C135" s="13">
        <f t="shared" si="1"/>
        <v>1.0895946510449412</v>
      </c>
    </row>
    <row r="136" spans="1:3" x14ac:dyDescent="0.45">
      <c r="A136" s="2">
        <f>'Daily Returns'!A124</f>
        <v>45252</v>
      </c>
      <c r="B136" s="6">
        <f>0.33*'Daily Returns'!B124+0.127*'Daily Returns'!C124+0.12*'Daily Returns'!D124+0.086*'Daily Returns'!E124+0.337*'Daily Returns'!F124</f>
        <v>2.4052750038005919E-3</v>
      </c>
      <c r="C136" s="13">
        <f t="shared" si="1"/>
        <v>1.0922154258233745</v>
      </c>
    </row>
    <row r="137" spans="1:3" x14ac:dyDescent="0.45">
      <c r="A137" s="2">
        <f>'Daily Returns'!A125</f>
        <v>45254</v>
      </c>
      <c r="B137" s="6">
        <f>0.33*'Daily Returns'!B125+0.127*'Daily Returns'!C125+0.12*'Daily Returns'!D125+0.086*'Daily Returns'!E125+0.337*'Daily Returns'!F125</f>
        <v>1.7982081803935401E-3</v>
      </c>
      <c r="C137" s="13">
        <f t="shared" si="1"/>
        <v>1.0941794565368421</v>
      </c>
    </row>
    <row r="138" spans="1:3" x14ac:dyDescent="0.45">
      <c r="A138" s="2">
        <f>'Daily Returns'!A126</f>
        <v>45257</v>
      </c>
      <c r="B138" s="6">
        <f>0.33*'Daily Returns'!B126+0.127*'Daily Returns'!C126+0.12*'Daily Returns'!D126+0.086*'Daily Returns'!E126+0.337*'Daily Returns'!F126</f>
        <v>-1.0701327186035745E-3</v>
      </c>
      <c r="C138" s="13">
        <f t="shared" si="1"/>
        <v>1.0930085393003781</v>
      </c>
    </row>
    <row r="139" spans="1:3" x14ac:dyDescent="0.45">
      <c r="A139" s="2">
        <f>'Daily Returns'!A127</f>
        <v>45258</v>
      </c>
      <c r="B139" s="6">
        <f>0.33*'Daily Returns'!B127+0.127*'Daily Returns'!C127+0.12*'Daily Returns'!D127+0.086*'Daily Returns'!E127+0.337*'Daily Returns'!F127</f>
        <v>-1.2609528852006362E-3</v>
      </c>
      <c r="C139" s="13">
        <f t="shared" si="1"/>
        <v>1.0916303070291984</v>
      </c>
    </row>
    <row r="140" spans="1:3" x14ac:dyDescent="0.45">
      <c r="A140" s="2">
        <f>'Daily Returns'!A128</f>
        <v>45259</v>
      </c>
      <c r="B140" s="6">
        <f>0.33*'Daily Returns'!B128+0.127*'Daily Returns'!C128+0.12*'Daily Returns'!D128+0.086*'Daily Returns'!E128+0.337*'Daily Returns'!F128</f>
        <v>-9.7967550485352287E-4</v>
      </c>
      <c r="C140" s="13">
        <f t="shared" si="1"/>
        <v>1.0905608635570461</v>
      </c>
    </row>
    <row r="141" spans="1:3" x14ac:dyDescent="0.45">
      <c r="A141" s="2">
        <f>'Daily Returns'!A129</f>
        <v>45260</v>
      </c>
      <c r="B141" s="6">
        <f>0.33*'Daily Returns'!B129+0.127*'Daily Returns'!C129+0.12*'Daily Returns'!D129+0.086*'Daily Returns'!E129+0.337*'Daily Returns'!F129</f>
        <v>3.0834359326695807E-3</v>
      </c>
      <c r="C141" s="13">
        <f t="shared" si="1"/>
        <v>1.0939235381105012</v>
      </c>
    </row>
    <row r="142" spans="1:3" x14ac:dyDescent="0.45">
      <c r="A142" s="2">
        <f>'Daily Returns'!A130</f>
        <v>45261</v>
      </c>
      <c r="B142" s="6">
        <f>0.33*'Daily Returns'!B130+0.127*'Daily Returns'!C130+0.12*'Daily Returns'!D130+0.086*'Daily Returns'!E130+0.337*'Daily Returns'!F130</f>
        <v>2.7990825643138366E-3</v>
      </c>
      <c r="C142" s="13">
        <f t="shared" si="1"/>
        <v>1.0969855204127188</v>
      </c>
    </row>
    <row r="143" spans="1:3" x14ac:dyDescent="0.45">
      <c r="A143" s="2">
        <f>'Daily Returns'!A131</f>
        <v>45264</v>
      </c>
      <c r="B143" s="6">
        <f>0.33*'Daily Returns'!B131+0.127*'Daily Returns'!C131+0.12*'Daily Returns'!D131+0.086*'Daily Returns'!E131+0.337*'Daily Returns'!F131</f>
        <v>-3.2859938225105862E-3</v>
      </c>
      <c r="C143" s="13">
        <f t="shared" ref="C143:C206" si="2">C142*(1+B143)</f>
        <v>1.0933808327692591</v>
      </c>
    </row>
    <row r="144" spans="1:3" x14ac:dyDescent="0.45">
      <c r="A144" s="2">
        <f>'Daily Returns'!A132</f>
        <v>45265</v>
      </c>
      <c r="B144" s="6">
        <f>0.33*'Daily Returns'!B132+0.127*'Daily Returns'!C132+0.12*'Daily Returns'!D132+0.086*'Daily Returns'!E132+0.337*'Daily Returns'!F132</f>
        <v>-2.0376545509902689E-3</v>
      </c>
      <c r="C144" s="13">
        <f t="shared" si="2"/>
        <v>1.0911529003394014</v>
      </c>
    </row>
    <row r="145" spans="1:3" x14ac:dyDescent="0.45">
      <c r="A145" s="2">
        <f>'Daily Returns'!A133</f>
        <v>45266</v>
      </c>
      <c r="B145" s="6">
        <f>0.33*'Daily Returns'!B133+0.127*'Daily Returns'!C133+0.12*'Daily Returns'!D133+0.086*'Daily Returns'!E133+0.337*'Daily Returns'!F133</f>
        <v>-2.8387616382676293E-3</v>
      </c>
      <c r="C145" s="13">
        <f t="shared" si="2"/>
        <v>1.0880553773444335</v>
      </c>
    </row>
    <row r="146" spans="1:3" x14ac:dyDescent="0.45">
      <c r="A146" s="2">
        <f>'Daily Returns'!A134</f>
        <v>45267</v>
      </c>
      <c r="B146" s="6">
        <f>0.33*'Daily Returns'!B134+0.127*'Daily Returns'!C134+0.12*'Daily Returns'!D134+0.086*'Daily Returns'!E134+0.337*'Daily Returns'!F134</f>
        <v>5.922224506208381E-3</v>
      </c>
      <c r="C146" s="13">
        <f t="shared" si="2"/>
        <v>1.0944990855642545</v>
      </c>
    </row>
    <row r="147" spans="1:3" x14ac:dyDescent="0.45">
      <c r="A147" s="2">
        <f>'Daily Returns'!A135</f>
        <v>45268</v>
      </c>
      <c r="B147" s="6">
        <f>0.33*'Daily Returns'!B135+0.127*'Daily Returns'!C135+0.12*'Daily Returns'!D135+0.086*'Daily Returns'!E135+0.337*'Daily Returns'!F135</f>
        <v>3.9967596143944528E-3</v>
      </c>
      <c r="C147" s="13">
        <f t="shared" si="2"/>
        <v>1.0988735353074293</v>
      </c>
    </row>
    <row r="148" spans="1:3" x14ac:dyDescent="0.45">
      <c r="A148" s="2">
        <f>'Daily Returns'!A136</f>
        <v>45271</v>
      </c>
      <c r="B148" s="6">
        <f>0.33*'Daily Returns'!B136+0.127*'Daily Returns'!C136+0.12*'Daily Returns'!D136+0.086*'Daily Returns'!E136+0.337*'Daily Returns'!F136</f>
        <v>9.5724176294105035E-4</v>
      </c>
      <c r="C148" s="13">
        <f t="shared" si="2"/>
        <v>1.0999254229476163</v>
      </c>
    </row>
    <row r="149" spans="1:3" x14ac:dyDescent="0.45">
      <c r="A149" s="2">
        <f>'Daily Returns'!A137</f>
        <v>45272</v>
      </c>
      <c r="B149" s="6">
        <f>0.33*'Daily Returns'!B137+0.127*'Daily Returns'!C137+0.12*'Daily Returns'!D137+0.086*'Daily Returns'!E137+0.337*'Daily Returns'!F137</f>
        <v>3.7422539268825278E-3</v>
      </c>
      <c r="C149" s="13">
        <f t="shared" si="2"/>
        <v>1.10404162318092</v>
      </c>
    </row>
    <row r="150" spans="1:3" x14ac:dyDescent="0.45">
      <c r="A150" s="2">
        <f>'Daily Returns'!A138</f>
        <v>45273</v>
      </c>
      <c r="B150" s="6">
        <f>0.33*'Daily Returns'!B138+0.127*'Daily Returns'!C138+0.12*'Daily Returns'!D138+0.086*'Daily Returns'!E138+0.337*'Daily Returns'!F138</f>
        <v>6.7926147937306053E-3</v>
      </c>
      <c r="C150" s="13">
        <f t="shared" si="2"/>
        <v>1.111540952643433</v>
      </c>
    </row>
    <row r="151" spans="1:3" x14ac:dyDescent="0.45">
      <c r="A151" s="2">
        <f>'Daily Returns'!A139</f>
        <v>45274</v>
      </c>
      <c r="B151" s="6">
        <f>0.33*'Daily Returns'!B139+0.127*'Daily Returns'!C139+0.12*'Daily Returns'!D139+0.086*'Daily Returns'!E139+0.337*'Daily Returns'!F139</f>
        <v>2.5181141825319545E-3</v>
      </c>
      <c r="C151" s="13">
        <f t="shared" si="2"/>
        <v>1.1143399396807494</v>
      </c>
    </row>
    <row r="152" spans="1:3" x14ac:dyDescent="0.45">
      <c r="A152" s="2">
        <f>'Daily Returns'!A140</f>
        <v>45275</v>
      </c>
      <c r="B152" s="6">
        <f>0.33*'Daily Returns'!B140+0.127*'Daily Returns'!C140+0.12*'Daily Returns'!D140+0.086*'Daily Returns'!E140+0.337*'Daily Returns'!F140</f>
        <v>-2.7391527976140463E-3</v>
      </c>
      <c r="C152" s="13">
        <f t="shared" si="2"/>
        <v>1.1112875923174799</v>
      </c>
    </row>
    <row r="153" spans="1:3" x14ac:dyDescent="0.45">
      <c r="A153" s="2">
        <f>'Daily Returns'!A141</f>
        <v>45278</v>
      </c>
      <c r="B153" s="6">
        <f>0.33*'Daily Returns'!B141+0.127*'Daily Returns'!C141+0.12*'Daily Returns'!D141+0.086*'Daily Returns'!E141+0.337*'Daily Returns'!F141</f>
        <v>2.8366753893821839E-3</v>
      </c>
      <c r="C153" s="13">
        <f t="shared" si="2"/>
        <v>1.1144399544811328</v>
      </c>
    </row>
    <row r="154" spans="1:3" x14ac:dyDescent="0.45">
      <c r="A154" s="2">
        <f>'Daily Returns'!A142</f>
        <v>45279</v>
      </c>
      <c r="B154" s="6">
        <f>0.33*'Daily Returns'!B142+0.127*'Daily Returns'!C142+0.12*'Daily Returns'!D142+0.086*'Daily Returns'!E142+0.337*'Daily Returns'!F142</f>
        <v>3.8677924370845301E-3</v>
      </c>
      <c r="C154" s="13">
        <f t="shared" si="2"/>
        <v>1.1187503769086595</v>
      </c>
    </row>
    <row r="155" spans="1:3" x14ac:dyDescent="0.45">
      <c r="A155" s="2">
        <f>'Daily Returns'!A143</f>
        <v>45280</v>
      </c>
      <c r="B155" s="6">
        <f>0.33*'Daily Returns'!B143+0.127*'Daily Returns'!C143+0.12*'Daily Returns'!D143+0.086*'Daily Returns'!E143+0.337*'Daily Returns'!F143</f>
        <v>-7.4578968298039325E-3</v>
      </c>
      <c r="C155" s="13">
        <f t="shared" si="2"/>
        <v>1.1104068520193704</v>
      </c>
    </row>
    <row r="156" spans="1:3" x14ac:dyDescent="0.45">
      <c r="A156" s="2">
        <f>'Daily Returns'!A144</f>
        <v>45281</v>
      </c>
      <c r="B156" s="6">
        <f>0.33*'Daily Returns'!B144+0.127*'Daily Returns'!C144+0.12*'Daily Returns'!D144+0.086*'Daily Returns'!E144+0.337*'Daily Returns'!F144</f>
        <v>4.6107679618206335E-3</v>
      </c>
      <c r="C156" s="13">
        <f t="shared" si="2"/>
        <v>1.1155266803572474</v>
      </c>
    </row>
    <row r="157" spans="1:3" x14ac:dyDescent="0.45">
      <c r="A157" s="2">
        <f>'Daily Returns'!A145</f>
        <v>45282</v>
      </c>
      <c r="B157" s="6">
        <f>0.33*'Daily Returns'!B145+0.127*'Daily Returns'!C145+0.12*'Daily Returns'!D145+0.086*'Daily Returns'!E145+0.337*'Daily Returns'!F145</f>
        <v>2.6913884645342174E-3</v>
      </c>
      <c r="C157" s="13">
        <f t="shared" si="2"/>
        <v>1.1185289959966411</v>
      </c>
    </row>
    <row r="158" spans="1:3" x14ac:dyDescent="0.45">
      <c r="A158" s="2">
        <f>'Daily Returns'!A146</f>
        <v>45286</v>
      </c>
      <c r="B158" s="6">
        <f>0.33*'Daily Returns'!B146+0.127*'Daily Returns'!C146+0.12*'Daily Returns'!D146+0.086*'Daily Returns'!E146+0.337*'Daily Returns'!F146</f>
        <v>4.4581882172840207E-3</v>
      </c>
      <c r="C158" s="13">
        <f t="shared" si="2"/>
        <v>1.123515608787284</v>
      </c>
    </row>
    <row r="159" spans="1:3" x14ac:dyDescent="0.45">
      <c r="A159" s="2">
        <f>'Daily Returns'!A147</f>
        <v>45287</v>
      </c>
      <c r="B159" s="6">
        <f>0.33*'Daily Returns'!B147+0.127*'Daily Returns'!C147+0.12*'Daily Returns'!D147+0.086*'Daily Returns'!E147+0.337*'Daily Returns'!F147</f>
        <v>3.5769575474659436E-3</v>
      </c>
      <c r="C159" s="13">
        <f t="shared" si="2"/>
        <v>1.1275343764238315</v>
      </c>
    </row>
    <row r="160" spans="1:3" x14ac:dyDescent="0.45">
      <c r="A160" s="2">
        <f>'Daily Returns'!A148</f>
        <v>45288</v>
      </c>
      <c r="B160" s="6">
        <f>0.33*'Daily Returns'!B148+0.127*'Daily Returns'!C148+0.12*'Daily Returns'!D148+0.086*'Daily Returns'!E148+0.337*'Daily Returns'!F148</f>
        <v>1.2261165941944542E-3</v>
      </c>
      <c r="C160" s="13">
        <f t="shared" si="2"/>
        <v>1.1289168650332895</v>
      </c>
    </row>
    <row r="161" spans="1:3" x14ac:dyDescent="0.45">
      <c r="A161" s="2">
        <f>'Daily Returns'!A149</f>
        <v>45289</v>
      </c>
      <c r="B161" s="6">
        <f>0.33*'Daily Returns'!B149+0.127*'Daily Returns'!C149+0.12*'Daily Returns'!D149+0.086*'Daily Returns'!E149+0.337*'Daily Returns'!F149</f>
        <v>-3.3529989785085991E-3</v>
      </c>
      <c r="C161" s="13">
        <f t="shared" si="2"/>
        <v>1.1251316079380118</v>
      </c>
    </row>
    <row r="162" spans="1:3" x14ac:dyDescent="0.45">
      <c r="A162" s="2">
        <f>'Daily Returns'!A150</f>
        <v>45293</v>
      </c>
      <c r="B162" s="6">
        <f>0.33*'Daily Returns'!B150+0.127*'Daily Returns'!C150+0.12*'Daily Returns'!D150+0.086*'Daily Returns'!E150+0.337*'Daily Returns'!F150</f>
        <v>-1.2499949060737888E-3</v>
      </c>
      <c r="C162" s="13">
        <f t="shared" si="2"/>
        <v>1.1237251991594266</v>
      </c>
    </row>
    <row r="163" spans="1:3" x14ac:dyDescent="0.45">
      <c r="A163" s="2">
        <f>'Daily Returns'!A151</f>
        <v>45294</v>
      </c>
      <c r="B163" s="6">
        <f>0.33*'Daily Returns'!B151+0.127*'Daily Returns'!C151+0.12*'Daily Returns'!D151+0.086*'Daily Returns'!E151+0.337*'Daily Returns'!F151</f>
        <v>-3.2433917153005922E-3</v>
      </c>
      <c r="C163" s="13">
        <f t="shared" si="2"/>
        <v>1.1200805181581983</v>
      </c>
    </row>
    <row r="164" spans="1:3" x14ac:dyDescent="0.45">
      <c r="A164" s="2">
        <f>'Daily Returns'!A152</f>
        <v>45295</v>
      </c>
      <c r="B164" s="6">
        <f>0.33*'Daily Returns'!B152+0.127*'Daily Returns'!C152+0.12*'Daily Returns'!D152+0.086*'Daily Returns'!E152+0.337*'Daily Returns'!F152</f>
        <v>6.2601055439454427E-3</v>
      </c>
      <c r="C164" s="13">
        <f t="shared" si="2"/>
        <v>1.1270923404195858</v>
      </c>
    </row>
    <row r="165" spans="1:3" x14ac:dyDescent="0.45">
      <c r="A165" s="2">
        <f>'Daily Returns'!A153</f>
        <v>45296</v>
      </c>
      <c r="B165" s="6">
        <f>0.33*'Daily Returns'!B153+0.127*'Daily Returns'!C153+0.12*'Daily Returns'!D153+0.086*'Daily Returns'!E153+0.337*'Daily Returns'!F153</f>
        <v>-1.2683115695918859E-3</v>
      </c>
      <c r="C165" s="13">
        <f t="shared" si="2"/>
        <v>1.1256628361642333</v>
      </c>
    </row>
    <row r="166" spans="1:3" x14ac:dyDescent="0.45">
      <c r="A166" s="2">
        <f>'Daily Returns'!A154</f>
        <v>45299</v>
      </c>
      <c r="B166" s="6">
        <f>0.33*'Daily Returns'!B154+0.127*'Daily Returns'!C154+0.12*'Daily Returns'!D154+0.086*'Daily Returns'!E154+0.337*'Daily Returns'!F154</f>
        <v>5.949725471445436E-3</v>
      </c>
      <c r="C166" s="13">
        <f t="shared" si="2"/>
        <v>1.1323602210128192</v>
      </c>
    </row>
    <row r="167" spans="1:3" x14ac:dyDescent="0.45">
      <c r="A167" s="2">
        <f>'Daily Returns'!A155</f>
        <v>45300</v>
      </c>
      <c r="B167" s="6">
        <f>0.33*'Daily Returns'!B155+0.127*'Daily Returns'!C155+0.12*'Daily Returns'!D155+0.086*'Daily Returns'!E155+0.337*'Daily Returns'!F155</f>
        <v>-2.0427231235730717E-3</v>
      </c>
      <c r="C167" s="13">
        <f t="shared" si="2"/>
        <v>1.1300471226051418</v>
      </c>
    </row>
    <row r="168" spans="1:3" x14ac:dyDescent="0.45">
      <c r="A168" s="2">
        <f>'Daily Returns'!A156</f>
        <v>45301</v>
      </c>
      <c r="B168" s="6">
        <f>0.33*'Daily Returns'!B156+0.127*'Daily Returns'!C156+0.12*'Daily Returns'!D156+0.086*'Daily Returns'!E156+0.337*'Daily Returns'!F156</f>
        <v>2.4402000798566018E-3</v>
      </c>
      <c r="C168" s="13">
        <f t="shared" si="2"/>
        <v>1.1328046636839648</v>
      </c>
    </row>
    <row r="169" spans="1:3" x14ac:dyDescent="0.45">
      <c r="A169" s="2">
        <f>'Daily Returns'!A157</f>
        <v>45302</v>
      </c>
      <c r="B169" s="6">
        <f>0.33*'Daily Returns'!B157+0.127*'Daily Returns'!C157+0.12*'Daily Returns'!D157+0.086*'Daily Returns'!E157+0.337*'Daily Returns'!F157</f>
        <v>-1.9758370622732775E-3</v>
      </c>
      <c r="C169" s="13">
        <f t="shared" si="2"/>
        <v>1.130566426245142</v>
      </c>
    </row>
    <row r="170" spans="1:3" x14ac:dyDescent="0.45">
      <c r="A170" s="2">
        <f>'Daily Returns'!A158</f>
        <v>45303</v>
      </c>
      <c r="B170" s="6">
        <f>0.33*'Daily Returns'!B158+0.127*'Daily Returns'!C158+0.12*'Daily Returns'!D158+0.086*'Daily Returns'!E158+0.337*'Daily Returns'!F158</f>
        <v>2.1919282650443763E-3</v>
      </c>
      <c r="C170" s="13">
        <f t="shared" si="2"/>
        <v>1.1330445467503389</v>
      </c>
    </row>
    <row r="171" spans="1:3" x14ac:dyDescent="0.45">
      <c r="A171" s="2">
        <f>'Daily Returns'!A159</f>
        <v>45307</v>
      </c>
      <c r="B171" s="6">
        <f>0.33*'Daily Returns'!B159+0.127*'Daily Returns'!C159+0.12*'Daily Returns'!D159+0.086*'Daily Returns'!E159+0.337*'Daily Returns'!F159</f>
        <v>-4.1228815332358905E-3</v>
      </c>
      <c r="C171" s="13">
        <f t="shared" si="2"/>
        <v>1.1283731383122082</v>
      </c>
    </row>
    <row r="172" spans="1:3" x14ac:dyDescent="0.45">
      <c r="A172" s="2">
        <f>'Daily Returns'!A160</f>
        <v>45308</v>
      </c>
      <c r="B172" s="6">
        <f>0.33*'Daily Returns'!B160+0.127*'Daily Returns'!C160+0.12*'Daily Returns'!D160+0.086*'Daily Returns'!E160+0.337*'Daily Returns'!F160</f>
        <v>-1.1701757126667618E-3</v>
      </c>
      <c r="C172" s="13">
        <f t="shared" si="2"/>
        <v>1.1270527434709297</v>
      </c>
    </row>
    <row r="173" spans="1:3" x14ac:dyDescent="0.45">
      <c r="A173" s="2">
        <f>'Daily Returns'!A161</f>
        <v>45309</v>
      </c>
      <c r="B173" s="6">
        <f>0.33*'Daily Returns'!B161+0.127*'Daily Returns'!C161+0.12*'Daily Returns'!D161+0.086*'Daily Returns'!E161+0.337*'Daily Returns'!F161</f>
        <v>4.3378965642701592E-3</v>
      </c>
      <c r="C173" s="13">
        <f t="shared" si="2"/>
        <v>1.1319417816945836</v>
      </c>
    </row>
    <row r="174" spans="1:3" x14ac:dyDescent="0.45">
      <c r="A174" s="2">
        <f>'Daily Returns'!A162</f>
        <v>45310</v>
      </c>
      <c r="B174" s="6">
        <f>0.33*'Daily Returns'!B162+0.127*'Daily Returns'!C162+0.12*'Daily Returns'!D162+0.086*'Daily Returns'!E162+0.337*'Daily Returns'!F162</f>
        <v>4.9357304020724978E-3</v>
      </c>
      <c r="C174" s="13">
        <f t="shared" si="2"/>
        <v>1.1375287411598696</v>
      </c>
    </row>
    <row r="175" spans="1:3" x14ac:dyDescent="0.45">
      <c r="A175" s="2">
        <f>'Daily Returns'!A163</f>
        <v>45313</v>
      </c>
      <c r="B175" s="6">
        <f>0.33*'Daily Returns'!B163+0.127*'Daily Returns'!C163+0.12*'Daily Returns'!D163+0.086*'Daily Returns'!E163+0.337*'Daily Returns'!F163</f>
        <v>3.2562950222246494E-3</v>
      </c>
      <c r="C175" s="13">
        <f t="shared" si="2"/>
        <v>1.1412328703373458</v>
      </c>
    </row>
    <row r="176" spans="1:3" x14ac:dyDescent="0.45">
      <c r="A176" s="2">
        <f>'Daily Returns'!A164</f>
        <v>45314</v>
      </c>
      <c r="B176" s="6">
        <f>0.33*'Daily Returns'!B164+0.127*'Daily Returns'!C164+0.12*'Daily Returns'!D164+0.086*'Daily Returns'!E164+0.337*'Daily Returns'!F164</f>
        <v>1.8814787685803209E-3</v>
      </c>
      <c r="C176" s="13">
        <f t="shared" si="2"/>
        <v>1.1433800757528916</v>
      </c>
    </row>
    <row r="177" spans="1:3" x14ac:dyDescent="0.45">
      <c r="A177" s="2">
        <f>'Daily Returns'!A165</f>
        <v>45315</v>
      </c>
      <c r="B177" s="6">
        <f>0.33*'Daily Returns'!B165+0.127*'Daily Returns'!C165+0.12*'Daily Returns'!D165+0.086*'Daily Returns'!E165+0.337*'Daily Returns'!F165</f>
        <v>-1.119485047882825E-3</v>
      </c>
      <c r="C177" s="13">
        <f t="shared" si="2"/>
        <v>1.142100078854039</v>
      </c>
    </row>
    <row r="178" spans="1:3" x14ac:dyDescent="0.45">
      <c r="A178" s="2">
        <f>'Daily Returns'!A166</f>
        <v>45316</v>
      </c>
      <c r="B178" s="6">
        <f>0.33*'Daily Returns'!B166+0.127*'Daily Returns'!C166+0.12*'Daily Returns'!D166+0.086*'Daily Returns'!E166+0.337*'Daily Returns'!F166</f>
        <v>2.8523275688544601E-3</v>
      </c>
      <c r="C178" s="13">
        <f t="shared" si="2"/>
        <v>1.1453577223953453</v>
      </c>
    </row>
    <row r="179" spans="1:3" x14ac:dyDescent="0.45">
      <c r="A179" s="2">
        <f>'Daily Returns'!A167</f>
        <v>45317</v>
      </c>
      <c r="B179" s="6">
        <f>0.33*'Daily Returns'!B167+0.127*'Daily Returns'!C167+0.12*'Daily Returns'!D167+0.086*'Daily Returns'!E167+0.337*'Daily Returns'!F167</f>
        <v>2.0060731762184935E-3</v>
      </c>
      <c r="C179" s="13">
        <f t="shared" si="2"/>
        <v>1.1476553937994174</v>
      </c>
    </row>
    <row r="180" spans="1:3" x14ac:dyDescent="0.45">
      <c r="A180" s="2">
        <f>'Daily Returns'!A168</f>
        <v>45320</v>
      </c>
      <c r="B180" s="6">
        <f>0.33*'Daily Returns'!B168+0.127*'Daily Returns'!C168+0.12*'Daily Returns'!D168+0.086*'Daily Returns'!E168+0.337*'Daily Returns'!F168</f>
        <v>1.5898987423483026E-3</v>
      </c>
      <c r="C180" s="13">
        <f t="shared" si="2"/>
        <v>1.1494800496666684</v>
      </c>
    </row>
    <row r="181" spans="1:3" x14ac:dyDescent="0.45">
      <c r="A181" s="2">
        <f>'Daily Returns'!A169</f>
        <v>45321</v>
      </c>
      <c r="B181" s="6">
        <f>0.33*'Daily Returns'!B169+0.127*'Daily Returns'!C169+0.12*'Daily Returns'!D169+0.086*'Daily Returns'!E169+0.337*'Daily Returns'!F169</f>
        <v>1.2213089488684423E-3</v>
      </c>
      <c r="C181" s="13">
        <f t="shared" si="2"/>
        <v>1.150883919937872</v>
      </c>
    </row>
    <row r="182" spans="1:3" x14ac:dyDescent="0.45">
      <c r="A182" s="2">
        <f>'Daily Returns'!A170</f>
        <v>45322</v>
      </c>
      <c r="B182" s="6">
        <f>0.33*'Daily Returns'!B170+0.127*'Daily Returns'!C170+0.12*'Daily Returns'!D170+0.086*'Daily Returns'!E170+0.337*'Daily Returns'!F170</f>
        <v>-1.0849145476292933E-2</v>
      </c>
      <c r="C182" s="13">
        <f t="shared" si="2"/>
        <v>1.1383978128641399</v>
      </c>
    </row>
    <row r="183" spans="1:3" x14ac:dyDescent="0.45">
      <c r="A183" s="2">
        <f>'Daily Returns'!A171</f>
        <v>45323</v>
      </c>
      <c r="B183" s="6">
        <f>0.33*'Daily Returns'!B171+0.127*'Daily Returns'!C171+0.12*'Daily Returns'!D171+0.086*'Daily Returns'!E171+0.337*'Daily Returns'!F171</f>
        <v>1.8950319172464666E-3</v>
      </c>
      <c r="C183" s="13">
        <f t="shared" si="2"/>
        <v>1.140555113054041</v>
      </c>
    </row>
    <row r="184" spans="1:3" x14ac:dyDescent="0.45">
      <c r="A184" s="2">
        <f>'Daily Returns'!A172</f>
        <v>45324</v>
      </c>
      <c r="B184" s="6">
        <f>0.33*'Daily Returns'!B172+0.127*'Daily Returns'!C172+0.12*'Daily Returns'!D172+0.086*'Daily Returns'!E172+0.337*'Daily Returns'!F172</f>
        <v>4.7060822107834735E-3</v>
      </c>
      <c r="C184" s="13">
        <f t="shared" si="2"/>
        <v>1.1459226591820026</v>
      </c>
    </row>
    <row r="185" spans="1:3" x14ac:dyDescent="0.45">
      <c r="A185" s="2">
        <f>'Daily Returns'!A173</f>
        <v>45327</v>
      </c>
      <c r="B185" s="6">
        <f>0.33*'Daily Returns'!B173+0.127*'Daily Returns'!C173+0.12*'Daily Returns'!D173+0.086*'Daily Returns'!E173+0.337*'Daily Returns'!F173</f>
        <v>-4.11319834042415E-3</v>
      </c>
      <c r="C185" s="13">
        <f t="shared" si="2"/>
        <v>1.1412092520020007</v>
      </c>
    </row>
    <row r="186" spans="1:3" x14ac:dyDescent="0.45">
      <c r="A186" s="2">
        <f>'Daily Returns'!A174</f>
        <v>45328</v>
      </c>
      <c r="B186" s="6">
        <f>0.33*'Daily Returns'!B174+0.127*'Daily Returns'!C174+0.12*'Daily Returns'!D174+0.086*'Daily Returns'!E174+0.337*'Daily Returns'!F174</f>
        <v>-1.059355024210081E-5</v>
      </c>
      <c r="C186" s="13">
        <f t="shared" si="2"/>
        <v>1.1411971625444528</v>
      </c>
    </row>
    <row r="187" spans="1:3" x14ac:dyDescent="0.45">
      <c r="A187" s="2">
        <f>'Daily Returns'!A175</f>
        <v>45329</v>
      </c>
      <c r="B187" s="6">
        <f>0.33*'Daily Returns'!B175+0.127*'Daily Returns'!C175+0.12*'Daily Returns'!D175+0.086*'Daily Returns'!E175+0.337*'Daily Returns'!F175</f>
        <v>5.5467781778700872E-3</v>
      </c>
      <c r="C187" s="13">
        <f t="shared" si="2"/>
        <v>1.1475271300623018</v>
      </c>
    </row>
    <row r="188" spans="1:3" x14ac:dyDescent="0.45">
      <c r="A188" s="2">
        <f>'Daily Returns'!A176</f>
        <v>45330</v>
      </c>
      <c r="B188" s="6">
        <f>0.33*'Daily Returns'!B176+0.127*'Daily Returns'!C176+0.12*'Daily Returns'!D176+0.086*'Daily Returns'!E176+0.337*'Daily Returns'!F176</f>
        <v>-1.0716947359042134E-3</v>
      </c>
      <c r="C188" s="13">
        <f t="shared" si="2"/>
        <v>1.1462973312777067</v>
      </c>
    </row>
    <row r="189" spans="1:3" x14ac:dyDescent="0.45">
      <c r="A189" s="2">
        <f>'Daily Returns'!A177</f>
        <v>45331</v>
      </c>
      <c r="B189" s="6">
        <f>0.33*'Daily Returns'!B177+0.127*'Daily Returns'!C177+0.12*'Daily Returns'!D177+0.086*'Daily Returns'!E177+0.337*'Daily Returns'!F177</f>
        <v>2.7746876996994556E-3</v>
      </c>
      <c r="C189" s="13">
        <f t="shared" si="2"/>
        <v>1.1494779483830013</v>
      </c>
    </row>
    <row r="190" spans="1:3" x14ac:dyDescent="0.45">
      <c r="A190" s="2">
        <f>'Daily Returns'!A178</f>
        <v>45334</v>
      </c>
      <c r="B190" s="6">
        <f>0.33*'Daily Returns'!B178+0.127*'Daily Returns'!C178+0.12*'Daily Returns'!D178+0.086*'Daily Returns'!E178+0.337*'Daily Returns'!F178</f>
        <v>2.7132629719464653E-3</v>
      </c>
      <c r="C190" s="13">
        <f t="shared" si="2"/>
        <v>1.1525967843374179</v>
      </c>
    </row>
    <row r="191" spans="1:3" x14ac:dyDescent="0.45">
      <c r="A191" s="2">
        <f>'Daily Returns'!A179</f>
        <v>45335</v>
      </c>
      <c r="B191" s="6">
        <f>0.33*'Daily Returns'!B179+0.127*'Daily Returns'!C179+0.12*'Daily Returns'!D179+0.086*'Daily Returns'!E179+0.337*'Daily Returns'!F179</f>
        <v>-5.2934142083832037E-3</v>
      </c>
      <c r="C191" s="13">
        <f t="shared" si="2"/>
        <v>1.1464956121426693</v>
      </c>
    </row>
    <row r="192" spans="1:3" x14ac:dyDescent="0.45">
      <c r="A192" s="2">
        <f>'Daily Returns'!A180</f>
        <v>45336</v>
      </c>
      <c r="B192" s="6">
        <f>0.33*'Daily Returns'!B180+0.127*'Daily Returns'!C180+0.12*'Daily Returns'!D180+0.086*'Daily Returns'!E180+0.337*'Daily Returns'!F180</f>
        <v>3.0383485036028749E-3</v>
      </c>
      <c r="C192" s="13">
        <f t="shared" si="2"/>
        <v>1.1499790653702102</v>
      </c>
    </row>
    <row r="193" spans="1:3" x14ac:dyDescent="0.45">
      <c r="A193" s="2">
        <f>'Daily Returns'!A181</f>
        <v>45337</v>
      </c>
      <c r="B193" s="6">
        <f>0.33*'Daily Returns'!B181+0.127*'Daily Returns'!C181+0.12*'Daily Returns'!D181+0.086*'Daily Returns'!E181+0.337*'Daily Returns'!F181</f>
        <v>5.3262451279125541E-3</v>
      </c>
      <c r="C193" s="13">
        <f t="shared" si="2"/>
        <v>1.1561041357643398</v>
      </c>
    </row>
    <row r="194" spans="1:3" x14ac:dyDescent="0.45">
      <c r="A194" s="2">
        <f>'Daily Returns'!A182</f>
        <v>45338</v>
      </c>
      <c r="B194" s="6">
        <f>0.33*'Daily Returns'!B182+0.127*'Daily Returns'!C182+0.12*'Daily Returns'!D182+0.086*'Daily Returns'!E182+0.337*'Daily Returns'!F182</f>
        <v>-1.4630732711885957E-3</v>
      </c>
      <c r="C194" s="13">
        <f t="shared" si="2"/>
        <v>1.1544126707045925</v>
      </c>
    </row>
    <row r="195" spans="1:3" x14ac:dyDescent="0.45">
      <c r="A195" s="2">
        <f>'Daily Returns'!A183</f>
        <v>45342</v>
      </c>
      <c r="B195" s="6">
        <f>0.33*'Daily Returns'!B183+0.127*'Daily Returns'!C183+0.12*'Daily Returns'!D183+0.086*'Daily Returns'!E183+0.337*'Daily Returns'!F183</f>
        <v>-2.966586100607853E-3</v>
      </c>
      <c r="C195" s="13">
        <f t="shared" si="2"/>
        <v>1.1509880061213147</v>
      </c>
    </row>
    <row r="196" spans="1:3" x14ac:dyDescent="0.45">
      <c r="A196" s="2">
        <f>'Daily Returns'!A184</f>
        <v>45343</v>
      </c>
      <c r="B196" s="6">
        <f>0.33*'Daily Returns'!B184+0.127*'Daily Returns'!C184+0.12*'Daily Returns'!D184+0.086*'Daily Returns'!E184+0.337*'Daily Returns'!F184</f>
        <v>6.2212591435949964E-4</v>
      </c>
      <c r="C196" s="13">
        <f t="shared" si="2"/>
        <v>1.1517040655870396</v>
      </c>
    </row>
    <row r="197" spans="1:3" x14ac:dyDescent="0.45">
      <c r="A197" s="2">
        <f>'Daily Returns'!A185</f>
        <v>45344</v>
      </c>
      <c r="B197" s="6">
        <f>0.33*'Daily Returns'!B185+0.127*'Daily Returns'!C185+0.12*'Daily Returns'!D185+0.086*'Daily Returns'!E185+0.337*'Daily Returns'!F185</f>
        <v>8.7786649243057208E-3</v>
      </c>
      <c r="C197" s="13">
        <f t="shared" si="2"/>
        <v>1.1618144896707889</v>
      </c>
    </row>
    <row r="198" spans="1:3" x14ac:dyDescent="0.45">
      <c r="A198" s="2">
        <f>'Daily Returns'!A186</f>
        <v>45345</v>
      </c>
      <c r="B198" s="6">
        <f>0.33*'Daily Returns'!B186+0.127*'Daily Returns'!C186+0.12*'Daily Returns'!D186+0.086*'Daily Returns'!E186+0.337*'Daily Returns'!F186</f>
        <v>1.2664279454569487E-3</v>
      </c>
      <c r="C198" s="13">
        <f t="shared" si="2"/>
        <v>1.1632858440079448</v>
      </c>
    </row>
    <row r="199" spans="1:3" x14ac:dyDescent="0.45">
      <c r="A199" s="2">
        <f>'Daily Returns'!A187</f>
        <v>45348</v>
      </c>
      <c r="B199" s="6">
        <f>0.33*'Daily Returns'!B187+0.127*'Daily Returns'!C187+0.12*'Daily Returns'!D187+0.086*'Daily Returns'!E187+0.337*'Daily Returns'!F187</f>
        <v>-2.0737054804767369E-3</v>
      </c>
      <c r="C199" s="13">
        <f t="shared" si="2"/>
        <v>1.1608735317778645</v>
      </c>
    </row>
    <row r="200" spans="1:3" x14ac:dyDescent="0.45">
      <c r="A200" s="2">
        <f>'Daily Returns'!A188</f>
        <v>45349</v>
      </c>
      <c r="B200" s="6">
        <f>0.33*'Daily Returns'!B188+0.127*'Daily Returns'!C188+0.12*'Daily Returns'!D188+0.086*'Daily Returns'!E188+0.337*'Daily Returns'!F188</f>
        <v>3.150019632049454E-3</v>
      </c>
      <c r="C200" s="13">
        <f t="shared" si="2"/>
        <v>1.1645303061932915</v>
      </c>
    </row>
    <row r="201" spans="1:3" x14ac:dyDescent="0.45">
      <c r="A201" s="2">
        <f>'Daily Returns'!A189</f>
        <v>45350</v>
      </c>
      <c r="B201" s="6">
        <f>0.33*'Daily Returns'!B189+0.127*'Daily Returns'!C189+0.12*'Daily Returns'!D189+0.086*'Daily Returns'!E189+0.337*'Daily Returns'!F189</f>
        <v>-2.2714416481733612E-3</v>
      </c>
      <c r="C201" s="13">
        <f t="shared" si="2"/>
        <v>1.161885143555244</v>
      </c>
    </row>
    <row r="202" spans="1:3" x14ac:dyDescent="0.45">
      <c r="A202" s="2">
        <f>'Daily Returns'!A190</f>
        <v>45351</v>
      </c>
      <c r="B202" s="6">
        <f>0.33*'Daily Returns'!B190+0.127*'Daily Returns'!C190+0.12*'Daily Returns'!D190+0.086*'Daily Returns'!E190+0.337*'Daily Returns'!F190</f>
        <v>1.9459585054591364E-3</v>
      </c>
      <c r="C202" s="13">
        <f t="shared" si="2"/>
        <v>1.1641461238327118</v>
      </c>
    </row>
    <row r="203" spans="1:3" x14ac:dyDescent="0.45">
      <c r="A203" s="2">
        <f>'Daily Returns'!A191</f>
        <v>45352</v>
      </c>
      <c r="B203" s="6">
        <f>0.33*'Daily Returns'!B191+0.127*'Daily Returns'!C191+0.12*'Daily Returns'!D191+0.086*'Daily Returns'!E191+0.337*'Daily Returns'!F191</f>
        <v>-7.2423984302984483E-4</v>
      </c>
      <c r="C203" s="13">
        <f t="shared" si="2"/>
        <v>1.1633030028267233</v>
      </c>
    </row>
    <row r="204" spans="1:3" x14ac:dyDescent="0.45">
      <c r="A204" s="2">
        <f>'Daily Returns'!A192</f>
        <v>45355</v>
      </c>
      <c r="B204" s="6">
        <f>0.33*'Daily Returns'!B192+0.127*'Daily Returns'!C192+0.12*'Daily Returns'!D192+0.086*'Daily Returns'!E192+0.337*'Daily Returns'!F192</f>
        <v>5.2867470871824842E-5</v>
      </c>
      <c r="C204" s="13">
        <f t="shared" si="2"/>
        <v>1.1633645037143403</v>
      </c>
    </row>
    <row r="205" spans="1:3" x14ac:dyDescent="0.45">
      <c r="A205" s="2">
        <f>'Daily Returns'!A193</f>
        <v>45356</v>
      </c>
      <c r="B205" s="6">
        <f>0.33*'Daily Returns'!B193+0.127*'Daily Returns'!C193+0.12*'Daily Returns'!D193+0.086*'Daily Returns'!E193+0.337*'Daily Returns'!F193</f>
        <v>-4.64283058018055E-3</v>
      </c>
      <c r="C205" s="13">
        <f t="shared" si="2"/>
        <v>1.1579631994205988</v>
      </c>
    </row>
    <row r="206" spans="1:3" x14ac:dyDescent="0.45">
      <c r="A206" s="2">
        <f>'Daily Returns'!A194</f>
        <v>45357</v>
      </c>
      <c r="B206" s="6">
        <f>0.33*'Daily Returns'!B194+0.127*'Daily Returns'!C194+0.12*'Daily Returns'!D194+0.086*'Daily Returns'!E194+0.337*'Daily Returns'!F194</f>
        <v>4.6712106999325731E-3</v>
      </c>
      <c r="C206" s="13">
        <f t="shared" si="2"/>
        <v>1.1633722895078604</v>
      </c>
    </row>
    <row r="207" spans="1:3" x14ac:dyDescent="0.45">
      <c r="A207" s="2">
        <f>'Daily Returns'!A195</f>
        <v>45358</v>
      </c>
      <c r="B207" s="6">
        <f>0.33*'Daily Returns'!B195+0.127*'Daily Returns'!C195+0.12*'Daily Returns'!D195+0.086*'Daily Returns'!E195+0.337*'Daily Returns'!F195</f>
        <v>3.9066897166705411E-3</v>
      </c>
      <c r="C207" s="13">
        <f t="shared" ref="C207:C270" si="3">C206*(1+B207)</f>
        <v>1.1679172240679403</v>
      </c>
    </row>
    <row r="208" spans="1:3" x14ac:dyDescent="0.45">
      <c r="A208" s="2">
        <f>'Daily Returns'!A196</f>
        <v>45359</v>
      </c>
      <c r="B208" s="6">
        <f>0.33*'Daily Returns'!B196+0.127*'Daily Returns'!C196+0.12*'Daily Returns'!D196+0.086*'Daily Returns'!E196+0.337*'Daily Returns'!F196</f>
        <v>-2.9860226446643662E-4</v>
      </c>
      <c r="C208" s="13">
        <f t="shared" si="3"/>
        <v>1.1675684813401244</v>
      </c>
    </row>
    <row r="209" spans="1:3" x14ac:dyDescent="0.45">
      <c r="A209" s="2">
        <f>'Daily Returns'!A197</f>
        <v>45362</v>
      </c>
      <c r="B209" s="6">
        <f>0.33*'Daily Returns'!B197+0.127*'Daily Returns'!C197+0.12*'Daily Returns'!D197+0.086*'Daily Returns'!E197+0.337*'Daily Returns'!F197</f>
        <v>1.64792483120715E-3</v>
      </c>
      <c r="C209" s="13">
        <f t="shared" si="3"/>
        <v>1.1694925464326595</v>
      </c>
    </row>
    <row r="210" spans="1:3" x14ac:dyDescent="0.45">
      <c r="A210" s="2">
        <f>'Daily Returns'!A198</f>
        <v>45363</v>
      </c>
      <c r="B210" s="6">
        <f>0.33*'Daily Returns'!B198+0.127*'Daily Returns'!C198+0.12*'Daily Returns'!D198+0.086*'Daily Returns'!E198+0.337*'Daily Returns'!F198</f>
        <v>6.0687735113345602E-3</v>
      </c>
      <c r="C210" s="13">
        <f t="shared" si="3"/>
        <v>1.1765899318201531</v>
      </c>
    </row>
    <row r="211" spans="1:3" x14ac:dyDescent="0.45">
      <c r="A211" s="2">
        <f>'Daily Returns'!A199</f>
        <v>45364</v>
      </c>
      <c r="B211" s="6">
        <f>0.33*'Daily Returns'!B199+0.127*'Daily Returns'!C199+0.12*'Daily Returns'!D199+0.086*'Daily Returns'!E199+0.337*'Daily Returns'!F199</f>
        <v>-6.0280953718685234E-4</v>
      </c>
      <c r="C211" s="13">
        <f t="shared" si="3"/>
        <v>1.175880672187894</v>
      </c>
    </row>
    <row r="212" spans="1:3" x14ac:dyDescent="0.45">
      <c r="A212" s="2">
        <f>'Daily Returns'!A200</f>
        <v>45365</v>
      </c>
      <c r="B212" s="6">
        <f>0.33*'Daily Returns'!B200+0.127*'Daily Returns'!C200+0.12*'Daily Returns'!D200+0.086*'Daily Returns'!E200+0.337*'Daily Returns'!F200</f>
        <v>-6.2663305224173287E-3</v>
      </c>
      <c r="C212" s="13">
        <f t="shared" si="3"/>
        <v>1.1685122152410425</v>
      </c>
    </row>
    <row r="213" spans="1:3" x14ac:dyDescent="0.45">
      <c r="A213" s="2">
        <f>'Daily Returns'!A201</f>
        <v>45366</v>
      </c>
      <c r="B213" s="6">
        <f>0.33*'Daily Returns'!B201+0.127*'Daily Returns'!C201+0.12*'Daily Returns'!D201+0.086*'Daily Returns'!E201+0.337*'Daily Returns'!F201</f>
        <v>4.2595467254127417E-4</v>
      </c>
      <c r="C213" s="13">
        <f t="shared" si="3"/>
        <v>1.1690099484790462</v>
      </c>
    </row>
    <row r="214" spans="1:3" x14ac:dyDescent="0.45">
      <c r="A214" s="2">
        <f>'Daily Returns'!A202</f>
        <v>45369</v>
      </c>
      <c r="B214" s="6">
        <f>0.33*'Daily Returns'!B202+0.127*'Daily Returns'!C202+0.12*'Daily Returns'!D202+0.086*'Daily Returns'!E202+0.337*'Daily Returns'!F202</f>
        <v>1.5738936670011037E-3</v>
      </c>
      <c r="C214" s="13">
        <f t="shared" si="3"/>
        <v>1.1708498458336187</v>
      </c>
    </row>
    <row r="215" spans="1:3" x14ac:dyDescent="0.45">
      <c r="A215" s="2">
        <f>'Daily Returns'!A203</f>
        <v>45370</v>
      </c>
      <c r="B215" s="6">
        <f>0.33*'Daily Returns'!B203+0.127*'Daily Returns'!C203+0.12*'Daily Returns'!D203+0.086*'Daily Returns'!E203+0.337*'Daily Returns'!F203</f>
        <v>1.9393233550241955E-3</v>
      </c>
      <c r="C215" s="13">
        <f t="shared" si="3"/>
        <v>1.1731205022848703</v>
      </c>
    </row>
    <row r="216" spans="1:3" x14ac:dyDescent="0.45">
      <c r="A216" s="2">
        <f>'Daily Returns'!A204</f>
        <v>45371</v>
      </c>
      <c r="B216" s="6">
        <f>0.33*'Daily Returns'!B204+0.127*'Daily Returns'!C204+0.12*'Daily Returns'!D204+0.086*'Daily Returns'!E204+0.337*'Daily Returns'!F204</f>
        <v>3.7058102382473406E-3</v>
      </c>
      <c r="C216" s="13">
        <f t="shared" si="3"/>
        <v>1.1774678642529353</v>
      </c>
    </row>
    <row r="217" spans="1:3" x14ac:dyDescent="0.45">
      <c r="A217" s="2">
        <f>'Daily Returns'!A205</f>
        <v>45372</v>
      </c>
      <c r="B217" s="6">
        <f>0.33*'Daily Returns'!B205+0.127*'Daily Returns'!C205+0.12*'Daily Returns'!D205+0.086*'Daily Returns'!E205+0.337*'Daily Returns'!F205</f>
        <v>3.3410334163350951E-3</v>
      </c>
      <c r="C217" s="13">
        <f t="shared" si="3"/>
        <v>1.1814018237340651</v>
      </c>
    </row>
    <row r="218" spans="1:3" x14ac:dyDescent="0.45">
      <c r="A218" s="2">
        <f>'Daily Returns'!A206</f>
        <v>45373</v>
      </c>
      <c r="B218" s="6">
        <f>0.33*'Daily Returns'!B206+0.127*'Daily Returns'!C206+0.12*'Daily Returns'!D206+0.086*'Daily Returns'!E206+0.337*'Daily Returns'!F206</f>
        <v>-1.3743405985378193E-3</v>
      </c>
      <c r="C218" s="13">
        <f t="shared" si="3"/>
        <v>1.1797781752445207</v>
      </c>
    </row>
    <row r="219" spans="1:3" x14ac:dyDescent="0.45">
      <c r="A219" s="2">
        <f>'Daily Returns'!A207</f>
        <v>45376</v>
      </c>
      <c r="B219" s="6">
        <f>0.33*'Daily Returns'!B207+0.127*'Daily Returns'!C207+0.12*'Daily Returns'!D207+0.086*'Daily Returns'!E207+0.337*'Daily Returns'!F207</f>
        <v>1.3169919296577219E-3</v>
      </c>
      <c r="C219" s="13">
        <f t="shared" si="3"/>
        <v>1.1813319335801038</v>
      </c>
    </row>
    <row r="220" spans="1:3" x14ac:dyDescent="0.45">
      <c r="A220" s="2">
        <f>'Daily Returns'!A208</f>
        <v>45377</v>
      </c>
      <c r="B220" s="6">
        <f>0.33*'Daily Returns'!B208+0.127*'Daily Returns'!C208+0.12*'Daily Returns'!D208+0.086*'Daily Returns'!E208+0.337*'Daily Returns'!F208</f>
        <v>1.1170726361116573E-3</v>
      </c>
      <c r="C220" s="13">
        <f t="shared" si="3"/>
        <v>1.182651567157271</v>
      </c>
    </row>
    <row r="221" spans="1:3" x14ac:dyDescent="0.45">
      <c r="A221" s="2">
        <f>'Daily Returns'!A209</f>
        <v>45378</v>
      </c>
      <c r="B221" s="6">
        <f>0.33*'Daily Returns'!B209+0.127*'Daily Returns'!C209+0.12*'Daily Returns'!D209+0.086*'Daily Returns'!E209+0.337*'Daily Returns'!F209</f>
        <v>6.2931816510278715E-3</v>
      </c>
      <c r="C221" s="13">
        <f t="shared" si="3"/>
        <v>1.1900942082992645</v>
      </c>
    </row>
    <row r="222" spans="1:3" x14ac:dyDescent="0.45">
      <c r="A222" s="2">
        <f>'Daily Returns'!A210</f>
        <v>45379</v>
      </c>
      <c r="B222" s="6">
        <f>0.33*'Daily Returns'!B210+0.127*'Daily Returns'!C210+0.12*'Daily Returns'!D210+0.086*'Daily Returns'!E210+0.337*'Daily Returns'!F210</f>
        <v>4.1228381356213954E-3</v>
      </c>
      <c r="C222" s="13">
        <f t="shared" si="3"/>
        <v>1.1950007740862227</v>
      </c>
    </row>
    <row r="223" spans="1:3" x14ac:dyDescent="0.45">
      <c r="A223" s="2">
        <f>'Daily Returns'!A211</f>
        <v>45383</v>
      </c>
      <c r="B223" s="6">
        <f>0.33*'Daily Returns'!B211+0.127*'Daily Returns'!C211+0.12*'Daily Returns'!D211+0.086*'Daily Returns'!E211+0.337*'Daily Returns'!F211</f>
        <v>-5.6567987990537227E-3</v>
      </c>
      <c r="C223" s="13">
        <f t="shared" si="3"/>
        <v>1.1882408951425036</v>
      </c>
    </row>
    <row r="224" spans="1:3" x14ac:dyDescent="0.45">
      <c r="A224" s="2">
        <f>'Daily Returns'!A212</f>
        <v>45384</v>
      </c>
      <c r="B224" s="6">
        <f>0.33*'Daily Returns'!B212+0.127*'Daily Returns'!C212+0.12*'Daily Returns'!D212+0.086*'Daily Returns'!E212+0.337*'Daily Returns'!F212</f>
        <v>-2.5165167400820715E-3</v>
      </c>
      <c r="C224" s="13">
        <f t="shared" si="3"/>
        <v>1.1852506670386276</v>
      </c>
    </row>
    <row r="225" spans="1:3" x14ac:dyDescent="0.45">
      <c r="A225" s="2">
        <f>'Daily Returns'!A213</f>
        <v>45385</v>
      </c>
      <c r="B225" s="6">
        <f>0.33*'Daily Returns'!B213+0.127*'Daily Returns'!C213+0.12*'Daily Returns'!D213+0.086*'Daily Returns'!E213+0.337*'Daily Returns'!F213</f>
        <v>9.3157728422577362E-4</v>
      </c>
      <c r="C225" s="13">
        <f t="shared" si="3"/>
        <v>1.1863548196361542</v>
      </c>
    </row>
    <row r="226" spans="1:3" x14ac:dyDescent="0.45">
      <c r="A226" s="2">
        <f>'Daily Returns'!A214</f>
        <v>45386</v>
      </c>
      <c r="B226" s="6">
        <f>0.33*'Daily Returns'!B214+0.127*'Daily Returns'!C214+0.12*'Daily Returns'!D214+0.086*'Daily Returns'!E214+0.337*'Daily Returns'!F214</f>
        <v>-5.887297788225665E-3</v>
      </c>
      <c r="C226" s="13">
        <f t="shared" si="3"/>
        <v>1.1793703955304595</v>
      </c>
    </row>
    <row r="227" spans="1:3" x14ac:dyDescent="0.45">
      <c r="A227" s="2">
        <f>'Daily Returns'!A215</f>
        <v>45387</v>
      </c>
      <c r="B227" s="6">
        <f>0.33*'Daily Returns'!B215+0.127*'Daily Returns'!C215+0.12*'Daily Returns'!D215+0.086*'Daily Returns'!E215+0.337*'Daily Returns'!F215</f>
        <v>5.8644078932456314E-3</v>
      </c>
      <c r="C227" s="13">
        <f t="shared" si="3"/>
        <v>1.1862867045870686</v>
      </c>
    </row>
    <row r="228" spans="1:3" x14ac:dyDescent="0.45">
      <c r="A228" s="2">
        <f>'Daily Returns'!A216</f>
        <v>45390</v>
      </c>
      <c r="B228" s="6">
        <f>0.33*'Daily Returns'!B216+0.127*'Daily Returns'!C216+0.12*'Daily Returns'!D216+0.086*'Daily Returns'!E216+0.337*'Daily Returns'!F216</f>
        <v>-4.6638671070586054E-4</v>
      </c>
      <c r="C228" s="13">
        <f t="shared" si="3"/>
        <v>1.1857334362329621</v>
      </c>
    </row>
    <row r="229" spans="1:3" x14ac:dyDescent="0.45">
      <c r="A229" s="2">
        <f>'Daily Returns'!A217</f>
        <v>45391</v>
      </c>
      <c r="B229" s="6">
        <f>0.33*'Daily Returns'!B217+0.127*'Daily Returns'!C217+0.12*'Daily Returns'!D217+0.086*'Daily Returns'!E217+0.337*'Daily Returns'!F217</f>
        <v>4.0856887071618047E-4</v>
      </c>
      <c r="C229" s="13">
        <f t="shared" si="3"/>
        <v>1.1862178900039744</v>
      </c>
    </row>
    <row r="230" spans="1:3" x14ac:dyDescent="0.45">
      <c r="A230" s="2">
        <f>'Daily Returns'!A218</f>
        <v>45392</v>
      </c>
      <c r="B230" s="6">
        <f>0.33*'Daily Returns'!B218+0.127*'Daily Returns'!C218+0.12*'Daily Returns'!D218+0.086*'Daily Returns'!E218+0.337*'Daily Returns'!F218</f>
        <v>-4.6990268033579481E-3</v>
      </c>
      <c r="C230" s="13">
        <f t="shared" si="3"/>
        <v>1.1806438203442229</v>
      </c>
    </row>
    <row r="231" spans="1:3" x14ac:dyDescent="0.45">
      <c r="A231" s="2">
        <f>'Daily Returns'!A219</f>
        <v>45393</v>
      </c>
      <c r="B231" s="6">
        <f>0.33*'Daily Returns'!B219+0.127*'Daily Returns'!C219+0.12*'Daily Returns'!D219+0.086*'Daily Returns'!E219+0.337*'Daily Returns'!F219</f>
        <v>4.3785364924087645E-3</v>
      </c>
      <c r="C231" s="13">
        <f t="shared" si="3"/>
        <v>1.185813312396137</v>
      </c>
    </row>
    <row r="232" spans="1:3" x14ac:dyDescent="0.45">
      <c r="A232" s="2">
        <f>'Daily Returns'!A220</f>
        <v>45394</v>
      </c>
      <c r="B232" s="6">
        <f>0.33*'Daily Returns'!B220+0.127*'Daily Returns'!C220+0.12*'Daily Returns'!D220+0.086*'Daily Returns'!E220+0.337*'Daily Returns'!F220</f>
        <v>-8.6135985325582996E-3</v>
      </c>
      <c r="C232" s="13">
        <f t="shared" si="3"/>
        <v>1.1755991925885936</v>
      </c>
    </row>
    <row r="233" spans="1:3" x14ac:dyDescent="0.45">
      <c r="A233" s="2">
        <f>'Daily Returns'!A221</f>
        <v>45397</v>
      </c>
      <c r="B233" s="6">
        <f>0.33*'Daily Returns'!B221+0.127*'Daily Returns'!C221+0.12*'Daily Returns'!D221+0.086*'Daily Returns'!E221+0.337*'Daily Returns'!F221</f>
        <v>-4.7018913307519446E-3</v>
      </c>
      <c r="C233" s="13">
        <f t="shared" si="3"/>
        <v>1.1700716529365223</v>
      </c>
    </row>
    <row r="234" spans="1:3" x14ac:dyDescent="0.45">
      <c r="A234" s="2">
        <f>'Daily Returns'!A222</f>
        <v>45398</v>
      </c>
      <c r="B234" s="6">
        <f>0.33*'Daily Returns'!B222+0.127*'Daily Returns'!C222+0.12*'Daily Returns'!D222+0.086*'Daily Returns'!E222+0.337*'Daily Returns'!F222</f>
        <v>-7.0185206990412219E-4</v>
      </c>
      <c r="C234" s="13">
        <f t="shared" si="3"/>
        <v>1.1692504357249727</v>
      </c>
    </row>
    <row r="235" spans="1:3" x14ac:dyDescent="0.45">
      <c r="A235" s="2">
        <f>'Daily Returns'!A223</f>
        <v>45399</v>
      </c>
      <c r="B235" s="6">
        <f>0.33*'Daily Returns'!B223+0.127*'Daily Returns'!C223+0.12*'Daily Returns'!D223+0.086*'Daily Returns'!E223+0.337*'Daily Returns'!F223</f>
        <v>1.7198261205625501E-4</v>
      </c>
      <c r="C235" s="13">
        <f t="shared" si="3"/>
        <v>1.1694515264690566</v>
      </c>
    </row>
    <row r="236" spans="1:3" x14ac:dyDescent="0.45">
      <c r="A236" s="2">
        <f>'Daily Returns'!A224</f>
        <v>45400</v>
      </c>
      <c r="B236" s="6">
        <f>0.33*'Daily Returns'!B224+0.127*'Daily Returns'!C224+0.12*'Daily Returns'!D224+0.086*'Daily Returns'!E224+0.337*'Daily Returns'!F224</f>
        <v>1.3272028995372303E-3</v>
      </c>
      <c r="C236" s="13">
        <f t="shared" si="3"/>
        <v>1.1710036259258545</v>
      </c>
    </row>
    <row r="237" spans="1:3" x14ac:dyDescent="0.45">
      <c r="A237" s="2">
        <f>'Daily Returns'!A225</f>
        <v>45401</v>
      </c>
      <c r="B237" s="6">
        <f>0.33*'Daily Returns'!B225+0.127*'Daily Returns'!C225+0.12*'Daily Returns'!D225+0.086*'Daily Returns'!E225+0.337*'Daily Returns'!F225</f>
        <v>-9.0888923903663724E-4</v>
      </c>
      <c r="C237" s="13">
        <f t="shared" si="3"/>
        <v>1.1699393133313776</v>
      </c>
    </row>
    <row r="238" spans="1:3" x14ac:dyDescent="0.45">
      <c r="A238" s="2">
        <f>'Daily Returns'!A226</f>
        <v>45404</v>
      </c>
      <c r="B238" s="6">
        <f>0.33*'Daily Returns'!B226+0.127*'Daily Returns'!C226+0.12*'Daily Returns'!D226+0.086*'Daily Returns'!E226+0.337*'Daily Returns'!F226</f>
        <v>6.76933904010351E-3</v>
      </c>
      <c r="C238" s="13">
        <f t="shared" si="3"/>
        <v>1.1778590291996636</v>
      </c>
    </row>
    <row r="239" spans="1:3" x14ac:dyDescent="0.45">
      <c r="A239" s="2">
        <f>'Daily Returns'!A227</f>
        <v>45405</v>
      </c>
      <c r="B239" s="6">
        <f>0.33*'Daily Returns'!B227+0.127*'Daily Returns'!C227+0.12*'Daily Returns'!D227+0.086*'Daily Returns'!E227+0.337*'Daily Returns'!F227</f>
        <v>4.4960777337455333E-3</v>
      </c>
      <c r="C239" s="13">
        <f t="shared" si="3"/>
        <v>1.1831547749543392</v>
      </c>
    </row>
    <row r="240" spans="1:3" x14ac:dyDescent="0.45">
      <c r="A240" s="2">
        <f>'Daily Returns'!A228</f>
        <v>45406</v>
      </c>
      <c r="B240" s="6">
        <f>0.33*'Daily Returns'!B228+0.127*'Daily Returns'!C228+0.12*'Daily Returns'!D228+0.086*'Daily Returns'!E228+0.337*'Daily Returns'!F228</f>
        <v>-1.4395433408398949E-4</v>
      </c>
      <c r="C240" s="13">
        <f t="shared" si="3"/>
        <v>1.1829844546965924</v>
      </c>
    </row>
    <row r="241" spans="1:3" x14ac:dyDescent="0.45">
      <c r="A241" s="2">
        <f>'Daily Returns'!A229</f>
        <v>45407</v>
      </c>
      <c r="B241" s="6">
        <f>0.33*'Daily Returns'!B229+0.127*'Daily Returns'!C229+0.12*'Daily Returns'!D229+0.086*'Daily Returns'!E229+0.337*'Daily Returns'!F229</f>
        <v>-2.4041870443617685E-3</v>
      </c>
      <c r="C241" s="13">
        <f t="shared" si="3"/>
        <v>1.1801403387969296</v>
      </c>
    </row>
    <row r="242" spans="1:3" x14ac:dyDescent="0.45">
      <c r="A242" s="2">
        <f>'Daily Returns'!A230</f>
        <v>45408</v>
      </c>
      <c r="B242" s="6">
        <f>0.33*'Daily Returns'!B230+0.127*'Daily Returns'!C230+0.12*'Daily Returns'!D230+0.086*'Daily Returns'!E230+0.337*'Daily Returns'!F230</f>
        <v>8.1155776741943814E-3</v>
      </c>
      <c r="C242" s="13">
        <f t="shared" si="3"/>
        <v>1.1897178593828861</v>
      </c>
    </row>
    <row r="243" spans="1:3" x14ac:dyDescent="0.45">
      <c r="A243" s="2">
        <f>'Daily Returns'!A231</f>
        <v>45411</v>
      </c>
      <c r="B243" s="6">
        <f>0.33*'Daily Returns'!B231+0.127*'Daily Returns'!C231+0.12*'Daily Returns'!D231+0.086*'Daily Returns'!E231+0.337*'Daily Returns'!F231</f>
        <v>1.6746349420276097E-3</v>
      </c>
      <c r="C243" s="13">
        <f t="shared" si="3"/>
        <v>1.1917102024813628</v>
      </c>
    </row>
    <row r="244" spans="1:3" x14ac:dyDescent="0.45">
      <c r="A244" s="2">
        <f>'Daily Returns'!A232</f>
        <v>45412</v>
      </c>
      <c r="B244" s="6">
        <f>0.33*'Daily Returns'!B232+0.127*'Daily Returns'!C232+0.12*'Daily Returns'!D232+0.086*'Daily Returns'!E232+0.337*'Daily Returns'!F232</f>
        <v>-7.6212459343419168E-3</v>
      </c>
      <c r="C244" s="13">
        <f t="shared" si="3"/>
        <v>1.1826278859457879</v>
      </c>
    </row>
    <row r="245" spans="1:3" x14ac:dyDescent="0.45">
      <c r="A245" s="2">
        <f>'Daily Returns'!A233</f>
        <v>45413</v>
      </c>
      <c r="B245" s="6">
        <f>0.33*'Daily Returns'!B233+0.127*'Daily Returns'!C233+0.12*'Daily Returns'!D233+0.086*'Daily Returns'!E233+0.337*'Daily Returns'!F233</f>
        <v>2.2341120896678022E-3</v>
      </c>
      <c r="C245" s="13">
        <f t="shared" si="3"/>
        <v>1.1852700092033577</v>
      </c>
    </row>
    <row r="246" spans="1:3" x14ac:dyDescent="0.45">
      <c r="A246" s="2">
        <f>'Daily Returns'!A234</f>
        <v>45414</v>
      </c>
      <c r="B246" s="6">
        <f>0.33*'Daily Returns'!B234+0.127*'Daily Returns'!C234+0.12*'Daily Returns'!D234+0.086*'Daily Returns'!E234+0.337*'Daily Returns'!F234</f>
        <v>-4.0245588432948282E-3</v>
      </c>
      <c r="C246" s="13">
        <f t="shared" si="3"/>
        <v>1.1804998203061263</v>
      </c>
    </row>
    <row r="247" spans="1:3" x14ac:dyDescent="0.45">
      <c r="A247" s="2">
        <f>'Daily Returns'!A235</f>
        <v>45415</v>
      </c>
      <c r="B247" s="6">
        <f>0.33*'Daily Returns'!B235+0.127*'Daily Returns'!C235+0.12*'Daily Returns'!D235+0.086*'Daily Returns'!E235+0.337*'Daily Returns'!F235</f>
        <v>6.1442119774814717E-3</v>
      </c>
      <c r="C247" s="13">
        <f t="shared" si="3"/>
        <v>1.187753061441466</v>
      </c>
    </row>
    <row r="248" spans="1:3" x14ac:dyDescent="0.45">
      <c r="A248" s="2">
        <f>'Daily Returns'!A236</f>
        <v>45418</v>
      </c>
      <c r="B248" s="6">
        <f>0.33*'Daily Returns'!B236+0.127*'Daily Returns'!C236+0.12*'Daily Returns'!D236+0.086*'Daily Returns'!E236+0.337*'Daily Returns'!F236</f>
        <v>6.0801006854657984E-3</v>
      </c>
      <c r="C248" s="13">
        <f t="shared" si="3"/>
        <v>1.1949747196445004</v>
      </c>
    </row>
    <row r="249" spans="1:3" x14ac:dyDescent="0.45">
      <c r="A249" s="2">
        <f>'Daily Returns'!A237</f>
        <v>45419</v>
      </c>
      <c r="B249" s="6">
        <f>0.33*'Daily Returns'!B237+0.127*'Daily Returns'!C237+0.12*'Daily Returns'!D237+0.086*'Daily Returns'!E237+0.337*'Daily Returns'!F237</f>
        <v>-6.7358587801128313E-4</v>
      </c>
      <c r="C249" s="13">
        <f t="shared" si="3"/>
        <v>1.1941698015487674</v>
      </c>
    </row>
    <row r="250" spans="1:3" x14ac:dyDescent="0.45">
      <c r="A250" s="2">
        <f>'Daily Returns'!A238</f>
        <v>45420</v>
      </c>
      <c r="B250" s="6">
        <f>0.33*'Daily Returns'!B238+0.127*'Daily Returns'!C238+0.12*'Daily Returns'!D238+0.086*'Daily Returns'!E238+0.337*'Daily Returns'!F238</f>
        <v>-5.9714775343281995E-4</v>
      </c>
      <c r="C250" s="13">
        <f t="shared" si="3"/>
        <v>1.1934567057345553</v>
      </c>
    </row>
    <row r="251" spans="1:3" x14ac:dyDescent="0.45">
      <c r="A251" s="2">
        <f>'Daily Returns'!A239</f>
        <v>45421</v>
      </c>
      <c r="B251" s="6">
        <f>0.33*'Daily Returns'!B239+0.127*'Daily Returns'!C239+0.12*'Daily Returns'!D239+0.086*'Daily Returns'!E239+0.337*'Daily Returns'!F239</f>
        <v>4.0635734798400262E-3</v>
      </c>
      <c r="C251" s="13">
        <f t="shared" si="3"/>
        <v>1.1983064047533154</v>
      </c>
    </row>
    <row r="252" spans="1:3" x14ac:dyDescent="0.45">
      <c r="A252" s="2">
        <f>'Daily Returns'!A240</f>
        <v>45422</v>
      </c>
      <c r="B252" s="6">
        <f>0.33*'Daily Returns'!B240+0.127*'Daily Returns'!C240+0.12*'Daily Returns'!D240+0.086*'Daily Returns'!E240+0.337*'Daily Returns'!F240</f>
        <v>2.4102650669747781E-3</v>
      </c>
      <c r="C252" s="13">
        <f t="shared" si="3"/>
        <v>1.2011946408202245</v>
      </c>
    </row>
    <row r="253" spans="1:3" x14ac:dyDescent="0.45">
      <c r="A253" s="2">
        <f>'Daily Returns'!A241</f>
        <v>45425</v>
      </c>
      <c r="B253" s="6">
        <f>0.33*'Daily Returns'!B241+0.127*'Daily Returns'!C241+0.12*'Daily Returns'!D241+0.086*'Daily Returns'!E241+0.337*'Daily Returns'!F241</f>
        <v>-1.0716926779862253E-3</v>
      </c>
      <c r="C253" s="13">
        <f t="shared" si="3"/>
        <v>1.1999073293188212</v>
      </c>
    </row>
    <row r="254" spans="1:3" x14ac:dyDescent="0.45">
      <c r="A254" s="2">
        <f>'Daily Returns'!A242</f>
        <v>45426</v>
      </c>
      <c r="B254" s="6">
        <f>0.33*'Daily Returns'!B242+0.127*'Daily Returns'!C242+0.12*'Daily Returns'!D242+0.086*'Daily Returns'!E242+0.337*'Daily Returns'!F242</f>
        <v>2.631345633467258E-3</v>
      </c>
      <c r="C254" s="13">
        <f t="shared" si="3"/>
        <v>1.2030647002303896</v>
      </c>
    </row>
    <row r="255" spans="1:3" x14ac:dyDescent="0.45">
      <c r="A255" s="2">
        <f>'Daily Returns'!A243</f>
        <v>45427</v>
      </c>
      <c r="B255" s="6">
        <f>0.33*'Daily Returns'!B243+0.127*'Daily Returns'!C243+0.12*'Daily Returns'!D243+0.086*'Daily Returns'!E243+0.337*'Daily Returns'!F243</f>
        <v>9.7304790281995258E-4</v>
      </c>
      <c r="C255" s="13">
        <f t="shared" si="3"/>
        <v>1.2042353398139056</v>
      </c>
    </row>
    <row r="256" spans="1:3" x14ac:dyDescent="0.45">
      <c r="A256" s="2">
        <f>'Daily Returns'!A244</f>
        <v>45428</v>
      </c>
      <c r="B256" s="6">
        <f>0.33*'Daily Returns'!B244+0.127*'Daily Returns'!C244+0.12*'Daily Returns'!D244+0.086*'Daily Returns'!E244+0.337*'Daily Returns'!F244</f>
        <v>-1.6954363872559921E-3</v>
      </c>
      <c r="C256" s="13">
        <f t="shared" si="3"/>
        <v>1.2021936353999656</v>
      </c>
    </row>
    <row r="257" spans="1:3" x14ac:dyDescent="0.45">
      <c r="A257" s="2">
        <f>'Daily Returns'!A245</f>
        <v>45429</v>
      </c>
      <c r="B257" s="6">
        <f>0.33*'Daily Returns'!B245+0.127*'Daily Returns'!C245+0.12*'Daily Returns'!D245+0.086*'Daily Returns'!E245+0.337*'Daily Returns'!F245</f>
        <v>1.2248798634947405E-3</v>
      </c>
      <c r="C257" s="13">
        <f t="shared" si="3"/>
        <v>1.2036661781759888</v>
      </c>
    </row>
    <row r="258" spans="1:3" x14ac:dyDescent="0.45">
      <c r="A258" s="2">
        <f>'Daily Returns'!A246</f>
        <v>45432</v>
      </c>
      <c r="B258" s="6">
        <f>0.33*'Daily Returns'!B246+0.127*'Daily Returns'!C246+0.12*'Daily Returns'!D246+0.086*'Daily Returns'!E246+0.337*'Daily Returns'!F246</f>
        <v>2.009786636278731E-3</v>
      </c>
      <c r="C258" s="13">
        <f t="shared" si="3"/>
        <v>1.2060852903754276</v>
      </c>
    </row>
    <row r="259" spans="1:3" x14ac:dyDescent="0.45">
      <c r="A259" s="2">
        <f>'Daily Returns'!A247</f>
        <v>45433</v>
      </c>
      <c r="B259" s="6">
        <f>0.33*'Daily Returns'!B247+0.127*'Daily Returns'!C247+0.12*'Daily Returns'!D247+0.086*'Daily Returns'!E247+0.337*'Daily Returns'!F247</f>
        <v>3.1109209565407915E-3</v>
      </c>
      <c r="C259" s="13">
        <f t="shared" si="3"/>
        <v>1.2098373263806319</v>
      </c>
    </row>
    <row r="260" spans="1:3" x14ac:dyDescent="0.45">
      <c r="A260" s="2">
        <f>'Daily Returns'!A248</f>
        <v>45434</v>
      </c>
      <c r="B260" s="6">
        <f>0.33*'Daily Returns'!B248+0.127*'Daily Returns'!C248+0.12*'Daily Returns'!D248+0.086*'Daily Returns'!E248+0.337*'Daily Returns'!F248</f>
        <v>-3.8484041755236448E-3</v>
      </c>
      <c r="C260" s="13">
        <f t="shared" si="3"/>
        <v>1.2051813833620844</v>
      </c>
    </row>
    <row r="261" spans="1:3" x14ac:dyDescent="0.45">
      <c r="A261" s="2">
        <f>'Daily Returns'!A249</f>
        <v>45435</v>
      </c>
      <c r="B261" s="6">
        <f>0.33*'Daily Returns'!B249+0.127*'Daily Returns'!C249+0.12*'Daily Returns'!D249+0.086*'Daily Returns'!E249+0.337*'Daily Returns'!F249</f>
        <v>-2.7886328082044453E-3</v>
      </c>
      <c r="C261" s="13">
        <f t="shared" si="3"/>
        <v>1.2018205750166038</v>
      </c>
    </row>
    <row r="262" spans="1:3" x14ac:dyDescent="0.45">
      <c r="A262" s="2">
        <f>'Daily Returns'!A250</f>
        <v>45436</v>
      </c>
      <c r="B262" s="6">
        <f>0.33*'Daily Returns'!B250+0.127*'Daily Returns'!C250+0.12*'Daily Returns'!D250+0.086*'Daily Returns'!E250+0.337*'Daily Returns'!F250</f>
        <v>5.7953720623801505E-3</v>
      </c>
      <c r="C262" s="13">
        <f t="shared" si="3"/>
        <v>1.2087855724010488</v>
      </c>
    </row>
    <row r="263" spans="1:3" x14ac:dyDescent="0.45">
      <c r="A263" s="2">
        <f>'Daily Returns'!A251</f>
        <v>45440</v>
      </c>
      <c r="B263" s="6">
        <f>0.33*'Daily Returns'!B251+0.127*'Daily Returns'!C251+0.12*'Daily Returns'!D251+0.086*'Daily Returns'!E251+0.337*'Daily Returns'!F251</f>
        <v>-7.5844550847499101E-4</v>
      </c>
      <c r="C263" s="13">
        <f t="shared" si="3"/>
        <v>1.2078687744129517</v>
      </c>
    </row>
    <row r="264" spans="1:3" x14ac:dyDescent="0.45">
      <c r="A264" s="2">
        <f>'Daily Returns'!A252</f>
        <v>45441</v>
      </c>
      <c r="B264" s="6">
        <f>0.33*'Daily Returns'!B252+0.127*'Daily Returns'!C252+0.12*'Daily Returns'!D252+0.086*'Daily Returns'!E252+0.337*'Daily Returns'!F252</f>
        <v>-2.9485626261193817E-3</v>
      </c>
      <c r="C264" s="13">
        <f t="shared" si="3"/>
        <v>1.2043072976874609</v>
      </c>
    </row>
    <row r="265" spans="1:3" x14ac:dyDescent="0.45">
      <c r="A265" s="2">
        <f>'Daily Returns'!A253</f>
        <v>45442</v>
      </c>
      <c r="B265" s="6">
        <f>0.33*'Daily Returns'!B253+0.127*'Daily Returns'!C253+0.12*'Daily Returns'!D253+0.086*'Daily Returns'!E253+0.337*'Daily Returns'!F253</f>
        <v>1.6080657232917974E-3</v>
      </c>
      <c r="C265" s="13">
        <f t="shared" si="3"/>
        <v>1.2062439029731822</v>
      </c>
    </row>
    <row r="266" spans="1:3" x14ac:dyDescent="0.45">
      <c r="A266" s="2">
        <f>'Daily Returns'!A254</f>
        <v>45443</v>
      </c>
      <c r="B266" s="6">
        <f>0.33*'Daily Returns'!B254+0.127*'Daily Returns'!C254+0.12*'Daily Returns'!D254+0.086*'Daily Returns'!E254+0.337*'Daily Returns'!F254</f>
        <v>5.965542734749231E-3</v>
      </c>
      <c r="C266" s="13">
        <f t="shared" si="3"/>
        <v>1.2134398025248994</v>
      </c>
    </row>
    <row r="267" spans="1:3" x14ac:dyDescent="0.45">
      <c r="A267" s="2">
        <f>'Daily Returns'!A255</f>
        <v>45446</v>
      </c>
      <c r="B267" s="6">
        <f>0.33*'Daily Returns'!B255+0.127*'Daily Returns'!C255+0.12*'Daily Returns'!D255+0.086*'Daily Returns'!E255+0.337*'Daily Returns'!F255</f>
        <v>2.4406120949225227E-5</v>
      </c>
      <c r="C267" s="13">
        <f t="shared" si="3"/>
        <v>1.2134694178834842</v>
      </c>
    </row>
    <row r="268" spans="1:3" x14ac:dyDescent="0.45">
      <c r="A268" s="2">
        <f>'Daily Returns'!A256</f>
        <v>45447</v>
      </c>
      <c r="B268" s="6">
        <f>0.33*'Daily Returns'!B256+0.127*'Daily Returns'!C256+0.12*'Daily Returns'!D256+0.086*'Daily Returns'!E256+0.337*'Daily Returns'!F256</f>
        <v>-8.249896921692524E-4</v>
      </c>
      <c r="C268" s="13">
        <f t="shared" si="3"/>
        <v>1.2124683181219678</v>
      </c>
    </row>
    <row r="269" spans="1:3" x14ac:dyDescent="0.45">
      <c r="A269" s="2">
        <f>'Daily Returns'!A257</f>
        <v>45448</v>
      </c>
      <c r="B269" s="6">
        <f>0.33*'Daily Returns'!B257+0.127*'Daily Returns'!C257+0.12*'Daily Returns'!D257+0.086*'Daily Returns'!E257+0.337*'Daily Returns'!F257</f>
        <v>5.3317561731940676E-3</v>
      </c>
      <c r="C269" s="13">
        <f t="shared" si="3"/>
        <v>1.2189329035619167</v>
      </c>
    </row>
    <row r="270" spans="1:3" x14ac:dyDescent="0.45">
      <c r="A270" s="2">
        <f>'Daily Returns'!A258</f>
        <v>45449</v>
      </c>
      <c r="B270" s="6">
        <f>0.33*'Daily Returns'!B258+0.127*'Daily Returns'!C258+0.12*'Daily Returns'!D258+0.086*'Daily Returns'!E258+0.337*'Daily Returns'!F258</f>
        <v>-2.4847915485038362E-3</v>
      </c>
      <c r="C270" s="13">
        <f t="shared" si="3"/>
        <v>1.215904109384953</v>
      </c>
    </row>
    <row r="271" spans="1:3" x14ac:dyDescent="0.45">
      <c r="A271" s="2">
        <f>'Daily Returns'!A259</f>
        <v>45450</v>
      </c>
      <c r="B271" s="6">
        <f>0.33*'Daily Returns'!B259+0.127*'Daily Returns'!C259+0.12*'Daily Returns'!D259+0.086*'Daily Returns'!E259+0.337*'Daily Returns'!F259</f>
        <v>1.6246542216106915E-3</v>
      </c>
      <c r="C271" s="13">
        <f t="shared" ref="C271:C334" si="4">C270*(1+B271)</f>
        <v>1.2178795331293391</v>
      </c>
    </row>
    <row r="272" spans="1:3" x14ac:dyDescent="0.45">
      <c r="A272" s="2">
        <f>'Daily Returns'!A260</f>
        <v>45453</v>
      </c>
      <c r="B272" s="6">
        <f>0.33*'Daily Returns'!B260+0.127*'Daily Returns'!C260+0.12*'Daily Returns'!D260+0.086*'Daily Returns'!E260+0.337*'Daily Returns'!F260</f>
        <v>5.967577480588133E-4</v>
      </c>
      <c r="C272" s="13">
        <f t="shared" si="4"/>
        <v>1.2186063121769362</v>
      </c>
    </row>
    <row r="273" spans="1:3" x14ac:dyDescent="0.45">
      <c r="A273" s="2">
        <f>'Daily Returns'!A261</f>
        <v>45454</v>
      </c>
      <c r="B273" s="6">
        <f>0.33*'Daily Returns'!B261+0.127*'Daily Returns'!C261+0.12*'Daily Returns'!D261+0.086*'Daily Returns'!E261+0.337*'Daily Returns'!F261</f>
        <v>-6.4649312368536592E-4</v>
      </c>
      <c r="C273" s="13">
        <f t="shared" si="4"/>
        <v>1.2178184915756343</v>
      </c>
    </row>
    <row r="274" spans="1:3" x14ac:dyDescent="0.45">
      <c r="A274" s="2">
        <f>'Daily Returns'!A262</f>
        <v>45455</v>
      </c>
      <c r="B274" s="6">
        <f>0.33*'Daily Returns'!B262+0.127*'Daily Returns'!C262+0.12*'Daily Returns'!D262+0.086*'Daily Returns'!E262+0.337*'Daily Returns'!F262</f>
        <v>3.1407339038120072E-3</v>
      </c>
      <c r="C274" s="13">
        <f t="shared" si="4"/>
        <v>1.2216433354008152</v>
      </c>
    </row>
    <row r="275" spans="1:3" x14ac:dyDescent="0.45">
      <c r="A275" s="2">
        <f>'Daily Returns'!A263</f>
        <v>45456</v>
      </c>
      <c r="B275" s="6">
        <f>0.33*'Daily Returns'!B263+0.127*'Daily Returns'!C263+0.12*'Daily Returns'!D263+0.086*'Daily Returns'!E263+0.337*'Daily Returns'!F263</f>
        <v>-1.3512169090849082E-3</v>
      </c>
      <c r="C275" s="13">
        <f t="shared" si="4"/>
        <v>1.2199926302691506</v>
      </c>
    </row>
    <row r="276" spans="1:3" x14ac:dyDescent="0.45">
      <c r="A276" s="2">
        <f>'Daily Returns'!A264</f>
        <v>45457</v>
      </c>
      <c r="B276" s="6">
        <f>0.33*'Daily Returns'!B264+0.127*'Daily Returns'!C264+0.12*'Daily Returns'!D264+0.086*'Daily Returns'!E264+0.337*'Daily Returns'!F264</f>
        <v>-4.9691037724383766E-4</v>
      </c>
      <c r="C276" s="13">
        <f t="shared" si="4"/>
        <v>1.2193864032710089</v>
      </c>
    </row>
    <row r="277" spans="1:3" x14ac:dyDescent="0.45">
      <c r="A277" s="2">
        <f>'Daily Returns'!A265</f>
        <v>45460</v>
      </c>
      <c r="B277" s="6">
        <f>0.33*'Daily Returns'!B265+0.127*'Daily Returns'!C265+0.12*'Daily Returns'!D265+0.086*'Daily Returns'!E265+0.337*'Daily Returns'!F265</f>
        <v>4.1921137136687716E-3</v>
      </c>
      <c r="C277" s="13">
        <f t="shared" si="4"/>
        <v>1.2244982097344224</v>
      </c>
    </row>
    <row r="278" spans="1:3" x14ac:dyDescent="0.45">
      <c r="A278" s="2">
        <f>'Daily Returns'!A266</f>
        <v>45461</v>
      </c>
      <c r="B278" s="6">
        <f>0.33*'Daily Returns'!B266+0.127*'Daily Returns'!C266+0.12*'Daily Returns'!D266+0.086*'Daily Returns'!E266+0.337*'Daily Returns'!F266</f>
        <v>2.2428560983904741E-4</v>
      </c>
      <c r="C278" s="13">
        <f t="shared" si="4"/>
        <v>1.2247728470621395</v>
      </c>
    </row>
    <row r="279" spans="1:3" x14ac:dyDescent="0.45">
      <c r="A279" s="2">
        <f>'Daily Returns'!A267</f>
        <v>45463</v>
      </c>
      <c r="B279" s="6">
        <f>0.33*'Daily Returns'!B267+0.127*'Daily Returns'!C267+0.12*'Daily Returns'!D267+0.086*'Daily Returns'!E267+0.337*'Daily Returns'!F267</f>
        <v>-1.1588317034946405E-3</v>
      </c>
      <c r="C279" s="13">
        <f t="shared" si="4"/>
        <v>1.2233535414573846</v>
      </c>
    </row>
    <row r="280" spans="1:3" x14ac:dyDescent="0.45">
      <c r="A280" s="2">
        <f>'Daily Returns'!A268</f>
        <v>45464</v>
      </c>
      <c r="B280" s="6">
        <f>0.33*'Daily Returns'!B268+0.127*'Daily Returns'!C268+0.12*'Daily Returns'!D268+0.086*'Daily Returns'!E268+0.337*'Daily Returns'!F268</f>
        <v>4.9810713849735792E-4</v>
      </c>
      <c r="C280" s="13">
        <f t="shared" si="4"/>
        <v>1.2239629025892904</v>
      </c>
    </row>
    <row r="281" spans="1:3" x14ac:dyDescent="0.45">
      <c r="A281" s="2">
        <f>'Daily Returns'!A269</f>
        <v>45467</v>
      </c>
      <c r="B281" s="6">
        <f>0.33*'Daily Returns'!B269+0.127*'Daily Returns'!C269+0.12*'Daily Returns'!D269+0.086*'Daily Returns'!E269+0.337*'Daily Returns'!F269</f>
        <v>-2.5368493264727316E-4</v>
      </c>
      <c r="C281" s="13">
        <f t="shared" si="4"/>
        <v>1.2236524016427843</v>
      </c>
    </row>
    <row r="282" spans="1:3" x14ac:dyDescent="0.45">
      <c r="A282" s="2">
        <f>'Daily Returns'!A270</f>
        <v>45468</v>
      </c>
      <c r="B282" s="6">
        <f>0.33*'Daily Returns'!B270+0.127*'Daily Returns'!C270+0.12*'Daily Returns'!D270+0.086*'Daily Returns'!E270+0.337*'Daily Returns'!F270</f>
        <v>-4.5686873899291442E-5</v>
      </c>
      <c r="C282" s="13">
        <f t="shared" si="4"/>
        <v>1.2235964967898139</v>
      </c>
    </row>
    <row r="283" spans="1:3" x14ac:dyDescent="0.45">
      <c r="A283" s="2">
        <f>'Daily Returns'!A271</f>
        <v>45469</v>
      </c>
      <c r="B283" s="6">
        <f>0.33*'Daily Returns'!B271+0.127*'Daily Returns'!C271+0.12*'Daily Returns'!D271+0.086*'Daily Returns'!E271+0.337*'Daily Returns'!F271</f>
        <v>1.003357926047008E-3</v>
      </c>
      <c r="C283" s="13">
        <f t="shared" si="4"/>
        <v>1.2248242020331515</v>
      </c>
    </row>
    <row r="284" spans="1:3" x14ac:dyDescent="0.45">
      <c r="A284" s="2">
        <f>'Daily Returns'!A272</f>
        <v>45470</v>
      </c>
      <c r="B284" s="6">
        <f>0.33*'Daily Returns'!B272+0.127*'Daily Returns'!C272+0.12*'Daily Returns'!D272+0.086*'Daily Returns'!E272+0.337*'Daily Returns'!F272</f>
        <v>3.2032850710373957E-3</v>
      </c>
      <c r="C284" s="13">
        <f t="shared" si="4"/>
        <v>1.2287476631141694</v>
      </c>
    </row>
    <row r="285" spans="1:3" x14ac:dyDescent="0.45">
      <c r="A285" s="2">
        <f>'Daily Returns'!A273</f>
        <v>45471</v>
      </c>
      <c r="B285" s="6">
        <f>0.33*'Daily Returns'!B273+0.127*'Daily Returns'!C273+0.12*'Daily Returns'!D273+0.086*'Daily Returns'!E273+0.337*'Daily Returns'!F273</f>
        <v>-2.0977611316402261E-3</v>
      </c>
      <c r="C285" s="13">
        <f t="shared" si="4"/>
        <v>1.2261700440258947</v>
      </c>
    </row>
    <row r="286" spans="1:3" x14ac:dyDescent="0.45">
      <c r="A286" s="2">
        <f>'Daily Returns'!A274</f>
        <v>45474</v>
      </c>
      <c r="B286" s="6">
        <f>0.33*'Daily Returns'!B274+0.127*'Daily Returns'!C274+0.12*'Daily Returns'!D274+0.086*'Daily Returns'!E274+0.337*'Daily Returns'!F274</f>
        <v>-5.2913085197558453E-5</v>
      </c>
      <c r="C286" s="13">
        <f t="shared" si="4"/>
        <v>1.2261051635858886</v>
      </c>
    </row>
    <row r="287" spans="1:3" x14ac:dyDescent="0.45">
      <c r="A287" s="2">
        <f>'Daily Returns'!A275</f>
        <v>45475</v>
      </c>
      <c r="B287" s="6">
        <f>0.33*'Daily Returns'!B275+0.127*'Daily Returns'!C275+0.12*'Daily Returns'!D275+0.086*'Daily Returns'!E275+0.337*'Daily Returns'!F275</f>
        <v>7.1204615583094653E-3</v>
      </c>
      <c r="C287" s="13">
        <f t="shared" si="4"/>
        <v>1.2348355982696466</v>
      </c>
    </row>
    <row r="288" spans="1:3" x14ac:dyDescent="0.45">
      <c r="A288" s="2">
        <f>'Daily Returns'!A276</f>
        <v>45476</v>
      </c>
      <c r="B288" s="6">
        <f>0.33*'Daily Returns'!B276+0.127*'Daily Returns'!C276+0.12*'Daily Returns'!D276+0.086*'Daily Returns'!E276+0.337*'Daily Returns'!F276</f>
        <v>1.8917210108692593E-3</v>
      </c>
      <c r="C288" s="13">
        <f t="shared" si="4"/>
        <v>1.2371715627158626</v>
      </c>
    </row>
    <row r="289" spans="1:3" x14ac:dyDescent="0.45">
      <c r="A289" s="2">
        <f>'Daily Returns'!A277</f>
        <v>45478</v>
      </c>
      <c r="B289" s="6">
        <f>0.33*'Daily Returns'!B277+0.127*'Daily Returns'!C277+0.12*'Daily Returns'!D277+0.086*'Daily Returns'!E277+0.337*'Daily Returns'!F277</f>
        <v>3.9182333161073011E-3</v>
      </c>
      <c r="C289" s="13">
        <f t="shared" si="4"/>
        <v>1.2420190895506364</v>
      </c>
    </row>
    <row r="290" spans="1:3" x14ac:dyDescent="0.45">
      <c r="A290" s="2">
        <f>'Daily Returns'!A278</f>
        <v>45481</v>
      </c>
      <c r="B290" s="6">
        <f>0.33*'Daily Returns'!B278+0.127*'Daily Returns'!C278+0.12*'Daily Returns'!D278+0.086*'Daily Returns'!E278+0.337*'Daily Returns'!F278</f>
        <v>1.335478607907207E-3</v>
      </c>
      <c r="C290" s="13">
        <f t="shared" si="4"/>
        <v>1.2436777794753437</v>
      </c>
    </row>
    <row r="291" spans="1:3" x14ac:dyDescent="0.45">
      <c r="A291" s="2">
        <f>'Daily Returns'!A279</f>
        <v>45482</v>
      </c>
      <c r="B291" s="6">
        <f>0.33*'Daily Returns'!B279+0.127*'Daily Returns'!C279+0.12*'Daily Returns'!D279+0.086*'Daily Returns'!E279+0.337*'Daily Returns'!F279</f>
        <v>-3.0138700629476971E-3</v>
      </c>
      <c r="C291" s="13">
        <f t="shared" si="4"/>
        <v>1.2399294962478298</v>
      </c>
    </row>
    <row r="292" spans="1:3" x14ac:dyDescent="0.45">
      <c r="A292" s="2">
        <f>'Daily Returns'!A280</f>
        <v>45483</v>
      </c>
      <c r="B292" s="6">
        <f>0.33*'Daily Returns'!B280+0.127*'Daily Returns'!C280+0.12*'Daily Returns'!D280+0.086*'Daily Returns'!E280+0.337*'Daily Returns'!F280</f>
        <v>5.0670076444991278E-3</v>
      </c>
      <c r="C292" s="13">
        <f t="shared" si="4"/>
        <v>1.2462122284839576</v>
      </c>
    </row>
    <row r="293" spans="1:3" x14ac:dyDescent="0.45">
      <c r="A293" s="2">
        <f>'Daily Returns'!A281</f>
        <v>45484</v>
      </c>
      <c r="B293" s="6">
        <f>0.33*'Daily Returns'!B281+0.127*'Daily Returns'!C281+0.12*'Daily Returns'!D281+0.086*'Daily Returns'!E281+0.337*'Daily Returns'!F281</f>
        <v>-2.8079913925449381E-3</v>
      </c>
      <c r="C293" s="13">
        <f t="shared" si="4"/>
        <v>1.2427128752730905</v>
      </c>
    </row>
    <row r="294" spans="1:3" x14ac:dyDescent="0.45">
      <c r="A294" s="2">
        <f>'Daily Returns'!A282</f>
        <v>45485</v>
      </c>
      <c r="B294" s="6">
        <f>0.33*'Daily Returns'!B282+0.127*'Daily Returns'!C282+0.12*'Daily Returns'!D282+0.086*'Daily Returns'!E282+0.337*'Daily Returns'!F282</f>
        <v>1.9613396964502819E-3</v>
      </c>
      <c r="C294" s="13">
        <f t="shared" si="4"/>
        <v>1.2451502573666533</v>
      </c>
    </row>
    <row r="295" spans="1:3" x14ac:dyDescent="0.45">
      <c r="A295" s="2">
        <f>'Daily Returns'!A283</f>
        <v>45488</v>
      </c>
      <c r="B295" s="6">
        <f>0.33*'Daily Returns'!B283+0.127*'Daily Returns'!C283+0.12*'Daily Returns'!D283+0.086*'Daily Returns'!E283+0.337*'Daily Returns'!F283</f>
        <v>-3.4658735115827296E-4</v>
      </c>
      <c r="C295" s="13">
        <f t="shared" si="4"/>
        <v>1.2447187040371586</v>
      </c>
    </row>
    <row r="296" spans="1:3" x14ac:dyDescent="0.45">
      <c r="A296" s="2">
        <f>'Daily Returns'!A284</f>
        <v>45489</v>
      </c>
      <c r="B296" s="6">
        <f>0.33*'Daily Returns'!B284+0.127*'Daily Returns'!C284+0.12*'Daily Returns'!D284+0.086*'Daily Returns'!E284+0.337*'Daily Returns'!F284</f>
        <v>9.1736710324007566E-4</v>
      </c>
      <c r="C296" s="13">
        <f t="shared" si="4"/>
        <v>1.2458605680290298</v>
      </c>
    </row>
    <row r="297" spans="1:3" x14ac:dyDescent="0.45">
      <c r="A297" s="2">
        <f>'Daily Returns'!A285</f>
        <v>45490</v>
      </c>
      <c r="B297" s="6">
        <f>0.33*'Daily Returns'!B285+0.127*'Daily Returns'!C285+0.12*'Daily Returns'!D285+0.086*'Daily Returns'!E285+0.337*'Daily Returns'!F285</f>
        <v>-4.8381883500741808E-3</v>
      </c>
      <c r="C297" s="13">
        <f t="shared" si="4"/>
        <v>1.2398328599429749</v>
      </c>
    </row>
    <row r="298" spans="1:3" x14ac:dyDescent="0.45">
      <c r="A298" s="2">
        <f>'Daily Returns'!A286</f>
        <v>45491</v>
      </c>
      <c r="B298" s="6">
        <f>0.33*'Daily Returns'!B286+0.127*'Daily Returns'!C286+0.12*'Daily Returns'!D286+0.086*'Daily Returns'!E286+0.337*'Daily Returns'!F286</f>
        <v>-4.8037185184113375E-3</v>
      </c>
      <c r="C298" s="13">
        <f t="shared" si="4"/>
        <v>1.2338770518739319</v>
      </c>
    </row>
    <row r="299" spans="1:3" x14ac:dyDescent="0.45">
      <c r="A299" s="2">
        <f>'Daily Returns'!A287</f>
        <v>45492</v>
      </c>
      <c r="B299" s="6">
        <f>0.33*'Daily Returns'!B287+0.127*'Daily Returns'!C287+0.12*'Daily Returns'!D287+0.086*'Daily Returns'!E287+0.337*'Daily Returns'!F287</f>
        <v>-4.1210179683928054E-3</v>
      </c>
      <c r="C299" s="13">
        <f t="shared" si="4"/>
        <v>1.228792222372372</v>
      </c>
    </row>
    <row r="300" spans="1:3" x14ac:dyDescent="0.45">
      <c r="A300" s="2">
        <f>'Daily Returns'!A288</f>
        <v>45495</v>
      </c>
      <c r="B300" s="6">
        <f>0.33*'Daily Returns'!B288+0.127*'Daily Returns'!C288+0.12*'Daily Returns'!D288+0.086*'Daily Returns'!E288+0.337*'Daily Returns'!F288</f>
        <v>7.3775846398386165E-3</v>
      </c>
      <c r="C300" s="13">
        <f t="shared" si="4"/>
        <v>1.2378577409976994</v>
      </c>
    </row>
    <row r="301" spans="1:3" x14ac:dyDescent="0.45">
      <c r="A301" s="2">
        <f>'Daily Returns'!A289</f>
        <v>45496</v>
      </c>
      <c r="B301" s="6">
        <f>0.33*'Daily Returns'!B289+0.127*'Daily Returns'!C289+0.12*'Daily Returns'!D289+0.086*'Daily Returns'!E289+0.337*'Daily Returns'!F289</f>
        <v>-3.589322548707391E-3</v>
      </c>
      <c r="C301" s="13">
        <f t="shared" si="4"/>
        <v>1.2334146702958444</v>
      </c>
    </row>
    <row r="302" spans="1:3" x14ac:dyDescent="0.45">
      <c r="A302" s="2">
        <f>'Daily Returns'!A290</f>
        <v>45497</v>
      </c>
      <c r="B302" s="6">
        <f>0.33*'Daily Returns'!B290+0.127*'Daily Returns'!C290+0.12*'Daily Returns'!D290+0.086*'Daily Returns'!E290+0.337*'Daily Returns'!F290</f>
        <v>-9.8718503132154065E-3</v>
      </c>
      <c r="C302" s="13">
        <f t="shared" si="4"/>
        <v>1.2212385852965599</v>
      </c>
    </row>
    <row r="303" spans="1:3" x14ac:dyDescent="0.45">
      <c r="A303" s="2">
        <f>'Daily Returns'!A291</f>
        <v>45498</v>
      </c>
      <c r="B303" s="6">
        <f>0.33*'Daily Returns'!B291+0.127*'Daily Returns'!C291+0.12*'Daily Returns'!D291+0.086*'Daily Returns'!E291+0.337*'Daily Returns'!F291</f>
        <v>-1.3638369011321773E-3</v>
      </c>
      <c r="C303" s="13">
        <f t="shared" si="4"/>
        <v>1.219573015048846</v>
      </c>
    </row>
    <row r="304" spans="1:3" x14ac:dyDescent="0.45">
      <c r="A304" s="2">
        <f>'Daily Returns'!A292</f>
        <v>45499</v>
      </c>
      <c r="B304" s="6">
        <f>0.33*'Daily Returns'!B292+0.127*'Daily Returns'!C292+0.12*'Daily Returns'!D292+0.086*'Daily Returns'!E292+0.337*'Daily Returns'!F292</f>
        <v>6.9314838585828736E-3</v>
      </c>
      <c r="C304" s="13">
        <f t="shared" si="4"/>
        <v>1.2280264657170201</v>
      </c>
    </row>
    <row r="305" spans="1:3" x14ac:dyDescent="0.45">
      <c r="A305" s="2">
        <f>'Daily Returns'!A293</f>
        <v>45502</v>
      </c>
      <c r="B305" s="6">
        <f>0.33*'Daily Returns'!B293+0.127*'Daily Returns'!C293+0.12*'Daily Returns'!D293+0.086*'Daily Returns'!E293+0.337*'Daily Returns'!F293</f>
        <v>-1.168564394346089E-3</v>
      </c>
      <c r="C305" s="13">
        <f t="shared" si="4"/>
        <v>1.2265914377138685</v>
      </c>
    </row>
    <row r="306" spans="1:3" x14ac:dyDescent="0.45">
      <c r="A306" s="2">
        <f>'Daily Returns'!A294</f>
        <v>45503</v>
      </c>
      <c r="B306" s="6">
        <f>0.33*'Daily Returns'!B294+0.127*'Daily Returns'!C294+0.12*'Daily Returns'!D294+0.086*'Daily Returns'!E294+0.337*'Daily Returns'!F294</f>
        <v>1.7124808947783642E-3</v>
      </c>
      <c r="C306" s="13">
        <f t="shared" si="4"/>
        <v>1.2286919521166522</v>
      </c>
    </row>
    <row r="307" spans="1:3" x14ac:dyDescent="0.45">
      <c r="A307" s="2">
        <f>'Daily Returns'!A295</f>
        <v>45504</v>
      </c>
      <c r="B307" s="6">
        <f>0.33*'Daily Returns'!B295+0.127*'Daily Returns'!C295+0.12*'Daily Returns'!D295+0.086*'Daily Returns'!E295+0.337*'Daily Returns'!F295</f>
        <v>2.2429665028516873E-3</v>
      </c>
      <c r="C307" s="13">
        <f t="shared" si="4"/>
        <v>1.2314478670075732</v>
      </c>
    </row>
    <row r="308" spans="1:3" x14ac:dyDescent="0.45">
      <c r="A308" s="2">
        <f>'Daily Returns'!A296</f>
        <v>45505</v>
      </c>
      <c r="B308" s="6">
        <f>0.33*'Daily Returns'!B296+0.127*'Daily Returns'!C296+0.12*'Daily Returns'!D296+0.086*'Daily Returns'!E296+0.337*'Daily Returns'!F296</f>
        <v>-6.1231712092329358E-3</v>
      </c>
      <c r="C308" s="13">
        <f t="shared" si="4"/>
        <v>1.2239075008826412</v>
      </c>
    </row>
    <row r="309" spans="1:3" x14ac:dyDescent="0.45">
      <c r="A309" s="2">
        <f>'Daily Returns'!A297</f>
        <v>45506</v>
      </c>
      <c r="B309" s="6">
        <f>0.33*'Daily Returns'!B297+0.127*'Daily Returns'!C297+0.12*'Daily Returns'!D297+0.086*'Daily Returns'!E297+0.337*'Daily Returns'!F297</f>
        <v>-1.3748789659816178E-2</v>
      </c>
      <c r="C309" s="13">
        <f t="shared" si="4"/>
        <v>1.2070802540899346</v>
      </c>
    </row>
    <row r="310" spans="1:3" x14ac:dyDescent="0.45">
      <c r="A310" s="2">
        <f>'Daily Returns'!A298</f>
        <v>45509</v>
      </c>
      <c r="B310" s="6">
        <f>0.33*'Daily Returns'!B298+0.127*'Daily Returns'!C298+0.12*'Daily Returns'!D298+0.086*'Daily Returns'!E298+0.337*'Daily Returns'!F298</f>
        <v>-1.7474643658859583E-2</v>
      </c>
      <c r="C310" s="13">
        <f t="shared" si="4"/>
        <v>1.1859869567820673</v>
      </c>
    </row>
    <row r="311" spans="1:3" x14ac:dyDescent="0.45">
      <c r="A311" s="2">
        <f>'Daily Returns'!A299</f>
        <v>45510</v>
      </c>
      <c r="B311" s="6">
        <f>0.33*'Daily Returns'!B299+0.127*'Daily Returns'!C299+0.12*'Daily Returns'!D299+0.086*'Daily Returns'!E299+0.337*'Daily Returns'!F299</f>
        <v>1.0930533452725724E-2</v>
      </c>
      <c r="C311" s="13">
        <f t="shared" si="4"/>
        <v>1.1989504268876701</v>
      </c>
    </row>
    <row r="312" spans="1:3" x14ac:dyDescent="0.45">
      <c r="A312" s="2">
        <f>'Daily Returns'!A300</f>
        <v>45511</v>
      </c>
      <c r="B312" s="6">
        <f>0.33*'Daily Returns'!B300+0.127*'Daily Returns'!C300+0.12*'Daily Returns'!D300+0.086*'Daily Returns'!E300+0.337*'Daily Returns'!F300</f>
        <v>-8.3685421824715206E-4</v>
      </c>
      <c r="C312" s="13">
        <f t="shared" si="4"/>
        <v>1.1979470801654599</v>
      </c>
    </row>
    <row r="313" spans="1:3" x14ac:dyDescent="0.45">
      <c r="A313" s="2">
        <f>'Daily Returns'!A301</f>
        <v>45512</v>
      </c>
      <c r="B313" s="6">
        <f>0.33*'Daily Returns'!B301+0.127*'Daily Returns'!C301+0.12*'Daily Returns'!D301+0.086*'Daily Returns'!E301+0.337*'Daily Returns'!F301</f>
        <v>9.87605174290275E-3</v>
      </c>
      <c r="C313" s="13">
        <f t="shared" si="4"/>
        <v>1.2097780675144334</v>
      </c>
    </row>
    <row r="314" spans="1:3" x14ac:dyDescent="0.45">
      <c r="A314" s="2">
        <f>'Daily Returns'!A302</f>
        <v>45513</v>
      </c>
      <c r="B314" s="6">
        <f>0.33*'Daily Returns'!B302+0.127*'Daily Returns'!C302+0.12*'Daily Returns'!D302+0.086*'Daily Returns'!E302+0.337*'Daily Returns'!F302</f>
        <v>1.9926367383721654E-3</v>
      </c>
      <c r="C314" s="13">
        <f t="shared" si="4"/>
        <v>1.2121887157370397</v>
      </c>
    </row>
    <row r="315" spans="1:3" x14ac:dyDescent="0.45">
      <c r="A315" s="2">
        <f>'Daily Returns'!A303</f>
        <v>45516</v>
      </c>
      <c r="B315" s="6">
        <f>0.33*'Daily Returns'!B303+0.127*'Daily Returns'!C303+0.12*'Daily Returns'!D303+0.086*'Daily Returns'!E303+0.337*'Daily Returns'!F303</f>
        <v>2.7097532088103053E-4</v>
      </c>
      <c r="C315" s="13">
        <f t="shared" si="4"/>
        <v>1.2125171889632549</v>
      </c>
    </row>
    <row r="316" spans="1:3" x14ac:dyDescent="0.45">
      <c r="A316" s="2">
        <f>'Daily Returns'!A304</f>
        <v>45517</v>
      </c>
      <c r="B316" s="6">
        <f>0.33*'Daily Returns'!B304+0.127*'Daily Returns'!C304+0.12*'Daily Returns'!D304+0.086*'Daily Returns'!E304+0.337*'Daily Returns'!F304</f>
        <v>6.1806298455240379E-3</v>
      </c>
      <c r="C316" s="13">
        <f t="shared" si="4"/>
        <v>1.2200113088895721</v>
      </c>
    </row>
    <row r="317" spans="1:3" x14ac:dyDescent="0.45">
      <c r="A317" s="2">
        <f>'Daily Returns'!A305</f>
        <v>45518</v>
      </c>
      <c r="B317" s="6">
        <f>0.33*'Daily Returns'!B305+0.127*'Daily Returns'!C305+0.12*'Daily Returns'!D305+0.086*'Daily Returns'!E305+0.337*'Daily Returns'!F305</f>
        <v>4.6228469258254772E-4</v>
      </c>
      <c r="C317" s="13">
        <f t="shared" si="4"/>
        <v>1.2205753014424494</v>
      </c>
    </row>
    <row r="318" spans="1:3" x14ac:dyDescent="0.45">
      <c r="A318" s="2">
        <f>'Daily Returns'!A306</f>
        <v>45519</v>
      </c>
      <c r="B318" s="6">
        <f>0.33*'Daily Returns'!B306+0.127*'Daily Returns'!C306+0.12*'Daily Returns'!D306+0.086*'Daily Returns'!E306+0.337*'Daily Returns'!F306</f>
        <v>8.6596874912200483E-3</v>
      </c>
      <c r="C318" s="13">
        <f t="shared" si="4"/>
        <v>1.2311451021124429</v>
      </c>
    </row>
    <row r="319" spans="1:3" x14ac:dyDescent="0.45">
      <c r="A319" s="2">
        <f>'Daily Returns'!A307</f>
        <v>45520</v>
      </c>
      <c r="B319" s="6">
        <f>0.33*'Daily Returns'!B307+0.127*'Daily Returns'!C307+0.12*'Daily Returns'!D307+0.086*'Daily Returns'!E307+0.337*'Daily Returns'!F307</f>
        <v>8.3530821852543786E-4</v>
      </c>
      <c r="C319" s="13">
        <f t="shared" si="4"/>
        <v>1.2321734877344348</v>
      </c>
    </row>
    <row r="320" spans="1:3" x14ac:dyDescent="0.45">
      <c r="A320" s="2">
        <f>'Daily Returns'!A308</f>
        <v>45523</v>
      </c>
      <c r="B320" s="6">
        <f>0.33*'Daily Returns'!B308+0.127*'Daily Returns'!C308+0.12*'Daily Returns'!D308+0.086*'Daily Returns'!E308+0.337*'Daily Returns'!F308</f>
        <v>4.5415050668491585E-3</v>
      </c>
      <c r="C320" s="13">
        <f t="shared" si="4"/>
        <v>1.2377694098722178</v>
      </c>
    </row>
    <row r="321" spans="1:3" x14ac:dyDescent="0.45">
      <c r="A321" s="2">
        <f>'Daily Returns'!A309</f>
        <v>45524</v>
      </c>
      <c r="B321" s="6">
        <f>0.33*'Daily Returns'!B309+0.127*'Daily Returns'!C309+0.12*'Daily Returns'!D309+0.086*'Daily Returns'!E309+0.337*'Daily Returns'!F309</f>
        <v>-2.4904240432318324E-3</v>
      </c>
      <c r="C321" s="13">
        <f t="shared" si="4"/>
        <v>1.2346868391738952</v>
      </c>
    </row>
    <row r="322" spans="1:3" x14ac:dyDescent="0.45">
      <c r="A322" s="2">
        <f>'Daily Returns'!A310</f>
        <v>45525</v>
      </c>
      <c r="B322" s="6">
        <f>0.33*'Daily Returns'!B310+0.127*'Daily Returns'!C310+0.12*'Daily Returns'!D310+0.086*'Daily Returns'!E310+0.337*'Daily Returns'!F310</f>
        <v>2.5402999641287801E-3</v>
      </c>
      <c r="C322" s="13">
        <f t="shared" si="4"/>
        <v>1.2378233141071591</v>
      </c>
    </row>
    <row r="323" spans="1:3" x14ac:dyDescent="0.45">
      <c r="A323" s="2">
        <f>'Daily Returns'!A311</f>
        <v>45526</v>
      </c>
      <c r="B323" s="6">
        <f>0.33*'Daily Returns'!B311+0.127*'Daily Returns'!C311+0.12*'Daily Returns'!D311+0.086*'Daily Returns'!E311+0.337*'Daily Returns'!F311</f>
        <v>-2.6674999752436682E-3</v>
      </c>
      <c r="C323" s="13">
        <f t="shared" si="4"/>
        <v>1.2345214204474222</v>
      </c>
    </row>
    <row r="324" spans="1:3" x14ac:dyDescent="0.45">
      <c r="A324" s="2">
        <f>'Daily Returns'!A312</f>
        <v>45527</v>
      </c>
      <c r="B324" s="6">
        <f>0.33*'Daily Returns'!B312+0.127*'Daily Returns'!C312+0.12*'Daily Returns'!D312+0.086*'Daily Returns'!E312+0.337*'Daily Returns'!F312</f>
        <v>4.4667051671679423E-3</v>
      </c>
      <c r="C324" s="13">
        <f t="shared" si="4"/>
        <v>1.2400356636551142</v>
      </c>
    </row>
    <row r="325" spans="1:3" x14ac:dyDescent="0.45">
      <c r="A325" s="2">
        <f>'Daily Returns'!A313</f>
        <v>45530</v>
      </c>
      <c r="B325" s="6">
        <f>0.33*'Daily Returns'!B313+0.127*'Daily Returns'!C313+0.12*'Daily Returns'!D313+0.086*'Daily Returns'!E313+0.337*'Daily Returns'!F313</f>
        <v>-4.0743104527155873E-4</v>
      </c>
      <c r="C325" s="13">
        <f t="shared" si="4"/>
        <v>1.2395304346284972</v>
      </c>
    </row>
    <row r="326" spans="1:3" x14ac:dyDescent="0.45">
      <c r="A326" s="2">
        <f>'Daily Returns'!A314</f>
        <v>45531</v>
      </c>
      <c r="B326" s="6">
        <f>0.33*'Daily Returns'!B314+0.127*'Daily Returns'!C314+0.12*'Daily Returns'!D314+0.086*'Daily Returns'!E314+0.337*'Daily Returns'!F314</f>
        <v>2.1243531920011939E-3</v>
      </c>
      <c r="C326" s="13">
        <f t="shared" si="4"/>
        <v>1.2421636350638829</v>
      </c>
    </row>
    <row r="327" spans="1:3" x14ac:dyDescent="0.45">
      <c r="A327" s="2">
        <f>'Daily Returns'!A315</f>
        <v>45532</v>
      </c>
      <c r="B327" s="6">
        <f>0.33*'Daily Returns'!B315+0.127*'Daily Returns'!C315+0.12*'Daily Returns'!D315+0.086*'Daily Returns'!E315+0.337*'Daily Returns'!F315</f>
        <v>-3.3399534861230044E-3</v>
      </c>
      <c r="C327" s="13">
        <f t="shared" si="4"/>
        <v>1.2380148663006161</v>
      </c>
    </row>
    <row r="328" spans="1:3" x14ac:dyDescent="0.45">
      <c r="A328" s="2">
        <f>'Daily Returns'!A316</f>
        <v>45533</v>
      </c>
      <c r="B328" s="6">
        <f>0.33*'Daily Returns'!B316+0.127*'Daily Returns'!C316+0.12*'Daily Returns'!D316+0.086*'Daily Returns'!E316+0.337*'Daily Returns'!F316</f>
        <v>2.1567826722217178E-3</v>
      </c>
      <c r="C328" s="13">
        <f t="shared" si="4"/>
        <v>1.2406849953122061</v>
      </c>
    </row>
    <row r="329" spans="1:3" x14ac:dyDescent="0.45">
      <c r="A329" s="2">
        <f>'Daily Returns'!A317</f>
        <v>45534</v>
      </c>
      <c r="B329" s="6">
        <f>0.33*'Daily Returns'!B317+0.127*'Daily Returns'!C317+0.12*'Daily Returns'!D317+0.086*'Daily Returns'!E317+0.337*'Daily Returns'!F317</f>
        <v>4.7375061073393924E-3</v>
      </c>
      <c r="C329" s="13">
        <f t="shared" si="4"/>
        <v>1.2465627480547821</v>
      </c>
    </row>
    <row r="330" spans="1:3" x14ac:dyDescent="0.45">
      <c r="A330" s="2">
        <f>'Daily Returns'!A318</f>
        <v>45538</v>
      </c>
      <c r="B330" s="6">
        <f>0.33*'Daily Returns'!B318+0.127*'Daily Returns'!C318+0.12*'Daily Returns'!D318+0.086*'Daily Returns'!E318+0.337*'Daily Returns'!F318</f>
        <v>-7.944651456917487E-3</v>
      </c>
      <c r="C330" s="13">
        <f t="shared" si="4"/>
        <v>1.2366592415023097</v>
      </c>
    </row>
    <row r="331" spans="1:3" x14ac:dyDescent="0.45">
      <c r="A331" s="2">
        <f>'Daily Returns'!A319</f>
        <v>45539</v>
      </c>
      <c r="B331" s="6">
        <f>0.33*'Daily Returns'!B319+0.127*'Daily Returns'!C319+0.12*'Daily Returns'!D319+0.086*'Daily Returns'!E319+0.337*'Daily Returns'!F319</f>
        <v>-5.5696854610466097E-4</v>
      </c>
      <c r="C331" s="13">
        <f t="shared" si="4"/>
        <v>1.2359704612025433</v>
      </c>
    </row>
    <row r="332" spans="1:3" x14ac:dyDescent="0.45">
      <c r="A332" s="2">
        <f>'Daily Returns'!A320</f>
        <v>45540</v>
      </c>
      <c r="B332" s="6">
        <f>0.33*'Daily Returns'!B320+0.127*'Daily Returns'!C320+0.12*'Daily Returns'!D320+0.086*'Daily Returns'!E320+0.337*'Daily Returns'!F320</f>
        <v>-3.2932988133191593E-4</v>
      </c>
      <c r="C332" s="13">
        <f t="shared" si="4"/>
        <v>1.2355634191972256</v>
      </c>
    </row>
    <row r="333" spans="1:3" x14ac:dyDescent="0.45">
      <c r="A333" s="2">
        <f>'Daily Returns'!A321</f>
        <v>45541</v>
      </c>
      <c r="B333" s="6">
        <f>0.33*'Daily Returns'!B321+0.127*'Daily Returns'!C321+0.12*'Daily Returns'!D321+0.086*'Daily Returns'!E321+0.337*'Daily Returns'!F321</f>
        <v>-8.6587733791012832E-3</v>
      </c>
      <c r="C333" s="13">
        <f t="shared" si="4"/>
        <v>1.2248649555548894</v>
      </c>
    </row>
    <row r="334" spans="1:3" x14ac:dyDescent="0.45">
      <c r="A334" s="2">
        <f>'Daily Returns'!A322</f>
        <v>45544</v>
      </c>
      <c r="B334" s="6">
        <f>0.33*'Daily Returns'!B322+0.127*'Daily Returns'!C322+0.12*'Daily Returns'!D322+0.086*'Daily Returns'!E322+0.337*'Daily Returns'!F322</f>
        <v>4.1560027129138796E-3</v>
      </c>
      <c r="C334" s="13">
        <f t="shared" si="4"/>
        <v>1.2299554976331288</v>
      </c>
    </row>
    <row r="335" spans="1:3" x14ac:dyDescent="0.45">
      <c r="A335" s="2">
        <f>'Daily Returns'!A323</f>
        <v>45545</v>
      </c>
      <c r="B335" s="6">
        <f>0.33*'Daily Returns'!B323+0.127*'Daily Returns'!C323+0.12*'Daily Returns'!D323+0.086*'Daily Returns'!E323+0.337*'Daily Returns'!F323</f>
        <v>3.3800174953373027E-4</v>
      </c>
      <c r="C335" s="13">
        <f t="shared" ref="C335:C398" si="5">C334*(1+B335)</f>
        <v>1.2303712247431775</v>
      </c>
    </row>
    <row r="336" spans="1:3" x14ac:dyDescent="0.45">
      <c r="A336" s="2">
        <f>'Daily Returns'!A324</f>
        <v>45546</v>
      </c>
      <c r="B336" s="6">
        <f>0.33*'Daily Returns'!B324+0.127*'Daily Returns'!C324+0.12*'Daily Returns'!D324+0.086*'Daily Returns'!E324+0.337*'Daily Returns'!F324</f>
        <v>4.0257792040599618E-3</v>
      </c>
      <c r="C336" s="13">
        <f t="shared" si="5"/>
        <v>1.2353244276330222</v>
      </c>
    </row>
    <row r="337" spans="1:3" x14ac:dyDescent="0.45">
      <c r="A337" s="2">
        <f>'Daily Returns'!A325</f>
        <v>45547</v>
      </c>
      <c r="B337" s="6">
        <f>0.33*'Daily Returns'!B325+0.127*'Daily Returns'!C325+0.12*'Daily Returns'!D325+0.086*'Daily Returns'!E325+0.337*'Daily Returns'!F325</f>
        <v>4.580021982553373E-3</v>
      </c>
      <c r="C337" s="13">
        <f t="shared" si="5"/>
        <v>1.2409822406671667</v>
      </c>
    </row>
    <row r="338" spans="1:3" x14ac:dyDescent="0.45">
      <c r="A338" s="2">
        <f>'Daily Returns'!A326</f>
        <v>45548</v>
      </c>
      <c r="B338" s="6">
        <f>0.33*'Daily Returns'!B326+0.127*'Daily Returns'!C326+0.12*'Daily Returns'!D326+0.086*'Daily Returns'!E326+0.337*'Daily Returns'!F326</f>
        <v>4.578317311004239E-3</v>
      </c>
      <c r="C338" s="13">
        <f t="shared" si="5"/>
        <v>1.2466638511422621</v>
      </c>
    </row>
    <row r="339" spans="1:3" x14ac:dyDescent="0.45">
      <c r="A339" s="2">
        <f>'Daily Returns'!A327</f>
        <v>45551</v>
      </c>
      <c r="B339" s="6">
        <f>0.33*'Daily Returns'!B327+0.127*'Daily Returns'!C327+0.12*'Daily Returns'!D327+0.086*'Daily Returns'!E327+0.337*'Daily Returns'!F327</f>
        <v>7.3815324722606044E-4</v>
      </c>
      <c r="C339" s="13">
        <f t="shared" si="5"/>
        <v>1.2475840801121822</v>
      </c>
    </row>
    <row r="340" spans="1:3" x14ac:dyDescent="0.45">
      <c r="A340" s="2">
        <f>'Daily Returns'!A328</f>
        <v>45552</v>
      </c>
      <c r="B340" s="6">
        <f>0.33*'Daily Returns'!B328+0.127*'Daily Returns'!C328+0.12*'Daily Returns'!D328+0.086*'Daily Returns'!E328+0.337*'Daily Returns'!F328</f>
        <v>-2.6859325032104111E-3</v>
      </c>
      <c r="C340" s="13">
        <f t="shared" si="5"/>
        <v>1.2442331534809212</v>
      </c>
    </row>
    <row r="341" spans="1:3" x14ac:dyDescent="0.45">
      <c r="A341" s="2">
        <f>'Daily Returns'!A329</f>
        <v>45553</v>
      </c>
      <c r="B341" s="6">
        <f>0.33*'Daily Returns'!B329+0.127*'Daily Returns'!C329+0.12*'Daily Returns'!D329+0.086*'Daily Returns'!E329+0.337*'Daily Returns'!F329</f>
        <v>-1.5139180205932859E-3</v>
      </c>
      <c r="C341" s="13">
        <f t="shared" si="5"/>
        <v>1.2423494864880469</v>
      </c>
    </row>
    <row r="342" spans="1:3" x14ac:dyDescent="0.45">
      <c r="A342" s="2">
        <f>'Daily Returns'!A330</f>
        <v>45554</v>
      </c>
      <c r="B342" s="6">
        <f>0.33*'Daily Returns'!B330+0.127*'Daily Returns'!C330+0.12*'Daily Returns'!D330+0.086*'Daily Returns'!E330+0.337*'Daily Returns'!F330</f>
        <v>1.0360533778867795E-2</v>
      </c>
      <c r="C342" s="13">
        <f t="shared" si="5"/>
        <v>1.2552208903079651</v>
      </c>
    </row>
    <row r="343" spans="1:3" x14ac:dyDescent="0.45">
      <c r="A343" s="2">
        <f>'Daily Returns'!A331</f>
        <v>45555</v>
      </c>
      <c r="B343" s="6">
        <f>0.33*'Daily Returns'!B331+0.127*'Daily Returns'!C331+0.12*'Daily Returns'!D331+0.086*'Daily Returns'!E331+0.337*'Daily Returns'!F331</f>
        <v>-2.2314945589578072E-3</v>
      </c>
      <c r="C343" s="13">
        <f t="shared" si="5"/>
        <v>1.2524198717209527</v>
      </c>
    </row>
    <row r="344" spans="1:3" x14ac:dyDescent="0.45">
      <c r="A344" s="2">
        <f>'Daily Returns'!A332</f>
        <v>45558</v>
      </c>
      <c r="B344" s="6">
        <f>0.33*'Daily Returns'!B332+0.127*'Daily Returns'!C332+0.12*'Daily Returns'!D332+0.086*'Daily Returns'!E332+0.337*'Daily Returns'!F332</f>
        <v>2.1941911508529853E-3</v>
      </c>
      <c r="C344" s="13">
        <f t="shared" si="5"/>
        <v>1.2551679203206352</v>
      </c>
    </row>
    <row r="345" spans="1:3" x14ac:dyDescent="0.45">
      <c r="A345" s="2">
        <f>'Daily Returns'!A333</f>
        <v>45559</v>
      </c>
      <c r="B345" s="6">
        <f>0.33*'Daily Returns'!B333+0.127*'Daily Returns'!C333+0.12*'Daily Returns'!D333+0.086*'Daily Returns'!E333+0.337*'Daily Returns'!F333</f>
        <v>1.292664927222789E-3</v>
      </c>
      <c r="C345" s="13">
        <f t="shared" si="5"/>
        <v>1.2567904318690086</v>
      </c>
    </row>
    <row r="346" spans="1:3" x14ac:dyDescent="0.45">
      <c r="A346" s="2">
        <f>'Daily Returns'!A334</f>
        <v>45560</v>
      </c>
      <c r="B346" s="6">
        <f>0.33*'Daily Returns'!B334+0.127*'Daily Returns'!C334+0.12*'Daily Returns'!D334+0.086*'Daily Returns'!E334+0.337*'Daily Returns'!F334</f>
        <v>-5.4036128625550564E-3</v>
      </c>
      <c r="C346" s="13">
        <f t="shared" si="5"/>
        <v>1.249999222925825</v>
      </c>
    </row>
    <row r="347" spans="1:3" x14ac:dyDescent="0.45">
      <c r="A347" s="2">
        <f>'Daily Returns'!A335</f>
        <v>45561</v>
      </c>
      <c r="B347" s="6">
        <f>0.33*'Daily Returns'!B335+0.127*'Daily Returns'!C335+0.12*'Daily Returns'!D335+0.086*'Daily Returns'!E335+0.337*'Daily Returns'!F335</f>
        <v>3.9497208063778884E-3</v>
      </c>
      <c r="C347" s="13">
        <f t="shared" si="5"/>
        <v>1.2549363708645713</v>
      </c>
    </row>
    <row r="348" spans="1:3" x14ac:dyDescent="0.45">
      <c r="A348" s="2">
        <f>'Daily Returns'!A336</f>
        <v>45562</v>
      </c>
      <c r="B348" s="6">
        <f>0.33*'Daily Returns'!B336+0.127*'Daily Returns'!C336+0.12*'Daily Returns'!D336+0.086*'Daily Returns'!E336+0.337*'Daily Returns'!F336</f>
        <v>2.5542163140074171E-3</v>
      </c>
      <c r="C348" s="13">
        <f t="shared" si="5"/>
        <v>1.2581417498160747</v>
      </c>
    </row>
    <row r="349" spans="1:3" x14ac:dyDescent="0.45">
      <c r="A349" s="2">
        <f>'Daily Returns'!A337</f>
        <v>45565</v>
      </c>
      <c r="B349" s="6">
        <f>0.33*'Daily Returns'!B337+0.127*'Daily Returns'!C337+0.12*'Daily Returns'!D337+0.086*'Daily Returns'!E337+0.337*'Daily Returns'!F337</f>
        <v>5.1111456341350911E-4</v>
      </c>
      <c r="C349" s="13">
        <f t="shared" si="5"/>
        <v>1.2587848043872443</v>
      </c>
    </row>
    <row r="350" spans="1:3" x14ac:dyDescent="0.45">
      <c r="A350" s="2">
        <f>'Daily Returns'!A338</f>
        <v>45566</v>
      </c>
      <c r="B350" s="6">
        <f>0.33*'Daily Returns'!B338+0.127*'Daily Returns'!C338+0.12*'Daily Returns'!D338+0.086*'Daily Returns'!E338+0.337*'Daily Returns'!F338</f>
        <v>-6.0265605696475299E-3</v>
      </c>
      <c r="C350" s="13">
        <f t="shared" si="5"/>
        <v>1.2511986615194526</v>
      </c>
    </row>
    <row r="351" spans="1:3" x14ac:dyDescent="0.45">
      <c r="A351" s="2">
        <f>'Daily Returns'!A339</f>
        <v>45567</v>
      </c>
      <c r="B351" s="6">
        <f>0.33*'Daily Returns'!B339+0.127*'Daily Returns'!C339+0.12*'Daily Returns'!D339+0.086*'Daily Returns'!E339+0.337*'Daily Returns'!F339</f>
        <v>1.3187185049668474E-3</v>
      </c>
      <c r="C351" s="13">
        <f t="shared" si="5"/>
        <v>1.2528486403477879</v>
      </c>
    </row>
    <row r="352" spans="1:3" x14ac:dyDescent="0.45">
      <c r="A352" s="2">
        <f>'Daily Returns'!A340</f>
        <v>45568</v>
      </c>
      <c r="B352" s="6">
        <f>0.33*'Daily Returns'!B340+0.127*'Daily Returns'!C340+0.12*'Daily Returns'!D340+0.086*'Daily Returns'!E340+0.337*'Daily Returns'!F340</f>
        <v>6.7069394801388504E-4</v>
      </c>
      <c r="C352" s="13">
        <f t="shared" si="5"/>
        <v>1.2536889183486466</v>
      </c>
    </row>
    <row r="353" spans="1:3" x14ac:dyDescent="0.45">
      <c r="A353" s="2">
        <f>'Daily Returns'!A341</f>
        <v>45569</v>
      </c>
      <c r="B353" s="6">
        <f>0.33*'Daily Returns'!B341+0.127*'Daily Returns'!C341+0.12*'Daily Returns'!D341+0.086*'Daily Returns'!E341+0.337*'Daily Returns'!F341</f>
        <v>5.2650743179980305E-3</v>
      </c>
      <c r="C353" s="13">
        <f t="shared" si="5"/>
        <v>1.2602896836754027</v>
      </c>
    </row>
    <row r="354" spans="1:3" x14ac:dyDescent="0.45">
      <c r="A354" s="2">
        <f>'Daily Returns'!A342</f>
        <v>45572</v>
      </c>
      <c r="B354" s="6">
        <f>0.33*'Daily Returns'!B342+0.127*'Daily Returns'!C342+0.12*'Daily Returns'!D342+0.086*'Daily Returns'!E342+0.337*'Daily Returns'!F342</f>
        <v>-3.8041723374556374E-3</v>
      </c>
      <c r="C354" s="13">
        <f t="shared" si="5"/>
        <v>1.255495324523584</v>
      </c>
    </row>
    <row r="355" spans="1:3" x14ac:dyDescent="0.45">
      <c r="A355" s="2">
        <f>'Daily Returns'!A343</f>
        <v>45573</v>
      </c>
      <c r="B355" s="6">
        <f>0.33*'Daily Returns'!B343+0.127*'Daily Returns'!C343+0.12*'Daily Returns'!D343+0.086*'Daily Returns'!E343+0.337*'Daily Returns'!F343</f>
        <v>3.5481427540687647E-3</v>
      </c>
      <c r="C355" s="13">
        <f t="shared" si="5"/>
        <v>1.2599500011620595</v>
      </c>
    </row>
    <row r="356" spans="1:3" x14ac:dyDescent="0.45">
      <c r="A356" s="2">
        <f>'Daily Returns'!A344</f>
        <v>45574</v>
      </c>
      <c r="B356" s="6">
        <f>0.33*'Daily Returns'!B344+0.127*'Daily Returns'!C344+0.12*'Daily Returns'!D344+0.086*'Daily Returns'!E344+0.337*'Daily Returns'!F344</f>
        <v>9.9303355453960585E-5</v>
      </c>
      <c r="C356" s="13">
        <f t="shared" si="5"/>
        <v>1.2600751184248791</v>
      </c>
    </row>
    <row r="357" spans="1:3" x14ac:dyDescent="0.45">
      <c r="A357" s="2">
        <f>'Daily Returns'!A345</f>
        <v>45575</v>
      </c>
      <c r="B357" s="6">
        <f>0.33*'Daily Returns'!B345+0.127*'Daily Returns'!C345+0.12*'Daily Returns'!D345+0.086*'Daily Returns'!E345+0.337*'Daily Returns'!F345</f>
        <v>1.4147613914307928E-3</v>
      </c>
      <c r="C357" s="13">
        <f t="shared" si="5"/>
        <v>1.2618578240527292</v>
      </c>
    </row>
    <row r="358" spans="1:3" x14ac:dyDescent="0.45">
      <c r="A358" s="2">
        <f>'Daily Returns'!A346</f>
        <v>45576</v>
      </c>
      <c r="B358" s="6">
        <f>0.33*'Daily Returns'!B346+0.127*'Daily Returns'!C346+0.12*'Daily Returns'!D346+0.086*'Daily Returns'!E346+0.337*'Daily Returns'!F346</f>
        <v>4.2099111222522554E-3</v>
      </c>
      <c r="C358" s="13">
        <f t="shared" si="5"/>
        <v>1.2671701333409098</v>
      </c>
    </row>
    <row r="359" spans="1:3" x14ac:dyDescent="0.45">
      <c r="A359" s="2">
        <f>'Daily Returns'!A347</f>
        <v>45579</v>
      </c>
      <c r="B359" s="6">
        <f>0.33*'Daily Returns'!B347+0.127*'Daily Returns'!C347+0.12*'Daily Returns'!D347+0.086*'Daily Returns'!E347+0.337*'Daily Returns'!F347</f>
        <v>4.1794784866528087E-3</v>
      </c>
      <c r="C359" s="13">
        <f t="shared" si="5"/>
        <v>1.2724662436521372</v>
      </c>
    </row>
    <row r="360" spans="1:3" x14ac:dyDescent="0.45">
      <c r="A360" s="2">
        <f>'Daily Returns'!A348</f>
        <v>45580</v>
      </c>
      <c r="B360" s="6">
        <f>0.33*'Daily Returns'!B348+0.127*'Daily Returns'!C348+0.12*'Daily Returns'!D348+0.086*'Daily Returns'!E348+0.337*'Daily Returns'!F348</f>
        <v>-2.0395472496483953E-3</v>
      </c>
      <c r="C360" s="13">
        <f t="shared" si="5"/>
        <v>1.269870988624626</v>
      </c>
    </row>
    <row r="361" spans="1:3" x14ac:dyDescent="0.45">
      <c r="A361" s="2">
        <f>'Daily Returns'!A349</f>
        <v>45581</v>
      </c>
      <c r="B361" s="6">
        <f>0.33*'Daily Returns'!B349+0.127*'Daily Returns'!C349+0.12*'Daily Returns'!D349+0.086*'Daily Returns'!E349+0.337*'Daily Returns'!F349</f>
        <v>5.3908958561690425E-3</v>
      </c>
      <c r="C361" s="13">
        <f t="shared" si="5"/>
        <v>1.2767167308750718</v>
      </c>
    </row>
    <row r="362" spans="1:3" x14ac:dyDescent="0.45">
      <c r="A362" s="2">
        <f>'Daily Returns'!A350</f>
        <v>45582</v>
      </c>
      <c r="B362" s="6">
        <f>0.33*'Daily Returns'!B350+0.127*'Daily Returns'!C350+0.12*'Daily Returns'!D350+0.086*'Daily Returns'!E350+0.337*'Daily Returns'!F350</f>
        <v>-7.0487161534099672E-4</v>
      </c>
      <c r="C362" s="13">
        <f t="shared" si="5"/>
        <v>1.2758168094906468</v>
      </c>
    </row>
    <row r="363" spans="1:3" x14ac:dyDescent="0.45">
      <c r="A363" s="2">
        <f>'Daily Returns'!A351</f>
        <v>45583</v>
      </c>
      <c r="B363" s="6">
        <f>0.33*'Daily Returns'!B351+0.127*'Daily Returns'!C351+0.12*'Daily Returns'!D351+0.086*'Daily Returns'!E351+0.337*'Daily Returns'!F351</f>
        <v>3.6254235865875463E-3</v>
      </c>
      <c r="C363" s="13">
        <f t="shared" si="5"/>
        <v>1.280442185843939</v>
      </c>
    </row>
    <row r="364" spans="1:3" x14ac:dyDescent="0.45">
      <c r="A364" s="2">
        <f>'Daily Returns'!A352</f>
        <v>45586</v>
      </c>
      <c r="B364" s="6">
        <f>0.33*'Daily Returns'!B352+0.127*'Daily Returns'!C352+0.12*'Daily Returns'!D352+0.086*'Daily Returns'!E352+0.337*'Daily Returns'!F352</f>
        <v>4.3005286513012292E-4</v>
      </c>
      <c r="C364" s="13">
        <f t="shared" si="5"/>
        <v>1.2809928436745948</v>
      </c>
    </row>
    <row r="365" spans="1:3" x14ac:dyDescent="0.45">
      <c r="A365" s="2">
        <f>'Daily Returns'!A353</f>
        <v>45587</v>
      </c>
      <c r="B365" s="6">
        <f>0.33*'Daily Returns'!B353+0.127*'Daily Returns'!C353+0.12*'Daily Returns'!D353+0.086*'Daily Returns'!E353+0.337*'Daily Returns'!F353</f>
        <v>-2.3046295352849369E-3</v>
      </c>
      <c r="C365" s="13">
        <f t="shared" si="5"/>
        <v>1.2780406297325735</v>
      </c>
    </row>
    <row r="366" spans="1:3" x14ac:dyDescent="0.45">
      <c r="A366" s="2">
        <f>'Daily Returns'!A354</f>
        <v>45588</v>
      </c>
      <c r="B366" s="6">
        <f>0.33*'Daily Returns'!B354+0.127*'Daily Returns'!C354+0.12*'Daily Returns'!D354+0.086*'Daily Returns'!E354+0.337*'Daily Returns'!F354</f>
        <v>-3.6215655385795787E-3</v>
      </c>
      <c r="C366" s="13">
        <f t="shared" si="5"/>
        <v>1.2734121218310295</v>
      </c>
    </row>
    <row r="367" spans="1:3" x14ac:dyDescent="0.45">
      <c r="A367" s="2">
        <f>'Daily Returns'!A355</f>
        <v>45589</v>
      </c>
      <c r="B367" s="6">
        <f>0.33*'Daily Returns'!B355+0.127*'Daily Returns'!C355+0.12*'Daily Returns'!D355+0.086*'Daily Returns'!E355+0.337*'Daily Returns'!F355</f>
        <v>3.9265285421848893E-3</v>
      </c>
      <c r="C367" s="13">
        <f t="shared" si="5"/>
        <v>1.2784122108733631</v>
      </c>
    </row>
    <row r="368" spans="1:3" x14ac:dyDescent="0.45">
      <c r="A368" s="2">
        <f>'Daily Returns'!A356</f>
        <v>45590</v>
      </c>
      <c r="B368" s="6">
        <f>0.33*'Daily Returns'!B356+0.127*'Daily Returns'!C356+0.12*'Daily Returns'!D356+0.086*'Daily Returns'!E356+0.337*'Daily Returns'!F356</f>
        <v>-1.7417755400167562E-3</v>
      </c>
      <c r="C368" s="13">
        <f t="shared" si="5"/>
        <v>1.2761855037544052</v>
      </c>
    </row>
    <row r="369" spans="1:3" x14ac:dyDescent="0.45">
      <c r="A369" s="2">
        <f>'Daily Returns'!A357</f>
        <v>45593</v>
      </c>
      <c r="B369" s="6">
        <f>0.33*'Daily Returns'!B357+0.127*'Daily Returns'!C357+0.12*'Daily Returns'!D357+0.086*'Daily Returns'!E357+0.337*'Daily Returns'!F357</f>
        <v>1.4850059766212751E-3</v>
      </c>
      <c r="C369" s="13">
        <f t="shared" si="5"/>
        <v>1.2780806468547581</v>
      </c>
    </row>
    <row r="370" spans="1:3" x14ac:dyDescent="0.45">
      <c r="A370" s="2">
        <f>'Daily Returns'!A358</f>
        <v>45594</v>
      </c>
      <c r="B370" s="6">
        <f>0.33*'Daily Returns'!B358+0.127*'Daily Returns'!C358+0.12*'Daily Returns'!D358+0.086*'Daily Returns'!E358+0.337*'Daily Returns'!F358</f>
        <v>-1.656781046586767E-3</v>
      </c>
      <c r="C370" s="13">
        <f t="shared" si="5"/>
        <v>1.2759631470630397</v>
      </c>
    </row>
    <row r="371" spans="1:3" x14ac:dyDescent="0.45">
      <c r="A371" s="2">
        <f>'Daily Returns'!A359</f>
        <v>45595</v>
      </c>
      <c r="B371" s="6">
        <f>0.33*'Daily Returns'!B359+0.127*'Daily Returns'!C359+0.12*'Daily Returns'!D359+0.086*'Daily Returns'!E359+0.337*'Daily Returns'!F359</f>
        <v>-3.0611474460093295E-3</v>
      </c>
      <c r="C371" s="13">
        <f t="shared" si="5"/>
        <v>1.2720572357342055</v>
      </c>
    </row>
    <row r="372" spans="1:3" x14ac:dyDescent="0.45">
      <c r="A372" s="2">
        <f>'Daily Returns'!A360</f>
        <v>45596</v>
      </c>
      <c r="B372" s="6">
        <f>0.33*'Daily Returns'!B360+0.127*'Daily Returns'!C360+0.12*'Daily Returns'!D360+0.086*'Daily Returns'!E360+0.337*'Daily Returns'!F360</f>
        <v>-7.4353477003851181E-3</v>
      </c>
      <c r="C372" s="13">
        <f t="shared" si="5"/>
        <v>1.2625990478917308</v>
      </c>
    </row>
    <row r="373" spans="1:3" x14ac:dyDescent="0.45">
      <c r="A373" s="2">
        <f>'Daily Returns'!A361</f>
        <v>45597</v>
      </c>
      <c r="B373" s="6">
        <f>0.33*'Daily Returns'!B361+0.127*'Daily Returns'!C361+0.12*'Daily Returns'!D361+0.086*'Daily Returns'!E361+0.337*'Daily Returns'!F361</f>
        <v>-1.7711346076935506E-3</v>
      </c>
      <c r="C373" s="13">
        <f t="shared" si="5"/>
        <v>1.2603628150223689</v>
      </c>
    </row>
    <row r="374" spans="1:3" x14ac:dyDescent="0.45">
      <c r="A374" s="2">
        <f>'Daily Returns'!A362</f>
        <v>45600</v>
      </c>
      <c r="B374" s="6">
        <f>0.33*'Daily Returns'!B362+0.127*'Daily Returns'!C362+0.12*'Daily Returns'!D362+0.086*'Daily Returns'!E362+0.337*'Daily Returns'!F362</f>
        <v>-3.074304774631624E-3</v>
      </c>
      <c r="C374" s="13">
        <f t="shared" si="5"/>
        <v>1.2564880756023775</v>
      </c>
    </row>
    <row r="375" spans="1:3" x14ac:dyDescent="0.45">
      <c r="A375" s="2">
        <f>'Daily Returns'!A363</f>
        <v>45601</v>
      </c>
      <c r="B375" s="6">
        <f>0.33*'Daily Returns'!B363+0.127*'Daily Returns'!C363+0.12*'Daily Returns'!D363+0.086*'Daily Returns'!E363+0.337*'Daily Returns'!F363</f>
        <v>6.4581673560840267E-3</v>
      </c>
      <c r="C375" s="13">
        <f t="shared" si="5"/>
        <v>1.2646026858755415</v>
      </c>
    </row>
    <row r="376" spans="1:3" x14ac:dyDescent="0.45">
      <c r="A376" s="2">
        <f>'Daily Returns'!A364</f>
        <v>45602</v>
      </c>
      <c r="B376" s="6">
        <f>0.33*'Daily Returns'!B364+0.127*'Daily Returns'!C364+0.12*'Daily Returns'!D364+0.086*'Daily Returns'!E364+0.337*'Daily Returns'!F364</f>
        <v>1.257356779912502E-2</v>
      </c>
      <c r="C376" s="13">
        <f t="shared" si="5"/>
        <v>1.2805032534853531</v>
      </c>
    </row>
    <row r="377" spans="1:3" x14ac:dyDescent="0.45">
      <c r="A377" s="2">
        <f>'Daily Returns'!A365</f>
        <v>45603</v>
      </c>
      <c r="B377" s="6">
        <f>0.33*'Daily Returns'!B365+0.127*'Daily Returns'!C365+0.12*'Daily Returns'!D365+0.086*'Daily Returns'!E365+0.337*'Daily Returns'!F365</f>
        <v>-5.3255492384262368E-5</v>
      </c>
      <c r="C377" s="13">
        <f t="shared" si="5"/>
        <v>1.2804350596540892</v>
      </c>
    </row>
    <row r="378" spans="1:3" x14ac:dyDescent="0.45">
      <c r="A378" s="2">
        <f>'Daily Returns'!A366</f>
        <v>45604</v>
      </c>
      <c r="B378" s="6">
        <f>0.33*'Daily Returns'!B366+0.127*'Daily Returns'!C366+0.12*'Daily Returns'!D366+0.086*'Daily Returns'!E366+0.337*'Daily Returns'!F366</f>
        <v>6.0859728886311047E-3</v>
      </c>
      <c r="C378" s="13">
        <f t="shared" si="5"/>
        <v>1.2882277527127968</v>
      </c>
    </row>
    <row r="379" spans="1:3" x14ac:dyDescent="0.45">
      <c r="A379" s="2">
        <f>'Daily Returns'!A367</f>
        <v>45607</v>
      </c>
      <c r="B379" s="6">
        <f>0.33*'Daily Returns'!B367+0.127*'Daily Returns'!C367+0.12*'Daily Returns'!D367+0.086*'Daily Returns'!E367+0.337*'Daily Returns'!F367</f>
        <v>2.6256533924651497E-4</v>
      </c>
      <c r="C379" s="13">
        <f t="shared" si="5"/>
        <v>1.2885659966697145</v>
      </c>
    </row>
    <row r="380" spans="1:3" x14ac:dyDescent="0.45">
      <c r="A380" s="2">
        <f>'Daily Returns'!A368</f>
        <v>45608</v>
      </c>
      <c r="B380" s="6">
        <f>0.33*'Daily Returns'!B368+0.127*'Daily Returns'!C368+0.12*'Daily Returns'!D368+0.086*'Daily Returns'!E368+0.337*'Daily Returns'!F368</f>
        <v>-2.2724908612466806E-3</v>
      </c>
      <c r="C380" s="13">
        <f t="shared" si="5"/>
        <v>1.2856377422181693</v>
      </c>
    </row>
    <row r="381" spans="1:3" x14ac:dyDescent="0.45">
      <c r="A381" s="2">
        <f>'Daily Returns'!A369</f>
        <v>45609</v>
      </c>
      <c r="B381" s="6">
        <f>0.33*'Daily Returns'!B369+0.127*'Daily Returns'!C369+0.12*'Daily Returns'!D369+0.086*'Daily Returns'!E369+0.337*'Daily Returns'!F369</f>
        <v>9.5707363238076897E-4</v>
      </c>
      <c r="C381" s="13">
        <f t="shared" si="5"/>
        <v>1.2868681922020397</v>
      </c>
    </row>
    <row r="382" spans="1:3" x14ac:dyDescent="0.45">
      <c r="A382" s="2">
        <f>'Daily Returns'!A370</f>
        <v>45610</v>
      </c>
      <c r="B382" s="6">
        <f>0.33*'Daily Returns'!B370+0.127*'Daily Returns'!C370+0.12*'Daily Returns'!D370+0.086*'Daily Returns'!E370+0.337*'Daily Returns'!F370</f>
        <v>-3.0168031870073872E-3</v>
      </c>
      <c r="C382" s="13">
        <f t="shared" si="5"/>
        <v>1.2829859641385462</v>
      </c>
    </row>
    <row r="383" spans="1:3" x14ac:dyDescent="0.45">
      <c r="A383" s="2">
        <f>'Daily Returns'!A371</f>
        <v>45611</v>
      </c>
      <c r="B383" s="6">
        <f>0.33*'Daily Returns'!B371+0.127*'Daily Returns'!C371+0.12*'Daily Returns'!D371+0.086*'Daily Returns'!E371+0.337*'Daily Returns'!F371</f>
        <v>-4.0047648192171369E-3</v>
      </c>
      <c r="C383" s="13">
        <f t="shared" si="5"/>
        <v>1.2778479070858146</v>
      </c>
    </row>
    <row r="384" spans="1:3" x14ac:dyDescent="0.45">
      <c r="A384" s="2">
        <f>'Daily Returns'!A372</f>
        <v>45614</v>
      </c>
      <c r="B384" s="6">
        <f>0.33*'Daily Returns'!B372+0.127*'Daily Returns'!C372+0.12*'Daily Returns'!D372+0.086*'Daily Returns'!E372+0.337*'Daily Returns'!F372</f>
        <v>3.9350474882256714E-3</v>
      </c>
      <c r="C384" s="13">
        <f t="shared" si="5"/>
        <v>1.282876299282927</v>
      </c>
    </row>
    <row r="385" spans="1:3" x14ac:dyDescent="0.45">
      <c r="A385" s="2">
        <f>'Daily Returns'!A373</f>
        <v>45615</v>
      </c>
      <c r="B385" s="6">
        <f>0.33*'Daily Returns'!B373+0.127*'Daily Returns'!C373+0.12*'Daily Returns'!D373+0.086*'Daily Returns'!E373+0.337*'Daily Returns'!F373</f>
        <v>3.4726517322514593E-3</v>
      </c>
      <c r="C385" s="13">
        <f t="shared" si="5"/>
        <v>1.2873312818858962</v>
      </c>
    </row>
    <row r="386" spans="1:3" x14ac:dyDescent="0.45">
      <c r="A386" s="2">
        <f>'Daily Returns'!A374</f>
        <v>45616</v>
      </c>
      <c r="B386" s="6">
        <f>0.33*'Daily Returns'!B374+0.127*'Daily Returns'!C374+0.12*'Daily Returns'!D374+0.086*'Daily Returns'!E374+0.337*'Daily Returns'!F374</f>
        <v>-6.7557170242794169E-4</v>
      </c>
      <c r="C386" s="13">
        <f t="shared" si="5"/>
        <v>1.2864615973002038</v>
      </c>
    </row>
    <row r="387" spans="1:3" x14ac:dyDescent="0.45">
      <c r="A387" s="2">
        <f>'Daily Returns'!A375</f>
        <v>45617</v>
      </c>
      <c r="B387" s="6">
        <f>0.33*'Daily Returns'!B375+0.127*'Daily Returns'!C375+0.12*'Daily Returns'!D375+0.086*'Daily Returns'!E375+0.337*'Daily Returns'!F375</f>
        <v>1.828663779060971E-3</v>
      </c>
      <c r="C387" s="13">
        <f t="shared" si="5"/>
        <v>1.2888141030263396</v>
      </c>
    </row>
    <row r="388" spans="1:3" x14ac:dyDescent="0.45">
      <c r="A388" s="2">
        <f>'Daily Returns'!A376</f>
        <v>45618</v>
      </c>
      <c r="B388" s="6">
        <f>0.33*'Daily Returns'!B376+0.127*'Daily Returns'!C376+0.12*'Daily Returns'!D376+0.086*'Daily Returns'!E376+0.337*'Daily Returns'!F376</f>
        <v>5.1077760861205019E-3</v>
      </c>
      <c r="C388" s="13">
        <f t="shared" si="5"/>
        <v>1.2953970768812324</v>
      </c>
    </row>
    <row r="389" spans="1:3" x14ac:dyDescent="0.45">
      <c r="A389" s="2">
        <f>'Daily Returns'!A377</f>
        <v>45621</v>
      </c>
      <c r="B389" s="6">
        <f>0.33*'Daily Returns'!B377+0.127*'Daily Returns'!C377+0.12*'Daily Returns'!D377+0.086*'Daily Returns'!E377+0.337*'Daily Returns'!F377</f>
        <v>2.2867324904981218E-3</v>
      </c>
      <c r="C389" s="13">
        <f t="shared" si="5"/>
        <v>1.2983593034650329</v>
      </c>
    </row>
    <row r="390" spans="1:3" x14ac:dyDescent="0.45">
      <c r="A390" s="2">
        <f>'Daily Returns'!A378</f>
        <v>45622</v>
      </c>
      <c r="B390" s="6">
        <f>0.33*'Daily Returns'!B378+0.127*'Daily Returns'!C378+0.12*'Daily Returns'!D378+0.086*'Daily Returns'!E378+0.337*'Daily Returns'!F378</f>
        <v>1.5694539326499817E-3</v>
      </c>
      <c r="C390" s="13">
        <f t="shared" si="5"/>
        <v>1.300397018579849</v>
      </c>
    </row>
    <row r="391" spans="1:3" x14ac:dyDescent="0.45">
      <c r="A391" s="2">
        <f>'Daily Returns'!A379</f>
        <v>45623</v>
      </c>
      <c r="B391" s="6">
        <f>0.33*'Daily Returns'!B379+0.127*'Daily Returns'!C379+0.12*'Daily Returns'!D379+0.086*'Daily Returns'!E379+0.337*'Daily Returns'!F379</f>
        <v>1.5255626652633451E-3</v>
      </c>
      <c r="C391" s="13">
        <f t="shared" si="5"/>
        <v>1.302380855721414</v>
      </c>
    </row>
    <row r="392" spans="1:3" x14ac:dyDescent="0.45">
      <c r="A392" s="2">
        <f>'Daily Returns'!A380</f>
        <v>45625</v>
      </c>
      <c r="B392" s="6">
        <f>0.33*'Daily Returns'!B380+0.127*'Daily Returns'!C380+0.12*'Daily Returns'!D380+0.086*'Daily Returns'!E380+0.337*'Daily Returns'!F380</f>
        <v>5.9743834103918496E-3</v>
      </c>
      <c r="C392" s="13">
        <f t="shared" si="5"/>
        <v>1.310161778299848</v>
      </c>
    </row>
    <row r="393" spans="1:3" x14ac:dyDescent="0.45">
      <c r="A393" s="2">
        <f>'Daily Returns'!A381</f>
        <v>45628</v>
      </c>
      <c r="B393" s="6">
        <f>0.33*'Daily Returns'!B381+0.127*'Daily Returns'!C381+0.12*'Daily Returns'!D381+0.086*'Daily Returns'!E381+0.337*'Daily Returns'!F381</f>
        <v>-1.1901489386747996E-3</v>
      </c>
      <c r="C393" s="13">
        <f t="shared" si="5"/>
        <v>1.3086024906499123</v>
      </c>
    </row>
    <row r="394" spans="1:3" x14ac:dyDescent="0.45">
      <c r="A394" s="2">
        <f>'Daily Returns'!A382</f>
        <v>45629</v>
      </c>
      <c r="B394" s="6">
        <f>0.33*'Daily Returns'!B382+0.127*'Daily Returns'!C382+0.12*'Daily Returns'!D382+0.086*'Daily Returns'!E382+0.337*'Daily Returns'!F382</f>
        <v>7.9587385289481033E-4</v>
      </c>
      <c r="C394" s="13">
        <f t="shared" si="5"/>
        <v>1.3096439731560536</v>
      </c>
    </row>
    <row r="395" spans="1:3" x14ac:dyDescent="0.45">
      <c r="A395" s="2">
        <f>'Daily Returns'!A383</f>
        <v>45630</v>
      </c>
      <c r="B395" s="6">
        <f>0.33*'Daily Returns'!B383+0.127*'Daily Returns'!C383+0.12*'Daily Returns'!D383+0.086*'Daily Returns'!E383+0.337*'Daily Returns'!F383</f>
        <v>1.6237637355476032E-3</v>
      </c>
      <c r="C395" s="13">
        <f t="shared" si="5"/>
        <v>1.3117705255461429</v>
      </c>
    </row>
    <row r="396" spans="1:3" x14ac:dyDescent="0.45">
      <c r="A396" s="2">
        <f>'Daily Returns'!A384</f>
        <v>45631</v>
      </c>
      <c r="B396" s="6">
        <f>0.33*'Daily Returns'!B384+0.127*'Daily Returns'!C384+0.12*'Daily Returns'!D384+0.086*'Daily Returns'!E384+0.337*'Daily Returns'!F384</f>
        <v>-6.2091590661658445E-5</v>
      </c>
      <c r="C396" s="13">
        <f t="shared" si="5"/>
        <v>1.3116890756276287</v>
      </c>
    </row>
    <row r="397" spans="1:3" x14ac:dyDescent="0.45">
      <c r="A397" s="2">
        <f>'Daily Returns'!A385</f>
        <v>45632</v>
      </c>
      <c r="B397" s="6">
        <f>0.33*'Daily Returns'!B385+0.127*'Daily Returns'!C385+0.12*'Daily Returns'!D385+0.086*'Daily Returns'!E385+0.337*'Daily Returns'!F385</f>
        <v>2.2577392570878995E-3</v>
      </c>
      <c r="C397" s="13">
        <f t="shared" si="5"/>
        <v>1.3146505275467666</v>
      </c>
    </row>
    <row r="398" spans="1:3" x14ac:dyDescent="0.45">
      <c r="A398" s="2">
        <f>'Daily Returns'!A386</f>
        <v>45635</v>
      </c>
      <c r="B398" s="6">
        <f>0.33*'Daily Returns'!B386+0.127*'Daily Returns'!C386+0.12*'Daily Returns'!D386+0.086*'Daily Returns'!E386+0.337*'Daily Returns'!F386</f>
        <v>-2.7263344031131613E-3</v>
      </c>
      <c r="C398" s="13">
        <f t="shared" si="5"/>
        <v>1.311066350585445</v>
      </c>
    </row>
    <row r="399" spans="1:3" x14ac:dyDescent="0.45">
      <c r="A399" s="2">
        <f>'Daily Returns'!A387</f>
        <v>45636</v>
      </c>
      <c r="B399" s="6">
        <f>0.33*'Daily Returns'!B387+0.127*'Daily Returns'!C387+0.12*'Daily Returns'!D387+0.086*'Daily Returns'!E387+0.337*'Daily Returns'!F387</f>
        <v>-1.0142210759707642E-3</v>
      </c>
      <c r="C399" s="13">
        <f t="shared" ref="C399:C462" si="6">C398*(1+B399)</f>
        <v>1.3097366394606853</v>
      </c>
    </row>
    <row r="400" spans="1:3" x14ac:dyDescent="0.45">
      <c r="A400" s="2">
        <f>'Daily Returns'!A388</f>
        <v>45637</v>
      </c>
      <c r="B400" s="6">
        <f>0.33*'Daily Returns'!B388+0.127*'Daily Returns'!C388+0.12*'Daily Returns'!D388+0.086*'Daily Returns'!E388+0.337*'Daily Returns'!F388</f>
        <v>2.1364503472895103E-3</v>
      </c>
      <c r="C400" s="13">
        <f t="shared" si="6"/>
        <v>1.312534826758919</v>
      </c>
    </row>
    <row r="401" spans="1:3" x14ac:dyDescent="0.45">
      <c r="A401" s="2">
        <f>'Daily Returns'!A389</f>
        <v>45638</v>
      </c>
      <c r="B401" s="6">
        <f>0.33*'Daily Returns'!B389+0.127*'Daily Returns'!C389+0.12*'Daily Returns'!D389+0.086*'Daily Returns'!E389+0.337*'Daily Returns'!F389</f>
        <v>-2.0172802715705995E-3</v>
      </c>
      <c r="C401" s="13">
        <f t="shared" si="6"/>
        <v>1.3098870761471488</v>
      </c>
    </row>
    <row r="402" spans="1:3" x14ac:dyDescent="0.45">
      <c r="A402" s="2">
        <f>'Daily Returns'!A390</f>
        <v>45639</v>
      </c>
      <c r="B402" s="6">
        <f>0.33*'Daily Returns'!B390+0.127*'Daily Returns'!C390+0.12*'Daily Returns'!D390+0.086*'Daily Returns'!E390+0.337*'Daily Returns'!F390</f>
        <v>-9.7652181718028042E-5</v>
      </c>
      <c r="C402" s="13">
        <f t="shared" si="6"/>
        <v>1.309759162816359</v>
      </c>
    </row>
    <row r="403" spans="1:3" x14ac:dyDescent="0.45">
      <c r="A403" s="2">
        <f>'Daily Returns'!A391</f>
        <v>45642</v>
      </c>
      <c r="B403" s="6">
        <f>0.33*'Daily Returns'!B391+0.127*'Daily Returns'!C391+0.12*'Daily Returns'!D391+0.086*'Daily Returns'!E391+0.337*'Daily Returns'!F391</f>
        <v>-1.0120506055072988E-3</v>
      </c>
      <c r="C403" s="13">
        <f t="shared" si="6"/>
        <v>1.3084336202625619</v>
      </c>
    </row>
    <row r="404" spans="1:3" x14ac:dyDescent="0.45">
      <c r="A404" s="2">
        <f>'Daily Returns'!A392</f>
        <v>45643</v>
      </c>
      <c r="B404" s="6">
        <f>0.33*'Daily Returns'!B392+0.127*'Daily Returns'!C392+0.12*'Daily Returns'!D392+0.086*'Daily Returns'!E392+0.337*'Daily Returns'!F392</f>
        <v>-2.8578399992504645E-3</v>
      </c>
      <c r="C404" s="13">
        <f t="shared" si="6"/>
        <v>1.3046943263262114</v>
      </c>
    </row>
    <row r="405" spans="1:3" x14ac:dyDescent="0.45">
      <c r="A405" s="2">
        <f>'Daily Returns'!A393</f>
        <v>45644</v>
      </c>
      <c r="B405" s="6">
        <f>0.33*'Daily Returns'!B393+0.127*'Daily Returns'!C393+0.12*'Daily Returns'!D393+0.086*'Daily Returns'!E393+0.337*'Daily Returns'!F393</f>
        <v>-1.4713632720426894E-2</v>
      </c>
      <c r="C405" s="13">
        <f t="shared" si="6"/>
        <v>1.2854975331962226</v>
      </c>
    </row>
    <row r="406" spans="1:3" x14ac:dyDescent="0.45">
      <c r="A406" s="2">
        <f>'Daily Returns'!A394</f>
        <v>45645</v>
      </c>
      <c r="B406" s="6">
        <f>0.33*'Daily Returns'!B394+0.127*'Daily Returns'!C394+0.12*'Daily Returns'!D394+0.086*'Daily Returns'!E394+0.337*'Daily Returns'!F394</f>
        <v>4.3988587860294987E-3</v>
      </c>
      <c r="C406" s="13">
        <f t="shared" si="6"/>
        <v>1.291152255314542</v>
      </c>
    </row>
    <row r="407" spans="1:3" x14ac:dyDescent="0.45">
      <c r="A407" s="2">
        <f>'Daily Returns'!A395</f>
        <v>45646</v>
      </c>
      <c r="B407" s="6">
        <f>0.33*'Daily Returns'!B395+0.127*'Daily Returns'!C395+0.12*'Daily Returns'!D395+0.086*'Daily Returns'!E395+0.337*'Daily Returns'!F395</f>
        <v>7.565477648530332E-3</v>
      </c>
      <c r="C407" s="13">
        <f t="shared" si="6"/>
        <v>1.3009204388429738</v>
      </c>
    </row>
    <row r="408" spans="1:3" x14ac:dyDescent="0.45">
      <c r="A408" s="2">
        <f>'Daily Returns'!A396</f>
        <v>45649</v>
      </c>
      <c r="B408" s="6">
        <f>0.33*'Daily Returns'!B396+0.127*'Daily Returns'!C396+0.12*'Daily Returns'!D396+0.086*'Daily Returns'!E396+0.337*'Daily Returns'!F396</f>
        <v>3.568596119589968E-3</v>
      </c>
      <c r="C408" s="13">
        <f t="shared" si="6"/>
        <v>1.3055628984729242</v>
      </c>
    </row>
    <row r="409" spans="1:3" x14ac:dyDescent="0.45">
      <c r="A409" s="2">
        <f>'Daily Returns'!A397</f>
        <v>45650</v>
      </c>
      <c r="B409" s="6">
        <f>0.33*'Daily Returns'!B397+0.127*'Daily Returns'!C397+0.12*'Daily Returns'!D397+0.086*'Daily Returns'!E397+0.337*'Daily Returns'!F397</f>
        <v>7.638011671635637E-3</v>
      </c>
      <c r="C409" s="13">
        <f t="shared" si="6"/>
        <v>1.3155348031295149</v>
      </c>
    </row>
    <row r="410" spans="1:3" x14ac:dyDescent="0.45">
      <c r="A410" s="2">
        <f>'Daily Returns'!A398</f>
        <v>45652</v>
      </c>
      <c r="B410" s="6">
        <f>0.33*'Daily Returns'!B398+0.127*'Daily Returns'!C398+0.12*'Daily Returns'!D398+0.086*'Daily Returns'!E398+0.337*'Daily Returns'!F398</f>
        <v>1.395875804979418E-3</v>
      </c>
      <c r="C410" s="13">
        <f t="shared" si="6"/>
        <v>1.3173711263318117</v>
      </c>
    </row>
    <row r="411" spans="1:3" x14ac:dyDescent="0.45">
      <c r="A411" s="2">
        <f>'Daily Returns'!A399</f>
        <v>45653</v>
      </c>
      <c r="B411" s="6">
        <f>0.33*'Daily Returns'!B399+0.127*'Daily Returns'!C399+0.12*'Daily Returns'!D399+0.086*'Daily Returns'!E399+0.337*'Daily Returns'!F399</f>
        <v>-2.5302781787539703E-3</v>
      </c>
      <c r="C411" s="13">
        <f t="shared" si="6"/>
        <v>1.3140378109175339</v>
      </c>
    </row>
    <row r="412" spans="1:3" x14ac:dyDescent="0.45">
      <c r="A412" s="2">
        <f>'Daily Returns'!A400</f>
        <v>45656</v>
      </c>
      <c r="B412" s="6">
        <f>0.33*'Daily Returns'!B400+0.127*'Daily Returns'!C400+0.12*'Daily Returns'!D400+0.086*'Daily Returns'!E400+0.337*'Daily Returns'!F400</f>
        <v>-3.4906824437896428E-3</v>
      </c>
      <c r="C412" s="13">
        <f t="shared" si="6"/>
        <v>1.3094509222004882</v>
      </c>
    </row>
    <row r="413" spans="1:3" x14ac:dyDescent="0.45">
      <c r="A413" s="2">
        <f>'Daily Returns'!A401</f>
        <v>45657</v>
      </c>
      <c r="B413" s="6">
        <f>0.33*'Daily Returns'!B401+0.127*'Daily Returns'!C401+0.12*'Daily Returns'!D401+0.086*'Daily Returns'!E401+0.337*'Daily Returns'!F401</f>
        <v>-1.6469731171317237E-3</v>
      </c>
      <c r="C413" s="13">
        <f t="shared" si="6"/>
        <v>1.3072942917334207</v>
      </c>
    </row>
    <row r="414" spans="1:3" x14ac:dyDescent="0.45">
      <c r="A414" s="2">
        <f>'Daily Returns'!A402</f>
        <v>45659</v>
      </c>
      <c r="B414" s="6">
        <f>0.33*'Daily Returns'!B402+0.127*'Daily Returns'!C402+0.12*'Daily Returns'!D402+0.086*'Daily Returns'!E402+0.337*'Daily Returns'!F402</f>
        <v>1.5477665757709499E-3</v>
      </c>
      <c r="C414" s="13">
        <f t="shared" si="6"/>
        <v>1.3093176781428619</v>
      </c>
    </row>
    <row r="415" spans="1:3" x14ac:dyDescent="0.45">
      <c r="A415" s="2">
        <f>'Daily Returns'!A403</f>
        <v>45660</v>
      </c>
      <c r="B415" s="6">
        <f>0.33*'Daily Returns'!B403+0.127*'Daily Returns'!C403+0.12*'Daily Returns'!D403+0.086*'Daily Returns'!E403+0.337*'Daily Returns'!F403</f>
        <v>3.2053752765584982E-3</v>
      </c>
      <c r="C415" s="13">
        <f t="shared" si="6"/>
        <v>1.3135145326575419</v>
      </c>
    </row>
    <row r="416" spans="1:3" x14ac:dyDescent="0.45">
      <c r="A416" s="2">
        <f>'Daily Returns'!A404</f>
        <v>45663</v>
      </c>
      <c r="B416" s="6">
        <f>0.33*'Daily Returns'!B404+0.127*'Daily Returns'!C404+0.12*'Daily Returns'!D404+0.086*'Daily Returns'!E404+0.337*'Daily Returns'!F404</f>
        <v>-1.476144473740016E-4</v>
      </c>
      <c r="C416" s="13">
        <f t="shared" si="6"/>
        <v>1.313320638935686</v>
      </c>
    </row>
    <row r="417" spans="1:3" x14ac:dyDescent="0.45">
      <c r="A417" s="2">
        <f>'Daily Returns'!A405</f>
        <v>45664</v>
      </c>
      <c r="B417" s="6">
        <f>0.33*'Daily Returns'!B405+0.127*'Daily Returns'!C405+0.12*'Daily Returns'!D405+0.086*'Daily Returns'!E405+0.337*'Daily Returns'!F405</f>
        <v>-3.9912080032844504E-3</v>
      </c>
      <c r="C417" s="13">
        <f t="shared" si="6"/>
        <v>1.3080789030906872</v>
      </c>
    </row>
    <row r="418" spans="1:3" x14ac:dyDescent="0.45">
      <c r="A418" s="2">
        <f>'Daily Returns'!A406</f>
        <v>45665</v>
      </c>
      <c r="B418" s="6">
        <f>0.33*'Daily Returns'!B406+0.127*'Daily Returns'!C406+0.12*'Daily Returns'!D406+0.086*'Daily Returns'!E406+0.337*'Daily Returns'!F406</f>
        <v>5.8240189992053693E-4</v>
      </c>
      <c r="C418" s="13">
        <f t="shared" si="6"/>
        <v>1.3088407307290932</v>
      </c>
    </row>
    <row r="419" spans="1:3" x14ac:dyDescent="0.45">
      <c r="A419" s="2">
        <f>'Daily Returns'!A407</f>
        <v>45667</v>
      </c>
      <c r="B419" s="6">
        <f>0.33*'Daily Returns'!B407+0.127*'Daily Returns'!C407+0.12*'Daily Returns'!D407+0.086*'Daily Returns'!E407+0.337*'Daily Returns'!F407</f>
        <v>-7.2192450548231122E-3</v>
      </c>
      <c r="C419" s="13">
        <f t="shared" si="6"/>
        <v>1.2993918887562261</v>
      </c>
    </row>
    <row r="420" spans="1:3" x14ac:dyDescent="0.45">
      <c r="A420" s="2">
        <f>'Daily Returns'!A408</f>
        <v>45670</v>
      </c>
      <c r="B420" s="6">
        <f>0.33*'Daily Returns'!B408+0.127*'Daily Returns'!C408+0.12*'Daily Returns'!D408+0.086*'Daily Returns'!E408+0.337*'Daily Returns'!F408</f>
        <v>3.1671787270378467E-3</v>
      </c>
      <c r="C420" s="13">
        <f t="shared" si="6"/>
        <v>1.3035072951043802</v>
      </c>
    </row>
    <row r="421" spans="1:3" x14ac:dyDescent="0.45">
      <c r="A421" s="2">
        <f>'Daily Returns'!A409</f>
        <v>45671</v>
      </c>
      <c r="B421" s="6">
        <f>0.33*'Daily Returns'!B409+0.127*'Daily Returns'!C409+0.12*'Daily Returns'!D409+0.086*'Daily Returns'!E409+0.337*'Daily Returns'!F409</f>
        <v>4.8250416441153647E-3</v>
      </c>
      <c r="C421" s="13">
        <f t="shared" si="6"/>
        <v>1.309796772086667</v>
      </c>
    </row>
    <row r="422" spans="1:3" x14ac:dyDescent="0.45">
      <c r="A422" s="2">
        <f>'Daily Returns'!A410</f>
        <v>45672</v>
      </c>
      <c r="B422" s="6">
        <f>0.33*'Daily Returns'!B410+0.127*'Daily Returns'!C410+0.12*'Daily Returns'!D410+0.086*'Daily Returns'!E410+0.337*'Daily Returns'!F410</f>
        <v>7.467789991835885E-3</v>
      </c>
      <c r="C422" s="13">
        <f t="shared" si="6"/>
        <v>1.3195780593125948</v>
      </c>
    </row>
    <row r="423" spans="1:3" x14ac:dyDescent="0.45">
      <c r="A423" s="2">
        <f>'Daily Returns'!A411</f>
        <v>45673</v>
      </c>
      <c r="B423" s="6">
        <f>0.33*'Daily Returns'!B411+0.127*'Daily Returns'!C411+0.12*'Daily Returns'!D411+0.086*'Daily Returns'!E411+0.337*'Daily Returns'!F411</f>
        <v>4.1100130736244434E-3</v>
      </c>
      <c r="C423" s="13">
        <f t="shared" si="6"/>
        <v>1.3250015423880375</v>
      </c>
    </row>
    <row r="424" spans="1:3" x14ac:dyDescent="0.45">
      <c r="A424" s="2">
        <f>'Daily Returns'!A412</f>
        <v>45674</v>
      </c>
      <c r="B424" s="6">
        <f>0.33*'Daily Returns'!B412+0.127*'Daily Returns'!C412+0.12*'Daily Returns'!D412+0.086*'Daily Returns'!E412+0.337*'Daily Returns'!F412</f>
        <v>3.9794343881048204E-3</v>
      </c>
      <c r="C424" s="13">
        <f t="shared" si="6"/>
        <v>1.3302742990901082</v>
      </c>
    </row>
    <row r="425" spans="1:3" x14ac:dyDescent="0.45">
      <c r="A425" s="2">
        <f>'Daily Returns'!A413</f>
        <v>45678</v>
      </c>
      <c r="B425" s="6">
        <f>0.33*'Daily Returns'!B413+0.127*'Daily Returns'!C413+0.12*'Daily Returns'!D413+0.086*'Daily Returns'!E413+0.337*'Daily Returns'!F413</f>
        <v>5.8879798234474662E-3</v>
      </c>
      <c r="C425" s="13">
        <f t="shared" si="6"/>
        <v>1.3381069273228015</v>
      </c>
    </row>
    <row r="426" spans="1:3" x14ac:dyDescent="0.45">
      <c r="A426" s="2">
        <f>'Daily Returns'!A414</f>
        <v>45679</v>
      </c>
      <c r="B426" s="6">
        <f>0.33*'Daily Returns'!B414+0.127*'Daily Returns'!C414+0.12*'Daily Returns'!D414+0.086*'Daily Returns'!E414+0.337*'Daily Returns'!F414</f>
        <v>1.2857110064788131E-3</v>
      </c>
      <c r="C426" s="13">
        <f t="shared" si="6"/>
        <v>1.339827346127106</v>
      </c>
    </row>
    <row r="427" spans="1:3" x14ac:dyDescent="0.45">
      <c r="A427" s="2">
        <f>'Daily Returns'!A415</f>
        <v>45680</v>
      </c>
      <c r="B427" s="6">
        <f>0.33*'Daily Returns'!B415+0.127*'Daily Returns'!C415+0.12*'Daily Returns'!D415+0.086*'Daily Returns'!E415+0.337*'Daily Returns'!F415</f>
        <v>3.1898725146976381E-3</v>
      </c>
      <c r="C427" s="13">
        <f t="shared" si="6"/>
        <v>1.3441012245529571</v>
      </c>
    </row>
    <row r="428" spans="1:3" x14ac:dyDescent="0.45">
      <c r="A428" s="2">
        <f>'Daily Returns'!A416</f>
        <v>45681</v>
      </c>
      <c r="B428" s="6">
        <f>0.33*'Daily Returns'!B416+0.127*'Daily Returns'!C416+0.12*'Daily Returns'!D416+0.086*'Daily Returns'!E416+0.337*'Daily Returns'!F416</f>
        <v>-4.9599873009600589E-4</v>
      </c>
      <c r="C428" s="13">
        <f t="shared" si="6"/>
        <v>1.3434345520524584</v>
      </c>
    </row>
    <row r="429" spans="1:3" x14ac:dyDescent="0.45">
      <c r="A429" s="2">
        <f>'Daily Returns'!A417</f>
        <v>45684</v>
      </c>
      <c r="B429" s="6">
        <f>0.33*'Daily Returns'!B417+0.127*'Daily Returns'!C417+0.12*'Daily Returns'!D417+0.086*'Daily Returns'!E417+0.337*'Daily Returns'!F417</f>
        <v>-4.345087889668765E-3</v>
      </c>
      <c r="C429" s="13">
        <f t="shared" si="6"/>
        <v>1.3375972108497727</v>
      </c>
    </row>
    <row r="430" spans="1:3" x14ac:dyDescent="0.45">
      <c r="A430" s="2">
        <f>'Daily Returns'!A418</f>
        <v>45685</v>
      </c>
      <c r="B430" s="6">
        <f>0.33*'Daily Returns'!B418+0.127*'Daily Returns'!C418+0.12*'Daily Returns'!D418+0.086*'Daily Returns'!E418+0.337*'Daily Returns'!F418</f>
        <v>4.5677899242425315E-3</v>
      </c>
      <c r="C430" s="13">
        <f t="shared" si="6"/>
        <v>1.343707073912187</v>
      </c>
    </row>
    <row r="431" spans="1:3" x14ac:dyDescent="0.45">
      <c r="A431" s="2">
        <f>'Daily Returns'!A419</f>
        <v>45686</v>
      </c>
      <c r="B431" s="6">
        <f>0.33*'Daily Returns'!B419+0.127*'Daily Returns'!C419+0.12*'Daily Returns'!D419+0.086*'Daily Returns'!E419+0.337*'Daily Returns'!F419</f>
        <v>-4.5844976103009234E-3</v>
      </c>
      <c r="C431" s="13">
        <f t="shared" si="6"/>
        <v>1.3375468520428921</v>
      </c>
    </row>
    <row r="432" spans="1:3" x14ac:dyDescent="0.45">
      <c r="A432" s="2">
        <f>'Daily Returns'!A420</f>
        <v>45687</v>
      </c>
      <c r="B432" s="6">
        <f>0.33*'Daily Returns'!B420+0.127*'Daily Returns'!C420+0.12*'Daily Returns'!D420+0.086*'Daily Returns'!E420+0.337*'Daily Returns'!F420</f>
        <v>5.4980910058659068E-3</v>
      </c>
      <c r="C432" s="13">
        <f t="shared" si="6"/>
        <v>1.3449008063600334</v>
      </c>
    </row>
    <row r="433" spans="1:3" x14ac:dyDescent="0.45">
      <c r="A433" s="2">
        <f>'Daily Returns'!A421</f>
        <v>45688</v>
      </c>
      <c r="B433" s="6">
        <f>0.33*'Daily Returns'!B421+0.127*'Daily Returns'!C421+0.12*'Daily Returns'!D421+0.086*'Daily Returns'!E421+0.337*'Daily Returns'!F421</f>
        <v>1.4601783197451602E-3</v>
      </c>
      <c r="C433" s="13">
        <f t="shared" si="6"/>
        <v>1.3468646013596881</v>
      </c>
    </row>
    <row r="434" spans="1:3" x14ac:dyDescent="0.45">
      <c r="A434" s="2">
        <f>'Daily Returns'!A422</f>
        <v>45691</v>
      </c>
      <c r="B434" s="6">
        <f>0.33*'Daily Returns'!B422+0.127*'Daily Returns'!C422+0.12*'Daily Returns'!D422+0.086*'Daily Returns'!E422+0.337*'Daily Returns'!F422</f>
        <v>-1.0501741144517223E-3</v>
      </c>
      <c r="C434" s="13">
        <f t="shared" si="6"/>
        <v>1.3454501590196688</v>
      </c>
    </row>
    <row r="435" spans="1:3" x14ac:dyDescent="0.45">
      <c r="A435" s="2">
        <f>'Daily Returns'!A423</f>
        <v>45692</v>
      </c>
      <c r="B435" s="6">
        <f>0.33*'Daily Returns'!B423+0.127*'Daily Returns'!C423+0.12*'Daily Returns'!D423+0.086*'Daily Returns'!E423+0.337*'Daily Returns'!F423</f>
        <v>2.2469552161819544E-3</v>
      </c>
      <c r="C435" s="13">
        <f t="shared" si="6"/>
        <v>1.3484733252725909</v>
      </c>
    </row>
    <row r="436" spans="1:3" x14ac:dyDescent="0.45">
      <c r="A436" s="2">
        <f>'Daily Returns'!A424</f>
        <v>45693</v>
      </c>
      <c r="B436" s="6">
        <f>0.33*'Daily Returns'!B424+0.127*'Daily Returns'!C424+0.12*'Daily Returns'!D424+0.086*'Daily Returns'!E424+0.337*'Daily Returns'!F424</f>
        <v>-2.9434826073521459E-3</v>
      </c>
      <c r="C436" s="13">
        <f t="shared" si="6"/>
        <v>1.3445041174931727</v>
      </c>
    </row>
    <row r="437" spans="1:3" x14ac:dyDescent="0.45">
      <c r="A437" s="2">
        <f>'Daily Returns'!A425</f>
        <v>45694</v>
      </c>
      <c r="B437" s="6">
        <f>0.33*'Daily Returns'!B425+0.127*'Daily Returns'!C425+0.12*'Daily Returns'!D425+0.086*'Daily Returns'!E425+0.337*'Daily Returns'!F425</f>
        <v>-2.2404408162213897E-3</v>
      </c>
      <c r="C437" s="13">
        <f t="shared" si="6"/>
        <v>1.3414918355907632</v>
      </c>
    </row>
    <row r="438" spans="1:3" x14ac:dyDescent="0.45">
      <c r="A438" s="2">
        <f>'Daily Returns'!A426</f>
        <v>45695</v>
      </c>
      <c r="B438" s="6">
        <f>0.33*'Daily Returns'!B426+0.127*'Daily Returns'!C426+0.12*'Daily Returns'!D426+0.086*'Daily Returns'!E426+0.337*'Daily Returns'!F426</f>
        <v>-3.3914406836800157E-3</v>
      </c>
      <c r="C438" s="13">
        <f t="shared" si="6"/>
        <v>1.336942245602716</v>
      </c>
    </row>
    <row r="439" spans="1:3" x14ac:dyDescent="0.45">
      <c r="A439" s="2">
        <f>'Daily Returns'!A427</f>
        <v>45698</v>
      </c>
      <c r="B439" s="6">
        <f>0.33*'Daily Returns'!B427+0.127*'Daily Returns'!C427+0.12*'Daily Returns'!D427+0.086*'Daily Returns'!E427+0.337*'Daily Returns'!F427</f>
        <v>2.4171609500068907E-3</v>
      </c>
      <c r="C439" s="13">
        <f t="shared" si="6"/>
        <v>1.3401738501912015</v>
      </c>
    </row>
    <row r="440" spans="1:3" x14ac:dyDescent="0.45">
      <c r="A440" s="2">
        <f>'Daily Returns'!A428</f>
        <v>45699</v>
      </c>
      <c r="B440" s="6">
        <f>0.33*'Daily Returns'!B428+0.127*'Daily Returns'!C428+0.12*'Daily Returns'!D428+0.086*'Daily Returns'!E428+0.337*'Daily Returns'!F428</f>
        <v>-4.9337899870435754E-5</v>
      </c>
      <c r="C440" s="13">
        <f t="shared" si="6"/>
        <v>1.3401077288279719</v>
      </c>
    </row>
    <row r="441" spans="1:3" x14ac:dyDescent="0.45">
      <c r="A441" s="2">
        <f>'Daily Returns'!A429</f>
        <v>45700</v>
      </c>
      <c r="B441" s="6">
        <f>0.33*'Daily Returns'!B429+0.127*'Daily Returns'!C429+0.12*'Daily Returns'!D429+0.086*'Daily Returns'!E429+0.337*'Daily Returns'!F429</f>
        <v>1.514239279670858E-3</v>
      </c>
      <c r="C441" s="13">
        <f t="shared" si="6"/>
        <v>1.3421369725899537</v>
      </c>
    </row>
    <row r="442" spans="1:3" x14ac:dyDescent="0.45">
      <c r="A442" s="2">
        <f>'Daily Returns'!A430</f>
        <v>45701</v>
      </c>
      <c r="B442" s="6">
        <f>0.33*'Daily Returns'!B430+0.127*'Daily Returns'!C430+0.12*'Daily Returns'!D430+0.086*'Daily Returns'!E430+0.337*'Daily Returns'!F430</f>
        <v>6.5399737492358376E-3</v>
      </c>
      <c r="C442" s="13">
        <f t="shared" si="6"/>
        <v>1.3509145131585707</v>
      </c>
    </row>
    <row r="443" spans="1:3" x14ac:dyDescent="0.45">
      <c r="A443" s="2">
        <f>'Daily Returns'!A431</f>
        <v>45702</v>
      </c>
      <c r="B443" s="6">
        <f>0.33*'Daily Returns'!B431+0.127*'Daily Returns'!C431+0.12*'Daily Returns'!D431+0.086*'Daily Returns'!E431+0.337*'Daily Returns'!F431</f>
        <v>3.9053701359503409E-3</v>
      </c>
      <c r="C443" s="13">
        <f t="shared" si="6"/>
        <v>1.3561903343544821</v>
      </c>
    </row>
    <row r="444" spans="1:3" x14ac:dyDescent="0.45">
      <c r="A444" s="2">
        <f>'Daily Returns'!A432</f>
        <v>45706</v>
      </c>
      <c r="B444" s="6">
        <f>0.33*'Daily Returns'!B432+0.127*'Daily Returns'!C432+0.12*'Daily Returns'!D432+0.086*'Daily Returns'!E432+0.337*'Daily Returns'!F432</f>
        <v>3.0802176500887928E-3</v>
      </c>
      <c r="C444" s="13">
        <f t="shared" si="6"/>
        <v>1.3603676957592405</v>
      </c>
    </row>
    <row r="445" spans="1:3" x14ac:dyDescent="0.45">
      <c r="A445" s="2">
        <f>'Daily Returns'!A433</f>
        <v>45707</v>
      </c>
      <c r="B445" s="6">
        <f>0.33*'Daily Returns'!B433+0.127*'Daily Returns'!C433+0.12*'Daily Returns'!D433+0.086*'Daily Returns'!E433+0.337*'Daily Returns'!F433</f>
        <v>2.2579415445771671E-3</v>
      </c>
      <c r="C445" s="13">
        <f t="shared" si="6"/>
        <v>1.3634393264953961</v>
      </c>
    </row>
    <row r="446" spans="1:3" x14ac:dyDescent="0.45">
      <c r="A446" s="2">
        <f>'Daily Returns'!A434</f>
        <v>45708</v>
      </c>
      <c r="B446" s="6">
        <f>0.33*'Daily Returns'!B434+0.127*'Daily Returns'!C434+0.12*'Daily Returns'!D434+0.086*'Daily Returns'!E434+0.337*'Daily Returns'!F434</f>
        <v>-2.1102486372821965E-3</v>
      </c>
      <c r="C446" s="13">
        <f t="shared" si="6"/>
        <v>1.3605621305146423</v>
      </c>
    </row>
    <row r="447" spans="1:3" x14ac:dyDescent="0.45">
      <c r="A447" s="2">
        <f>'Daily Returns'!A435</f>
        <v>45709</v>
      </c>
      <c r="B447" s="6">
        <f>0.33*'Daily Returns'!B435+0.127*'Daily Returns'!C435+0.12*'Daily Returns'!D435+0.086*'Daily Returns'!E435+0.337*'Daily Returns'!F435</f>
        <v>-4.4117810423841761E-3</v>
      </c>
      <c r="C447" s="13">
        <f t="shared" si="6"/>
        <v>1.3545596283002519</v>
      </c>
    </row>
    <row r="448" spans="1:3" x14ac:dyDescent="0.45">
      <c r="A448" s="2">
        <f>'Daily Returns'!A436</f>
        <v>45712</v>
      </c>
      <c r="B448" s="6">
        <f>0.33*'Daily Returns'!B436+0.127*'Daily Returns'!C436+0.12*'Daily Returns'!D436+0.086*'Daily Returns'!E436+0.337*'Daily Returns'!F436</f>
        <v>-2.3549561311147927E-3</v>
      </c>
      <c r="C448" s="13">
        <f t="shared" si="6"/>
        <v>1.3513696997986255</v>
      </c>
    </row>
    <row r="449" spans="1:3" x14ac:dyDescent="0.45">
      <c r="A449" s="2">
        <f>'Daily Returns'!A437</f>
        <v>45713</v>
      </c>
      <c r="B449" s="6">
        <f>0.33*'Daily Returns'!B437+0.127*'Daily Returns'!C437+0.12*'Daily Returns'!D437+0.086*'Daily Returns'!E437+0.337*'Daily Returns'!F437</f>
        <v>-3.7328748540344553E-3</v>
      </c>
      <c r="C449" s="13">
        <f t="shared" si="6"/>
        <v>1.3463252058277431</v>
      </c>
    </row>
    <row r="450" spans="1:3" x14ac:dyDescent="0.45">
      <c r="A450" s="2">
        <f>'Daily Returns'!A438</f>
        <v>45714</v>
      </c>
      <c r="B450" s="6">
        <f>0.33*'Daily Returns'!B438+0.127*'Daily Returns'!C438+0.12*'Daily Returns'!D438+0.086*'Daily Returns'!E438+0.337*'Daily Returns'!F438</f>
        <v>-3.0719178367753278E-3</v>
      </c>
      <c r="C450" s="13">
        <f t="shared" si="6"/>
        <v>1.3421894054138606</v>
      </c>
    </row>
    <row r="451" spans="1:3" x14ac:dyDescent="0.45">
      <c r="A451" s="2">
        <f>'Daily Returns'!A439</f>
        <v>45715</v>
      </c>
      <c r="B451" s="6">
        <f>0.33*'Daily Returns'!B439+0.127*'Daily Returns'!C439+0.12*'Daily Returns'!D439+0.086*'Daily Returns'!E439+0.337*'Daily Returns'!F439</f>
        <v>-4.0765560776628382E-3</v>
      </c>
      <c r="C451" s="13">
        <f t="shared" si="6"/>
        <v>1.336717895035846</v>
      </c>
    </row>
    <row r="452" spans="1:3" x14ac:dyDescent="0.45">
      <c r="A452" s="2">
        <f>'Daily Returns'!A440</f>
        <v>45716</v>
      </c>
      <c r="B452" s="6">
        <f>0.33*'Daily Returns'!B440+0.127*'Daily Returns'!C440+0.12*'Daily Returns'!D440+0.086*'Daily Returns'!E440+0.337*'Daily Returns'!F440</f>
        <v>1.0538148439803809E-2</v>
      </c>
      <c r="C452" s="13">
        <f t="shared" si="6"/>
        <v>1.3508044266358759</v>
      </c>
    </row>
    <row r="453" spans="1:3" x14ac:dyDescent="0.45">
      <c r="A453" s="2">
        <f>'Daily Returns'!A441</f>
        <v>45719</v>
      </c>
      <c r="B453" s="6">
        <f>0.33*'Daily Returns'!B441+0.127*'Daily Returns'!C441+0.12*'Daily Returns'!D441+0.086*'Daily Returns'!E441+0.337*'Daily Returns'!F441</f>
        <v>-7.7757778320231476E-3</v>
      </c>
      <c r="C453" s="13">
        <f t="shared" si="6"/>
        <v>1.3403008715198419</v>
      </c>
    </row>
    <row r="454" spans="1:3" x14ac:dyDescent="0.45">
      <c r="A454" s="2">
        <f>'Daily Returns'!A442</f>
        <v>45720</v>
      </c>
      <c r="B454" s="6">
        <f>0.33*'Daily Returns'!B442+0.127*'Daily Returns'!C442+0.12*'Daily Returns'!D442+0.086*'Daily Returns'!E442+0.337*'Daily Returns'!F442</f>
        <v>-1.0965849866248165E-2</v>
      </c>
      <c r="C454" s="13">
        <f t="shared" si="6"/>
        <v>1.3256033333871537</v>
      </c>
    </row>
    <row r="455" spans="1:3" x14ac:dyDescent="0.45">
      <c r="A455" s="2">
        <f>'Daily Returns'!A443</f>
        <v>45721</v>
      </c>
      <c r="B455" s="6">
        <f>0.33*'Daily Returns'!B443+0.127*'Daily Returns'!C443+0.12*'Daily Returns'!D443+0.086*'Daily Returns'!E443+0.337*'Daily Returns'!F443</f>
        <v>8.6692721057021077E-4</v>
      </c>
      <c r="C455" s="13">
        <f t="shared" si="6"/>
        <v>1.3267525349872895</v>
      </c>
    </row>
    <row r="456" spans="1:3" x14ac:dyDescent="0.45">
      <c r="A456" s="2">
        <f>'Daily Returns'!A444</f>
        <v>45722</v>
      </c>
      <c r="B456" s="6">
        <f>0.33*'Daily Returns'!B444+0.127*'Daily Returns'!C444+0.12*'Daily Returns'!D444+0.086*'Daily Returns'!E444+0.337*'Daily Returns'!F444</f>
        <v>-1.008080071978946E-2</v>
      </c>
      <c r="C456" s="13">
        <f t="shared" si="6"/>
        <v>1.3133778070776072</v>
      </c>
    </row>
    <row r="457" spans="1:3" x14ac:dyDescent="0.45">
      <c r="A457" s="2">
        <f>'Daily Returns'!A445</f>
        <v>45723</v>
      </c>
      <c r="B457" s="6">
        <f>0.33*'Daily Returns'!B445+0.127*'Daily Returns'!C445+0.12*'Daily Returns'!D445+0.086*'Daily Returns'!E445+0.337*'Daily Returns'!F445</f>
        <v>1.0477979243582526E-2</v>
      </c>
      <c r="C457" s="13">
        <f t="shared" si="6"/>
        <v>1.3271393524791484</v>
      </c>
    </row>
    <row r="458" spans="1:3" x14ac:dyDescent="0.45">
      <c r="A458" s="2">
        <f>'Daily Returns'!A446</f>
        <v>45726</v>
      </c>
      <c r="B458" s="6">
        <f>0.33*'Daily Returns'!B446+0.127*'Daily Returns'!C446+0.12*'Daily Returns'!D446+0.086*'Daily Returns'!E446+0.337*'Daily Returns'!F446</f>
        <v>-1.2550452427759906E-2</v>
      </c>
      <c r="C458" s="13">
        <f t="shared" si="6"/>
        <v>1.3104831531708507</v>
      </c>
    </row>
    <row r="459" spans="1:3" x14ac:dyDescent="0.45">
      <c r="A459" s="2">
        <f>'Daily Returns'!A447</f>
        <v>45727</v>
      </c>
      <c r="B459" s="6">
        <f>0.33*'Daily Returns'!B447+0.127*'Daily Returns'!C447+0.12*'Daily Returns'!D447+0.086*'Daily Returns'!E447+0.337*'Daily Returns'!F447</f>
        <v>-1.0891319491930665E-2</v>
      </c>
      <c r="C459" s="13">
        <f t="shared" si="6"/>
        <v>1.2962102624608742</v>
      </c>
    </row>
    <row r="460" spans="1:3" x14ac:dyDescent="0.45">
      <c r="A460" s="2">
        <f>'Daily Returns'!A448</f>
        <v>45728</v>
      </c>
      <c r="B460" s="6">
        <f>0.33*'Daily Returns'!B448+0.127*'Daily Returns'!C448+0.12*'Daily Returns'!D448+0.086*'Daily Returns'!E448+0.337*'Daily Returns'!F448</f>
        <v>7.9687761495806633E-4</v>
      </c>
      <c r="C460" s="13">
        <f t="shared" si="6"/>
        <v>1.2972431834033082</v>
      </c>
    </row>
    <row r="461" spans="1:3" x14ac:dyDescent="0.45">
      <c r="A461" s="2">
        <f>'Daily Returns'!A449</f>
        <v>45729</v>
      </c>
      <c r="B461" s="6">
        <f>0.33*'Daily Returns'!B449+0.127*'Daily Returns'!C449+0.12*'Daily Returns'!D449+0.086*'Daily Returns'!E449+0.337*'Daily Returns'!F449</f>
        <v>-8.9387361961908128E-3</v>
      </c>
      <c r="C461" s="13">
        <f t="shared" si="6"/>
        <v>1.2856474688045594</v>
      </c>
    </row>
    <row r="462" spans="1:3" x14ac:dyDescent="0.45">
      <c r="A462" s="2">
        <f>'Daily Returns'!A450</f>
        <v>45730</v>
      </c>
      <c r="B462" s="6">
        <f>0.33*'Daily Returns'!B450+0.127*'Daily Returns'!C450+0.12*'Daily Returns'!D450+0.086*'Daily Returns'!E450+0.337*'Daily Returns'!F450</f>
        <v>1.2034979445311638E-2</v>
      </c>
      <c r="C462" s="13">
        <f t="shared" si="6"/>
        <v>1.3011202096655392</v>
      </c>
    </row>
    <row r="463" spans="1:3" x14ac:dyDescent="0.45">
      <c r="A463" s="2">
        <f>'Daily Returns'!A451</f>
        <v>45733</v>
      </c>
      <c r="B463" s="6">
        <f>0.33*'Daily Returns'!B451+0.127*'Daily Returns'!C451+0.12*'Daily Returns'!D451+0.086*'Daily Returns'!E451+0.337*'Daily Returns'!F451</f>
        <v>7.2770865878289915E-3</v>
      </c>
      <c r="C463" s="13">
        <f t="shared" ref="C463:C526" si="7">C462*(1+B463)</f>
        <v>1.3105885740924494</v>
      </c>
    </row>
    <row r="464" spans="1:3" x14ac:dyDescent="0.45">
      <c r="A464" s="2">
        <f>'Daily Returns'!A452</f>
        <v>45734</v>
      </c>
      <c r="B464" s="6">
        <f>0.33*'Daily Returns'!B452+0.127*'Daily Returns'!C452+0.12*'Daily Returns'!D452+0.086*'Daily Returns'!E452+0.337*'Daily Returns'!F452</f>
        <v>-8.0027934508284868E-6</v>
      </c>
      <c r="C464" s="13">
        <f t="shared" si="7"/>
        <v>1.310578085722792</v>
      </c>
    </row>
    <row r="465" spans="1:3" x14ac:dyDescent="0.45">
      <c r="A465" s="2">
        <f>'Daily Returns'!A453</f>
        <v>45735</v>
      </c>
      <c r="B465" s="6">
        <f>0.33*'Daily Returns'!B453+0.127*'Daily Returns'!C453+0.12*'Daily Returns'!D453+0.086*'Daily Returns'!E453+0.337*'Daily Returns'!F453</f>
        <v>3.0120981292162106E-3</v>
      </c>
      <c r="C465" s="13">
        <f t="shared" si="7"/>
        <v>1.3145256755229893</v>
      </c>
    </row>
    <row r="466" spans="1:3" x14ac:dyDescent="0.45">
      <c r="A466" s="2">
        <f>'Daily Returns'!A454</f>
        <v>45736</v>
      </c>
      <c r="B466" s="6">
        <f>0.33*'Daily Returns'!B454+0.127*'Daily Returns'!C454+0.12*'Daily Returns'!D454+0.086*'Daily Returns'!E454+0.337*'Daily Returns'!F454</f>
        <v>3.3114295957797446E-4</v>
      </c>
      <c r="C466" s="13">
        <f t="shared" si="7"/>
        <v>1.3149609714456232</v>
      </c>
    </row>
    <row r="467" spans="1:3" x14ac:dyDescent="0.45">
      <c r="A467" s="2">
        <f>'Daily Returns'!A455</f>
        <v>45737</v>
      </c>
      <c r="B467" s="6">
        <f>0.33*'Daily Returns'!B455+0.127*'Daily Returns'!C455+0.12*'Daily Returns'!D455+0.086*'Daily Returns'!E455+0.337*'Daily Returns'!F455</f>
        <v>9.71402823203283E-4</v>
      </c>
      <c r="C467" s="13">
        <f t="shared" si="7"/>
        <v>1.3162383282456875</v>
      </c>
    </row>
    <row r="468" spans="1:3" x14ac:dyDescent="0.45">
      <c r="A468" s="2">
        <f>'Daily Returns'!A456</f>
        <v>45740</v>
      </c>
      <c r="B468" s="6">
        <f>0.33*'Daily Returns'!B456+0.127*'Daily Returns'!C456+0.12*'Daily Returns'!D456+0.086*'Daily Returns'!E456+0.337*'Daily Returns'!F456</f>
        <v>7.9370021264068627E-3</v>
      </c>
      <c r="C468" s="13">
        <f t="shared" si="7"/>
        <v>1.3266853146558319</v>
      </c>
    </row>
    <row r="469" spans="1:3" x14ac:dyDescent="0.45">
      <c r="A469" s="2">
        <f>'Daily Returns'!A457</f>
        <v>45741</v>
      </c>
      <c r="B469" s="6">
        <f>0.33*'Daily Returns'!B457+0.127*'Daily Returns'!C457+0.12*'Daily Returns'!D457+0.086*'Daily Returns'!E457+0.337*'Daily Returns'!F457</f>
        <v>4.0010781032225311E-3</v>
      </c>
      <c r="C469" s="13">
        <f t="shared" si="7"/>
        <v>1.3319934862181682</v>
      </c>
    </row>
    <row r="470" spans="1:3" x14ac:dyDescent="0.45">
      <c r="A470" s="2">
        <f>'Daily Returns'!A458</f>
        <v>45742</v>
      </c>
      <c r="B470" s="6">
        <f>0.33*'Daily Returns'!B458+0.127*'Daily Returns'!C458+0.12*'Daily Returns'!D458+0.086*'Daily Returns'!E458+0.337*'Daily Returns'!F458</f>
        <v>-5.3863851609621772E-3</v>
      </c>
      <c r="C470" s="13">
        <f t="shared" si="7"/>
        <v>1.3248188562695045</v>
      </c>
    </row>
    <row r="471" spans="1:3" x14ac:dyDescent="0.45">
      <c r="A471" s="2">
        <f>'Daily Returns'!A459</f>
        <v>45743</v>
      </c>
      <c r="B471" s="6">
        <f>0.33*'Daily Returns'!B459+0.127*'Daily Returns'!C459+0.12*'Daily Returns'!D459+0.086*'Daily Returns'!E459+0.337*'Daily Returns'!F459</f>
        <v>-1.9100738561830387E-4</v>
      </c>
      <c r="C471" s="13">
        <f t="shared" si="7"/>
        <v>1.3245658060833507</v>
      </c>
    </row>
    <row r="472" spans="1:3" x14ac:dyDescent="0.45">
      <c r="A472" s="2">
        <f>'Daily Returns'!A460</f>
        <v>45744</v>
      </c>
      <c r="B472" s="6">
        <f>0.33*'Daily Returns'!B460+0.127*'Daily Returns'!C460+0.12*'Daily Returns'!D460+0.086*'Daily Returns'!E460+0.337*'Daily Returns'!F460</f>
        <v>-9.8254961106160766E-3</v>
      </c>
      <c r="C472" s="13">
        <f t="shared" si="7"/>
        <v>1.3115512899074238</v>
      </c>
    </row>
    <row r="473" spans="1:3" x14ac:dyDescent="0.45">
      <c r="A473" s="2">
        <f>'Daily Returns'!A461</f>
        <v>45747</v>
      </c>
      <c r="B473" s="6">
        <f>0.33*'Daily Returns'!B461+0.127*'Daily Returns'!C461+0.12*'Daily Returns'!D461+0.086*'Daily Returns'!E461+0.337*'Daily Returns'!F461</f>
        <v>3.3311547900829693E-3</v>
      </c>
      <c r="C473" s="13">
        <f t="shared" si="7"/>
        <v>1.3159202702692383</v>
      </c>
    </row>
    <row r="474" spans="1:3" x14ac:dyDescent="0.45">
      <c r="A474" s="2">
        <f>'Daily Returns'!A462</f>
        <v>45748</v>
      </c>
      <c r="B474" s="6">
        <f>0.33*'Daily Returns'!B462+0.127*'Daily Returns'!C462+0.12*'Daily Returns'!D462+0.086*'Daily Returns'!E462+0.337*'Daily Returns'!F462</f>
        <v>3.1811101758609313E-3</v>
      </c>
      <c r="C474" s="13">
        <f t="shared" si="7"/>
        <v>1.3201063576316134</v>
      </c>
    </row>
    <row r="475" spans="1:3" x14ac:dyDescent="0.45">
      <c r="A475" s="2">
        <f>'Daily Returns'!A463</f>
        <v>45749</v>
      </c>
      <c r="B475" s="6">
        <f>0.33*'Daily Returns'!B463+0.127*'Daily Returns'!C463+0.12*'Daily Returns'!D463+0.086*'Daily Returns'!E463+0.337*'Daily Returns'!F463</f>
        <v>1.3093226984276997E-3</v>
      </c>
      <c r="C475" s="13">
        <f t="shared" si="7"/>
        <v>1.3218348028499993</v>
      </c>
    </row>
    <row r="476" spans="1:3" x14ac:dyDescent="0.45">
      <c r="A476" s="2">
        <f>'Daily Returns'!A464</f>
        <v>45750</v>
      </c>
      <c r="B476" s="6">
        <f>0.33*'Daily Returns'!B464+0.127*'Daily Returns'!C464+0.12*'Daily Returns'!D464+0.086*'Daily Returns'!E464+0.337*'Daily Returns'!F464</f>
        <v>-2.4878818535668524E-2</v>
      </c>
      <c r="C476" s="13">
        <f t="shared" si="7"/>
        <v>1.288949114655763</v>
      </c>
    </row>
    <row r="477" spans="1:3" x14ac:dyDescent="0.45">
      <c r="A477" s="2">
        <f>'Daily Returns'!A465</f>
        <v>45751</v>
      </c>
      <c r="B477" s="6">
        <f>0.33*'Daily Returns'!B465+0.127*'Daily Returns'!C465+0.12*'Daily Returns'!D465+0.086*'Daily Returns'!E465+0.337*'Daily Returns'!F465</f>
        <v>-4.4253296393379229E-2</v>
      </c>
      <c r="C477" s="13">
        <f t="shared" si="7"/>
        <v>1.2319088674489178</v>
      </c>
    </row>
    <row r="478" spans="1:3" x14ac:dyDescent="0.45">
      <c r="A478" s="2">
        <f>'Daily Returns'!A466</f>
        <v>45754</v>
      </c>
      <c r="B478" s="6">
        <f>0.33*'Daily Returns'!B466+0.127*'Daily Returns'!C466+0.12*'Daily Returns'!D466+0.086*'Daily Returns'!E466+0.337*'Daily Returns'!F466</f>
        <v>-1.3181360533934519E-2</v>
      </c>
      <c r="C478" s="13">
        <f t="shared" si="7"/>
        <v>1.2156706325221227</v>
      </c>
    </row>
    <row r="479" spans="1:3" x14ac:dyDescent="0.45">
      <c r="A479" s="2">
        <f>'Daily Returns'!A467</f>
        <v>45755</v>
      </c>
      <c r="B479" s="6">
        <f>0.33*'Daily Returns'!B467+0.127*'Daily Returns'!C467+0.12*'Daily Returns'!D467+0.086*'Daily Returns'!E467+0.337*'Daily Returns'!F467</f>
        <v>-1.3879966498642435E-2</v>
      </c>
      <c r="C479" s="13">
        <f t="shared" si="7"/>
        <v>1.1987971648693323</v>
      </c>
    </row>
    <row r="480" spans="1:3" x14ac:dyDescent="0.45">
      <c r="A480" s="2">
        <f>'Daily Returns'!A468</f>
        <v>45756</v>
      </c>
      <c r="B480" s="6">
        <f>0.33*'Daily Returns'!B468+0.127*'Daily Returns'!C468+0.12*'Daily Returns'!D468+0.086*'Daily Returns'!E468+0.337*'Daily Returns'!F468</f>
        <v>5.8482130167797242E-2</v>
      </c>
      <c r="C480" s="13">
        <f t="shared" si="7"/>
        <v>1.2689053767100067</v>
      </c>
    </row>
    <row r="481" spans="1:3" x14ac:dyDescent="0.45">
      <c r="A481" s="2">
        <f>'Daily Returns'!A469</f>
        <v>45757</v>
      </c>
      <c r="B481" s="6">
        <f>0.33*'Daily Returns'!B469+0.127*'Daily Returns'!C469+0.12*'Daily Returns'!D469+0.086*'Daily Returns'!E469+0.337*'Daily Returns'!F469</f>
        <v>-2.6126987199225422E-2</v>
      </c>
      <c r="C481" s="13">
        <f t="shared" si="7"/>
        <v>1.235752702175676</v>
      </c>
    </row>
    <row r="482" spans="1:3" x14ac:dyDescent="0.45">
      <c r="A482" s="2">
        <f>'Daily Returns'!A470</f>
        <v>45758</v>
      </c>
      <c r="B482" s="6">
        <f>0.33*'Daily Returns'!B470+0.127*'Daily Returns'!C470+0.12*'Daily Returns'!D470+0.086*'Daily Returns'!E470+0.337*'Daily Returns'!F470</f>
        <v>8.0138833252486451E-3</v>
      </c>
      <c r="C482" s="13">
        <f t="shared" si="7"/>
        <v>1.2456558801497726</v>
      </c>
    </row>
    <row r="483" spans="1:3" x14ac:dyDescent="0.45">
      <c r="A483" s="2">
        <f>'Daily Returns'!A471</f>
        <v>45761</v>
      </c>
      <c r="B483" s="6">
        <f>0.33*'Daily Returns'!B471+0.127*'Daily Returns'!C471+0.12*'Daily Returns'!D471+0.086*'Daily Returns'!E471+0.337*'Daily Returns'!F471</f>
        <v>6.0230885792918274E-3</v>
      </c>
      <c r="C483" s="13">
        <f t="shared" si="7"/>
        <v>1.2531585758552304</v>
      </c>
    </row>
    <row r="484" spans="1:3" x14ac:dyDescent="0.45">
      <c r="A484" s="2">
        <f>'Daily Returns'!A472</f>
        <v>45762</v>
      </c>
      <c r="B484" s="6">
        <f>0.33*'Daily Returns'!B472+0.127*'Daily Returns'!C472+0.12*'Daily Returns'!D472+0.086*'Daily Returns'!E472+0.337*'Daily Returns'!F472</f>
        <v>2.9515765602846781E-3</v>
      </c>
      <c r="C484" s="13">
        <f t="shared" si="7"/>
        <v>1.2568573693340446</v>
      </c>
    </row>
    <row r="485" spans="1:3" x14ac:dyDescent="0.45">
      <c r="A485" s="2">
        <f>'Daily Returns'!A473</f>
        <v>45763</v>
      </c>
      <c r="B485" s="6">
        <f>0.33*'Daily Returns'!B473+0.127*'Daily Returns'!C473+0.12*'Daily Returns'!D473+0.086*'Daily Returns'!E473+0.337*'Daily Returns'!F473</f>
        <v>-8.5617522199047322E-3</v>
      </c>
      <c r="C485" s="13">
        <f t="shared" si="7"/>
        <v>1.2460964679620452</v>
      </c>
    </row>
    <row r="486" spans="1:3" x14ac:dyDescent="0.45">
      <c r="A486" s="2">
        <f>'Daily Returns'!A474</f>
        <v>45764</v>
      </c>
      <c r="B486" s="6">
        <f>0.33*'Daily Returns'!B474+0.127*'Daily Returns'!C474+0.12*'Daily Returns'!D474+0.086*'Daily Returns'!E474+0.337*'Daily Returns'!F474</f>
        <v>5.841641118442157E-3</v>
      </c>
      <c r="C486" s="13">
        <f t="shared" si="7"/>
        <v>1.2533757163268378</v>
      </c>
    </row>
    <row r="487" spans="1:3" x14ac:dyDescent="0.45">
      <c r="A487" s="2">
        <f>'Daily Returns'!A475</f>
        <v>45768</v>
      </c>
      <c r="B487" s="6">
        <f>0.33*'Daily Returns'!B475+0.127*'Daily Returns'!C475+0.12*'Daily Returns'!D475+0.086*'Daily Returns'!E475+0.337*'Daily Returns'!F475</f>
        <v>-1.4691449100712992E-2</v>
      </c>
      <c r="C487" s="13">
        <f t="shared" si="7"/>
        <v>1.2349618107863525</v>
      </c>
    </row>
    <row r="488" spans="1:3" x14ac:dyDescent="0.45">
      <c r="A488" s="2">
        <f>'Daily Returns'!A476</f>
        <v>45769</v>
      </c>
      <c r="B488" s="6">
        <f>0.33*'Daily Returns'!B476+0.127*'Daily Returns'!C476+0.12*'Daily Returns'!D476+0.086*'Daily Returns'!E476+0.337*'Daily Returns'!F476</f>
        <v>1.4696701707222575E-2</v>
      </c>
      <c r="C488" s="13">
        <f t="shared" si="7"/>
        <v>1.2531116761392909</v>
      </c>
    </row>
    <row r="489" spans="1:3" x14ac:dyDescent="0.45">
      <c r="A489" s="2">
        <f>'Daily Returns'!A477</f>
        <v>45770</v>
      </c>
      <c r="B489" s="6">
        <f>0.33*'Daily Returns'!B477+0.127*'Daily Returns'!C477+0.12*'Daily Returns'!D477+0.086*'Daily Returns'!E477+0.337*'Daily Returns'!F477</f>
        <v>1.0777463898492217E-2</v>
      </c>
      <c r="C489" s="13">
        <f t="shared" si="7"/>
        <v>1.2666170419896612</v>
      </c>
    </row>
    <row r="490" spans="1:3" x14ac:dyDescent="0.45">
      <c r="A490" s="2">
        <f>'Daily Returns'!A478</f>
        <v>45771</v>
      </c>
      <c r="B490" s="6">
        <f>0.33*'Daily Returns'!B478+0.127*'Daily Returns'!C478+0.12*'Daily Returns'!D478+0.086*'Daily Returns'!E478+0.337*'Daily Returns'!F478</f>
        <v>1.0831114823977224E-2</v>
      </c>
      <c r="C490" s="13">
        <f t="shared" si="7"/>
        <v>1.2803359166094577</v>
      </c>
    </row>
    <row r="491" spans="1:3" x14ac:dyDescent="0.45">
      <c r="A491" s="2">
        <f>'Daily Returns'!A479</f>
        <v>45772</v>
      </c>
      <c r="B491" s="6">
        <f>0.33*'Daily Returns'!B479+0.127*'Daily Returns'!C479+0.12*'Daily Returns'!D479+0.086*'Daily Returns'!E479+0.337*'Daily Returns'!F479</f>
        <v>3.9246611301006007E-3</v>
      </c>
      <c r="C491" s="13">
        <f t="shared" si="7"/>
        <v>1.2853608012148467</v>
      </c>
    </row>
    <row r="492" spans="1:3" x14ac:dyDescent="0.45">
      <c r="A492" s="2">
        <f>'Daily Returns'!A480</f>
        <v>45775</v>
      </c>
      <c r="B492" s="6">
        <f>0.33*'Daily Returns'!B480+0.127*'Daily Returns'!C480+0.12*'Daily Returns'!D480+0.086*'Daily Returns'!E480+0.337*'Daily Returns'!F480</f>
        <v>2.4030097856294294E-3</v>
      </c>
      <c r="C492" s="13">
        <f t="shared" si="7"/>
        <v>1.2884495357982304</v>
      </c>
    </row>
    <row r="493" spans="1:3" x14ac:dyDescent="0.45">
      <c r="A493" s="2">
        <f>'Daily Returns'!A481</f>
        <v>45776</v>
      </c>
      <c r="B493" s="6">
        <f>0.33*'Daily Returns'!B481+0.127*'Daily Returns'!C481+0.12*'Daily Returns'!D481+0.086*'Daily Returns'!E481+0.337*'Daily Returns'!F481</f>
        <v>-2.7591825270455407E-3</v>
      </c>
      <c r="C493" s="13">
        <f t="shared" si="7"/>
        <v>1.284894468352076</v>
      </c>
    </row>
    <row r="494" spans="1:3" x14ac:dyDescent="0.45">
      <c r="A494" s="2">
        <f>'Daily Returns'!A482</f>
        <v>45777</v>
      </c>
      <c r="B494" s="6">
        <f>0.33*'Daily Returns'!B482+0.127*'Daily Returns'!C482+0.12*'Daily Returns'!D482+0.086*'Daily Returns'!E482+0.337*'Daily Returns'!F482</f>
        <v>-1.0222516643692765E-3</v>
      </c>
      <c r="C494" s="13">
        <f t="shared" si="7"/>
        <v>1.2835809828432641</v>
      </c>
    </row>
    <row r="495" spans="1:3" x14ac:dyDescent="0.45">
      <c r="A495" s="2">
        <f>'Daily Returns'!A483</f>
        <v>45778</v>
      </c>
      <c r="B495" s="6">
        <f>0.33*'Daily Returns'!B483+0.127*'Daily Returns'!C483+0.12*'Daily Returns'!D483+0.086*'Daily Returns'!E483+0.337*'Daily Returns'!F483</f>
        <v>-2.3369586037478192E-3</v>
      </c>
      <c r="C495" s="13">
        <f t="shared" si="7"/>
        <v>1.2805813072218013</v>
      </c>
    </row>
    <row r="496" spans="1:3" x14ac:dyDescent="0.45">
      <c r="A496" s="2">
        <f>'Daily Returns'!A484</f>
        <v>45779</v>
      </c>
      <c r="B496" s="6">
        <f>0.33*'Daily Returns'!B484+0.127*'Daily Returns'!C484+0.12*'Daily Returns'!D484+0.086*'Daily Returns'!E484+0.337*'Daily Returns'!F484</f>
        <v>1.1619702044184332E-2</v>
      </c>
      <c r="C496" s="13">
        <f t="shared" si="7"/>
        <v>1.2954612804550707</v>
      </c>
    </row>
    <row r="497" spans="1:3" x14ac:dyDescent="0.45">
      <c r="A497" s="2">
        <f>'Daily Returns'!A485</f>
        <v>45782</v>
      </c>
      <c r="B497" s="6">
        <f>0.33*'Daily Returns'!B485+0.127*'Daily Returns'!C485+0.12*'Daily Returns'!D485+0.086*'Daily Returns'!E485+0.337*'Daily Returns'!F485</f>
        <v>-5.2830424846967271E-3</v>
      </c>
      <c r="C497" s="13">
        <f t="shared" si="7"/>
        <v>1.288617303473147</v>
      </c>
    </row>
    <row r="498" spans="1:3" x14ac:dyDescent="0.45">
      <c r="A498" s="2">
        <f>'Daily Returns'!A486</f>
        <v>45783</v>
      </c>
      <c r="B498" s="6">
        <f>0.33*'Daily Returns'!B486+0.127*'Daily Returns'!C486+0.12*'Daily Returns'!D486+0.086*'Daily Returns'!E486+0.337*'Daily Returns'!F486</f>
        <v>-6.1791607699738463E-4</v>
      </c>
      <c r="C498" s="13">
        <f t="shared" si="7"/>
        <v>1.2878210461242339</v>
      </c>
    </row>
    <row r="499" spans="1:3" x14ac:dyDescent="0.45">
      <c r="A499" s="2">
        <f>'Daily Returns'!A487</f>
        <v>45784</v>
      </c>
      <c r="B499" s="6">
        <f>0.33*'Daily Returns'!B487+0.127*'Daily Returns'!C487+0.12*'Daily Returns'!D487+0.086*'Daily Returns'!E487+0.337*'Daily Returns'!F487</f>
        <v>2.807498856564168E-3</v>
      </c>
      <c r="C499" s="13">
        <f t="shared" si="7"/>
        <v>1.2914366022386867</v>
      </c>
    </row>
    <row r="500" spans="1:3" x14ac:dyDescent="0.45">
      <c r="A500" s="2">
        <f>'Daily Returns'!A488</f>
        <v>45785</v>
      </c>
      <c r="B500" s="6">
        <f>0.33*'Daily Returns'!B488+0.127*'Daily Returns'!C488+0.12*'Daily Returns'!D488+0.086*'Daily Returns'!E488+0.337*'Daily Returns'!F488</f>
        <v>5.0850821321519798E-3</v>
      </c>
      <c r="C500" s="13">
        <f t="shared" si="7"/>
        <v>1.2980036634295378</v>
      </c>
    </row>
    <row r="501" spans="1:3" x14ac:dyDescent="0.45">
      <c r="A501" s="2">
        <f>'Daily Returns'!A489</f>
        <v>45786</v>
      </c>
      <c r="B501" s="6">
        <f>0.33*'Daily Returns'!B489+0.127*'Daily Returns'!C489+0.12*'Daily Returns'!D489+0.086*'Daily Returns'!E489+0.337*'Daily Returns'!F489</f>
        <v>8.9572320008018231E-4</v>
      </c>
      <c r="C501" s="13">
        <f t="shared" si="7"/>
        <v>1.2991663154246607</v>
      </c>
    </row>
    <row r="502" spans="1:3" x14ac:dyDescent="0.45">
      <c r="A502" s="2">
        <f>'Daily Returns'!A490</f>
        <v>45789</v>
      </c>
      <c r="B502" s="6">
        <f>0.33*'Daily Returns'!B490+0.127*'Daily Returns'!C490+0.12*'Daily Returns'!D490+0.086*'Daily Returns'!E490+0.337*'Daily Returns'!F490</f>
        <v>1.970031945824844E-2</v>
      </c>
      <c r="C502" s="13">
        <f t="shared" si="7"/>
        <v>1.3247603068679219</v>
      </c>
    </row>
    <row r="503" spans="1:3" x14ac:dyDescent="0.45">
      <c r="A503" s="2">
        <f>'Daily Returns'!A491</f>
        <v>45790</v>
      </c>
      <c r="B503" s="6">
        <f>0.33*'Daily Returns'!B491+0.127*'Daily Returns'!C491+0.12*'Daily Returns'!D491+0.086*'Daily Returns'!E491+0.337*'Daily Returns'!F491</f>
        <v>7.2036012547825028E-3</v>
      </c>
      <c r="C503" s="13">
        <f t="shared" si="7"/>
        <v>1.3343033518767617</v>
      </c>
    </row>
    <row r="504" spans="1:3" x14ac:dyDescent="0.45">
      <c r="A504" s="2">
        <f>'Daily Returns'!A492</f>
        <v>45791</v>
      </c>
      <c r="B504" s="6">
        <f>0.33*'Daily Returns'!B492+0.127*'Daily Returns'!C492+0.12*'Daily Returns'!D492+0.086*'Daily Returns'!E492+0.337*'Daily Returns'!F492</f>
        <v>4.1193164126116573E-4</v>
      </c>
      <c r="C504" s="13">
        <f t="shared" si="7"/>
        <v>1.3348529936464406</v>
      </c>
    </row>
    <row r="505" spans="1:3" x14ac:dyDescent="0.45">
      <c r="A505" s="2">
        <f>'Daily Returns'!A493</f>
        <v>45792</v>
      </c>
      <c r="B505" s="6">
        <f>0.33*'Daily Returns'!B493+0.127*'Daily Returns'!C493+0.12*'Daily Returns'!D493+0.086*'Daily Returns'!E493+0.337*'Daily Returns'!F493</f>
        <v>1.827678993753544E-3</v>
      </c>
      <c r="C505" s="13">
        <f t="shared" si="7"/>
        <v>1.3372926764226771</v>
      </c>
    </row>
    <row r="506" spans="1:3" x14ac:dyDescent="0.45">
      <c r="A506" s="2">
        <f>'Daily Returns'!A494</f>
        <v>45793</v>
      </c>
      <c r="B506" s="6">
        <f>0.33*'Daily Returns'!B494+0.127*'Daily Returns'!C494+0.12*'Daily Returns'!D494+0.086*'Daily Returns'!E494+0.337*'Daily Returns'!F494</f>
        <v>6.5978762919690409E-3</v>
      </c>
      <c r="C506" s="13">
        <f t="shared" si="7"/>
        <v>1.34611596806787</v>
      </c>
    </row>
    <row r="507" spans="1:3" x14ac:dyDescent="0.45">
      <c r="A507" s="2">
        <f>'Daily Returns'!A495</f>
        <v>45796</v>
      </c>
      <c r="B507" s="6">
        <f>0.33*'Daily Returns'!B495+0.127*'Daily Returns'!C495+0.12*'Daily Returns'!D495+0.086*'Daily Returns'!E495+0.337*'Daily Returns'!F495</f>
        <v>1.7073856741064675E-3</v>
      </c>
      <c r="C507" s="13">
        <f t="shared" si="7"/>
        <v>1.3484143071874353</v>
      </c>
    </row>
    <row r="508" spans="1:3" x14ac:dyDescent="0.45">
      <c r="A508" s="2">
        <f>'Daily Returns'!A496</f>
        <v>45797</v>
      </c>
      <c r="B508" s="6">
        <f>0.33*'Daily Returns'!B496+0.127*'Daily Returns'!C496+0.12*'Daily Returns'!D496+0.086*'Daily Returns'!E496+0.337*'Daily Returns'!F496</f>
        <v>9.9175210636123843E-4</v>
      </c>
      <c r="C508" s="13">
        <f t="shared" si="7"/>
        <v>1.3497515999168359</v>
      </c>
    </row>
    <row r="509" spans="1:3" x14ac:dyDescent="0.45">
      <c r="A509" s="2">
        <f>'Daily Returns'!A497</f>
        <v>45798</v>
      </c>
      <c r="B509" s="6">
        <f>0.33*'Daily Returns'!B497+0.127*'Daily Returns'!C497+0.12*'Daily Returns'!D497+0.086*'Daily Returns'!E497+0.337*'Daily Returns'!F497</f>
        <v>-1.2962779366869393E-2</v>
      </c>
      <c r="C509" s="13">
        <f t="shared" si="7"/>
        <v>1.3322550677270351</v>
      </c>
    </row>
    <row r="510" spans="1:3" x14ac:dyDescent="0.45">
      <c r="A510" s="2">
        <f>'Daily Returns'!A498</f>
        <v>45799</v>
      </c>
      <c r="B510" s="6">
        <f>0.33*'Daily Returns'!B498+0.127*'Daily Returns'!C498+0.12*'Daily Returns'!D498+0.086*'Daily Returns'!E498+0.337*'Daily Returns'!F498</f>
        <v>-7.1683764569456878E-4</v>
      </c>
      <c r="C510" s="13">
        <f t="shared" si="7"/>
        <v>1.3313000571408211</v>
      </c>
    </row>
    <row r="511" spans="1:3" x14ac:dyDescent="0.45">
      <c r="A511" s="2">
        <f>'Daily Returns'!A499</f>
        <v>45800</v>
      </c>
      <c r="B511" s="6">
        <f>0.33*'Daily Returns'!B499+0.127*'Daily Returns'!C499+0.12*'Daily Returns'!D499+0.086*'Daily Returns'!E499+0.337*'Daily Returns'!F499</f>
        <v>-3.3290471404644824E-4</v>
      </c>
      <c r="C511" s="13">
        <f t="shared" si="7"/>
        <v>1.3308568610759886</v>
      </c>
    </row>
    <row r="512" spans="1:3" x14ac:dyDescent="0.45">
      <c r="A512" s="2">
        <f>'Daily Returns'!A500</f>
        <v>45804</v>
      </c>
      <c r="B512" s="6">
        <f>0.33*'Daily Returns'!B500+0.127*'Daily Returns'!C500+0.12*'Daily Returns'!D500+0.086*'Daily Returns'!E500+0.337*'Daily Returns'!F500</f>
        <v>1.3201951389620506E-2</v>
      </c>
      <c r="C512" s="13">
        <f t="shared" si="7"/>
        <v>1.3484267686624567</v>
      </c>
    </row>
    <row r="513" spans="1:3" x14ac:dyDescent="0.45">
      <c r="A513" s="2">
        <f>'Daily Returns'!A501</f>
        <v>45805</v>
      </c>
      <c r="B513" s="6">
        <f>0.33*'Daily Returns'!B501+0.127*'Daily Returns'!C501+0.12*'Daily Returns'!D501+0.086*'Daily Returns'!E501+0.337*'Daily Returns'!F501</f>
        <v>-1.6696783142434207E-3</v>
      </c>
      <c r="C513" s="13">
        <f t="shared" si="7"/>
        <v>1.3461753297284755</v>
      </c>
    </row>
    <row r="514" spans="1:3" x14ac:dyDescent="0.45">
      <c r="A514" s="2">
        <f>'Daily Returns'!A502</f>
        <v>45806</v>
      </c>
      <c r="B514" s="6">
        <f>0.33*'Daily Returns'!B502+0.127*'Daily Returns'!C502+0.12*'Daily Returns'!D502+0.086*'Daily Returns'!E502+0.337*'Daily Returns'!F502</f>
        <v>2.2500832180917972E-3</v>
      </c>
      <c r="C514" s="13">
        <f t="shared" si="7"/>
        <v>1.3492043362465069</v>
      </c>
    </row>
    <row r="515" spans="1:3" x14ac:dyDescent="0.45">
      <c r="A515" s="2">
        <f>'Daily Returns'!A503</f>
        <v>45807</v>
      </c>
      <c r="B515" s="6">
        <f>0.33*'Daily Returns'!B503+0.127*'Daily Returns'!C503+0.12*'Daily Returns'!D503+0.086*'Daily Returns'!E503+0.337*'Daily Returns'!F503</f>
        <v>7.7334919368733635E-4</v>
      </c>
      <c r="C515" s="13">
        <f t="shared" si="7"/>
        <v>1.3502477423320627</v>
      </c>
    </row>
    <row r="516" spans="1:3" x14ac:dyDescent="0.45">
      <c r="A516" s="2">
        <f>'Daily Returns'!A504</f>
        <v>45810</v>
      </c>
      <c r="B516" s="6">
        <f>0.33*'Daily Returns'!B504+0.127*'Daily Returns'!C504+0.12*'Daily Returns'!D504+0.086*'Daily Returns'!E504+0.337*'Daily Returns'!F504</f>
        <v>5.0565332648099524E-4</v>
      </c>
      <c r="C516" s="13">
        <f t="shared" si="7"/>
        <v>1.3509304995945461</v>
      </c>
    </row>
    <row r="517" spans="1:3" x14ac:dyDescent="0.45">
      <c r="A517" s="2">
        <f>'Daily Returns'!A505</f>
        <v>45811</v>
      </c>
      <c r="B517" s="6">
        <f>0.33*'Daily Returns'!B505+0.127*'Daily Returns'!C505+0.12*'Daily Returns'!D505+0.086*'Daily Returns'!E505+0.337*'Daily Returns'!F505</f>
        <v>2.449371609645814E-3</v>
      </c>
      <c r="C517" s="13">
        <f t="shared" si="7"/>
        <v>1.3542394304068577</v>
      </c>
    </row>
    <row r="518" spans="1:3" x14ac:dyDescent="0.45">
      <c r="A518" s="2">
        <f>'Daily Returns'!A506</f>
        <v>45812</v>
      </c>
      <c r="B518" s="6">
        <f>0.33*'Daily Returns'!B506+0.127*'Daily Returns'!C506+0.12*'Daily Returns'!D506+0.086*'Daily Returns'!E506+0.337*'Daily Returns'!F506</f>
        <v>-8.9353121385553358E-4</v>
      </c>
      <c r="C518" s="13">
        <f t="shared" si="7"/>
        <v>1.3530293752047553</v>
      </c>
    </row>
    <row r="519" spans="1:3" x14ac:dyDescent="0.45">
      <c r="A519" s="2">
        <f>'Daily Returns'!A507</f>
        <v>45813</v>
      </c>
      <c r="B519" s="6">
        <f>0.33*'Daily Returns'!B507+0.127*'Daily Returns'!C507+0.12*'Daily Returns'!D507+0.086*'Daily Returns'!E507+0.337*'Daily Returns'!F507</f>
        <v>-6.3821388813769349E-4</v>
      </c>
      <c r="C519" s="13">
        <f t="shared" si="7"/>
        <v>1.3521658530664413</v>
      </c>
    </row>
    <row r="520" spans="1:3" x14ac:dyDescent="0.45">
      <c r="A520" s="2">
        <f>'Daily Returns'!A508</f>
        <v>45814</v>
      </c>
      <c r="B520" s="6">
        <f>0.33*'Daily Returns'!B508+0.127*'Daily Returns'!C508+0.12*'Daily Returns'!D508+0.086*'Daily Returns'!E508+0.337*'Daily Returns'!F508</f>
        <v>5.7260585342865551E-3</v>
      </c>
      <c r="C520" s="13">
        <f t="shared" si="7"/>
        <v>1.3599084338891634</v>
      </c>
    </row>
    <row r="521" spans="1:3" x14ac:dyDescent="0.45">
      <c r="A521" s="2">
        <f>'Daily Returns'!A509</f>
        <v>45817</v>
      </c>
      <c r="B521" s="6">
        <f>0.33*'Daily Returns'!B509+0.127*'Daily Returns'!C509+0.12*'Daily Returns'!D509+0.086*'Daily Returns'!E509+0.337*'Daily Returns'!F509</f>
        <v>1.1155422620267497E-3</v>
      </c>
      <c r="C521" s="13">
        <f t="shared" si="7"/>
        <v>1.3614254692196535</v>
      </c>
    </row>
    <row r="522" spans="1:3" x14ac:dyDescent="0.45">
      <c r="A522" s="2">
        <f>'Daily Returns'!A510</f>
        <v>45818</v>
      </c>
      <c r="B522" s="6">
        <f>0.33*'Daily Returns'!B510+0.127*'Daily Returns'!C510+0.12*'Daily Returns'!D510+0.086*'Daily Returns'!E510+0.337*'Daily Returns'!F510</f>
        <v>2.699122934813E-3</v>
      </c>
      <c r="C522" s="13">
        <f t="shared" si="7"/>
        <v>1.3651001239276628</v>
      </c>
    </row>
    <row r="523" spans="1:3" x14ac:dyDescent="0.45">
      <c r="A523" s="2">
        <f>'Daily Returns'!A511</f>
        <v>45819</v>
      </c>
      <c r="B523" s="6">
        <f>0.33*'Daily Returns'!B511+0.127*'Daily Returns'!C511+0.12*'Daily Returns'!D511+0.086*'Daily Returns'!E511+0.337*'Daily Returns'!F511</f>
        <v>-5.6802306939637143E-4</v>
      </c>
      <c r="C523" s="13">
        <f t="shared" si="7"/>
        <v>1.364324715565236</v>
      </c>
    </row>
    <row r="524" spans="1:3" x14ac:dyDescent="0.45">
      <c r="A524" s="2">
        <f>'Daily Returns'!A512</f>
        <v>45820</v>
      </c>
      <c r="B524" s="6">
        <f>0.33*'Daily Returns'!B512+0.127*'Daily Returns'!C512+0.12*'Daily Returns'!D512+0.086*'Daily Returns'!E512+0.337*'Daily Returns'!F512</f>
        <v>4.3827804627193947E-4</v>
      </c>
      <c r="C524" s="13">
        <f t="shared" si="7"/>
        <v>1.3649226691360545</v>
      </c>
    </row>
    <row r="525" spans="1:3" x14ac:dyDescent="0.45">
      <c r="A525" s="2">
        <f>'Daily Returns'!A513</f>
        <v>45821</v>
      </c>
      <c r="B525" s="6">
        <f>0.33*'Daily Returns'!B513+0.127*'Daily Returns'!C513+0.12*'Daily Returns'!D513+0.086*'Daily Returns'!E513+0.337*'Daily Returns'!F513</f>
        <v>-6.6233614423954331E-3</v>
      </c>
      <c r="C525" s="13">
        <f t="shared" si="7"/>
        <v>1.3558822929574474</v>
      </c>
    </row>
    <row r="526" spans="1:3" x14ac:dyDescent="0.45">
      <c r="A526" s="2">
        <f>'Daily Returns'!A514</f>
        <v>45824</v>
      </c>
      <c r="B526" s="6">
        <f>0.33*'Daily Returns'!B514+0.127*'Daily Returns'!C514+0.12*'Daily Returns'!D514+0.086*'Daily Returns'!E514+0.337*'Daily Returns'!F514</f>
        <v>-1.1261996243051354E-3</v>
      </c>
      <c r="C526" s="13">
        <f t="shared" si="7"/>
        <v>1.3543552988285168</v>
      </c>
    </row>
    <row r="527" spans="1:3" x14ac:dyDescent="0.45">
      <c r="A527" s="2">
        <f>'Daily Returns'!A515</f>
        <v>45825</v>
      </c>
      <c r="B527" s="6">
        <f>0.33*'Daily Returns'!B515+0.127*'Daily Returns'!C515+0.12*'Daily Returns'!D515+0.086*'Daily Returns'!E515+0.337*'Daily Returns'!F515</f>
        <v>-1.0934770925532921E-3</v>
      </c>
      <c r="C527" s="13">
        <f t="shared" ref="C527:C590" si="8">C526*(1+B527)</f>
        <v>1.3528743423340697</v>
      </c>
    </row>
    <row r="528" spans="1:3" x14ac:dyDescent="0.45">
      <c r="A528" s="2">
        <f>'Daily Returns'!A516</f>
        <v>45826</v>
      </c>
      <c r="B528" s="6">
        <f>0.33*'Daily Returns'!B516+0.127*'Daily Returns'!C516+0.12*'Daily Returns'!D516+0.086*'Daily Returns'!E516+0.337*'Daily Returns'!F516</f>
        <v>3.3732118263033141E-3</v>
      </c>
      <c r="C528" s="13">
        <f t="shared" si="8"/>
        <v>1.3574378740651332</v>
      </c>
    </row>
    <row r="529" spans="1:3" x14ac:dyDescent="0.45">
      <c r="A529" s="2">
        <f>'Daily Returns'!A517</f>
        <v>45828</v>
      </c>
      <c r="B529" s="6">
        <f>0.33*'Daily Returns'!B517+0.127*'Daily Returns'!C517+0.12*'Daily Returns'!D517+0.086*'Daily Returns'!E517+0.337*'Daily Returns'!F517</f>
        <v>-1.2124893245396453E-3</v>
      </c>
      <c r="C529" s="13">
        <f t="shared" si="8"/>
        <v>1.3557919951341033</v>
      </c>
    </row>
    <row r="530" spans="1:3" x14ac:dyDescent="0.45">
      <c r="A530" s="2">
        <f>'Daily Returns'!A518</f>
        <v>45831</v>
      </c>
      <c r="B530" s="6">
        <f>0.33*'Daily Returns'!B518+0.127*'Daily Returns'!C518+0.12*'Daily Returns'!D518+0.086*'Daily Returns'!E518+0.337*'Daily Returns'!F518</f>
        <v>1.2439028032365726E-3</v>
      </c>
      <c r="C530" s="13">
        <f t="shared" si="8"/>
        <v>1.3574784685974561</v>
      </c>
    </row>
    <row r="531" spans="1:3" x14ac:dyDescent="0.45">
      <c r="A531" s="2">
        <f>'Daily Returns'!A519</f>
        <v>45832</v>
      </c>
      <c r="B531" s="6">
        <f>0.33*'Daily Returns'!B519+0.127*'Daily Returns'!C519+0.12*'Daily Returns'!D519+0.086*'Daily Returns'!E519+0.337*'Daily Returns'!F519</f>
        <v>6.5108750593710569E-3</v>
      </c>
      <c r="C531" s="13">
        <f t="shared" si="8"/>
        <v>1.3663168413022804</v>
      </c>
    </row>
    <row r="532" spans="1:3" x14ac:dyDescent="0.45">
      <c r="A532" s="2">
        <f>'Daily Returns'!A520</f>
        <v>45833</v>
      </c>
      <c r="B532" s="6">
        <f>0.33*'Daily Returns'!B520+0.127*'Daily Returns'!C520+0.12*'Daily Returns'!D520+0.086*'Daily Returns'!E520+0.337*'Daily Returns'!F520</f>
        <v>6.7844454779716673E-4</v>
      </c>
      <c r="C532" s="13">
        <f t="shared" si="8"/>
        <v>1.3672438115138255</v>
      </c>
    </row>
    <row r="533" spans="1:3" x14ac:dyDescent="0.45">
      <c r="A533" s="2">
        <f>'Daily Returns'!A521</f>
        <v>45834</v>
      </c>
      <c r="B533" s="6">
        <f>0.33*'Daily Returns'!B521+0.127*'Daily Returns'!C521+0.12*'Daily Returns'!D521+0.086*'Daily Returns'!E521+0.337*'Daily Returns'!F521</f>
        <v>6.00076052021036E-3</v>
      </c>
      <c r="C533" s="13">
        <f t="shared" si="8"/>
        <v>1.3754483141994596</v>
      </c>
    </row>
    <row r="534" spans="1:3" x14ac:dyDescent="0.45">
      <c r="A534" s="2">
        <f>'Daily Returns'!A522</f>
        <v>45835</v>
      </c>
      <c r="B534" s="6">
        <f>0.33*'Daily Returns'!B522+0.127*'Daily Returns'!C522+0.12*'Daily Returns'!D522+0.086*'Daily Returns'!E522+0.337*'Daily Returns'!F522</f>
        <v>3.6286358023949229E-3</v>
      </c>
      <c r="C534" s="13">
        <f t="shared" si="8"/>
        <v>1.3804393151967074</v>
      </c>
    </row>
    <row r="535" spans="1:3" x14ac:dyDescent="0.45">
      <c r="A535" s="2">
        <f>'Daily Returns'!A523</f>
        <v>45838</v>
      </c>
      <c r="B535" s="6">
        <f>0.33*'Daily Returns'!B523+0.127*'Daily Returns'!C523+0.12*'Daily Returns'!D523+0.086*'Daily Returns'!E523+0.337*'Daily Returns'!F523</f>
        <v>2.7801673657825935E-3</v>
      </c>
      <c r="C535" s="13">
        <f t="shared" si="8"/>
        <v>1.3842771675312604</v>
      </c>
    </row>
    <row r="536" spans="1:3" x14ac:dyDescent="0.45">
      <c r="A536" s="2">
        <f>'Daily Returns'!A524</f>
        <v>45839</v>
      </c>
      <c r="B536" s="6">
        <f>0.33*'Daily Returns'!B524+0.127*'Daily Returns'!C524+0.12*'Daily Returns'!D524+0.086*'Daily Returns'!E524+0.337*'Daily Returns'!F524</f>
        <v>3.4289055811109666E-4</v>
      </c>
      <c r="C536" s="13">
        <f t="shared" si="8"/>
        <v>1.3847518231018157</v>
      </c>
    </row>
    <row r="537" spans="1:3" x14ac:dyDescent="0.45">
      <c r="A537" s="2">
        <f>'Daily Returns'!A525</f>
        <v>45840</v>
      </c>
      <c r="B537" s="6">
        <f>0.33*'Daily Returns'!B525+0.127*'Daily Returns'!C525+0.12*'Daily Returns'!D525+0.086*'Daily Returns'!E525+0.337*'Daily Returns'!F525</f>
        <v>3.659903941598288E-3</v>
      </c>
      <c r="C537" s="13">
        <f t="shared" si="8"/>
        <v>1.3898198817573215</v>
      </c>
    </row>
    <row r="538" spans="1:3" x14ac:dyDescent="0.45">
      <c r="A538" s="2">
        <f>'Daily Returns'!A526</f>
        <v>45841</v>
      </c>
      <c r="B538" s="6">
        <f>0.33*'Daily Returns'!B526+0.127*'Daily Returns'!C526+0.12*'Daily Returns'!D526+0.086*'Daily Returns'!E526+0.337*'Daily Returns'!F526</f>
        <v>6.4938658392936473E-3</v>
      </c>
      <c r="C538" s="13">
        <f t="shared" si="8"/>
        <v>1.3988451856102366</v>
      </c>
    </row>
    <row r="539" spans="1:3" x14ac:dyDescent="0.45">
      <c r="A539" s="2">
        <f>'Daily Returns'!A527</f>
        <v>45845</v>
      </c>
      <c r="B539" s="6">
        <f>0.33*'Daily Returns'!B527+0.127*'Daily Returns'!C527+0.12*'Daily Returns'!D527+0.086*'Daily Returns'!E527+0.337*'Daily Returns'!F527</f>
        <v>-5.6115436599944897E-3</v>
      </c>
      <c r="C539" s="13">
        <f t="shared" si="8"/>
        <v>1.3909955047776117</v>
      </c>
    </row>
    <row r="540" spans="1:3" x14ac:dyDescent="0.45">
      <c r="A540" s="2">
        <f>'Daily Returns'!A528</f>
        <v>45846</v>
      </c>
      <c r="B540" s="6">
        <f>0.33*'Daily Returns'!B528+0.127*'Daily Returns'!C528+0.12*'Daily Returns'!D528+0.086*'Daily Returns'!E528+0.337*'Daily Returns'!F528</f>
        <v>1.3611441019138692E-3</v>
      </c>
      <c r="C540" s="13">
        <f t="shared" si="8"/>
        <v>1.3928888501047285</v>
      </c>
    </row>
    <row r="541" spans="1:3" x14ac:dyDescent="0.45">
      <c r="A541" s="2">
        <f>'Daily Returns'!A529</f>
        <v>45847</v>
      </c>
      <c r="B541" s="6">
        <f>0.33*'Daily Returns'!B529+0.127*'Daily Returns'!C529+0.12*'Daily Returns'!D529+0.086*'Daily Returns'!E529+0.337*'Daily Returns'!F529</f>
        <v>3.2435109865210799E-3</v>
      </c>
      <c r="C541" s="13">
        <f t="shared" si="8"/>
        <v>1.3974067003930457</v>
      </c>
    </row>
    <row r="542" spans="1:3" x14ac:dyDescent="0.45">
      <c r="A542" s="2">
        <f>'Daily Returns'!A530</f>
        <v>45848</v>
      </c>
      <c r="B542" s="6">
        <f>0.33*'Daily Returns'!B530+0.127*'Daily Returns'!C530+0.12*'Daily Returns'!D530+0.086*'Daily Returns'!E530+0.337*'Daily Returns'!F530</f>
        <v>4.3033780565543689E-3</v>
      </c>
      <c r="C542" s="13">
        <f t="shared" si="8"/>
        <v>1.4034202697235993</v>
      </c>
    </row>
    <row r="543" spans="1:3" x14ac:dyDescent="0.45">
      <c r="A543" s="2">
        <f>'Daily Returns'!A531</f>
        <v>45849</v>
      </c>
      <c r="B543" s="6">
        <f>0.33*'Daily Returns'!B531+0.127*'Daily Returns'!C531+0.12*'Daily Returns'!D531+0.086*'Daily Returns'!E531+0.337*'Daily Returns'!F531</f>
        <v>-2.2825951685998352E-4</v>
      </c>
      <c r="C543" s="13">
        <f t="shared" si="8"/>
        <v>1.4030999256908807</v>
      </c>
    </row>
    <row r="544" spans="1:3" x14ac:dyDescent="0.45">
      <c r="A544" s="2">
        <f>'Daily Returns'!A532</f>
        <v>45852</v>
      </c>
      <c r="B544" s="6">
        <f>0.33*'Daily Returns'!B532+0.127*'Daily Returns'!C532+0.12*'Daily Returns'!D532+0.086*'Daily Returns'!E532+0.337*'Daily Returns'!F532</f>
        <v>1.5909050027915078E-3</v>
      </c>
      <c r="C544" s="13">
        <f t="shared" si="8"/>
        <v>1.4053321243820789</v>
      </c>
    </row>
    <row r="545" spans="1:3" x14ac:dyDescent="0.45">
      <c r="A545" s="2">
        <f>'Daily Returns'!A533</f>
        <v>45853</v>
      </c>
      <c r="B545" s="6">
        <f>0.33*'Daily Returns'!B533+0.127*'Daily Returns'!C533+0.12*'Daily Returns'!D533+0.086*'Daily Returns'!E533+0.337*'Daily Returns'!F533</f>
        <v>-1.5642478568816459E-3</v>
      </c>
      <c r="C545" s="13">
        <f t="shared" si="8"/>
        <v>1.4031338366183073</v>
      </c>
    </row>
    <row r="546" spans="1:3" x14ac:dyDescent="0.45">
      <c r="A546" s="2">
        <f>'Daily Returns'!A534</f>
        <v>45854</v>
      </c>
      <c r="B546" s="6">
        <f>0.33*'Daily Returns'!B534+0.127*'Daily Returns'!C534+0.12*'Daily Returns'!D534+0.086*'Daily Returns'!E534+0.337*'Daily Returns'!F534</f>
        <v>5.6516086722777099E-3</v>
      </c>
      <c r="C546" s="13">
        <f t="shared" si="8"/>
        <v>1.4110637999777056</v>
      </c>
    </row>
    <row r="547" spans="1:3" x14ac:dyDescent="0.45">
      <c r="A547" s="2">
        <f>'Daily Returns'!A535</f>
        <v>45855</v>
      </c>
      <c r="B547" s="6">
        <f>0.33*'Daily Returns'!B535+0.127*'Daily Returns'!C535+0.12*'Daily Returns'!D535+0.086*'Daily Returns'!E535+0.337*'Daily Returns'!F535</f>
        <v>4.9445993644180869E-3</v>
      </c>
      <c r="C547" s="13">
        <f t="shared" si="8"/>
        <v>1.4180409451462288</v>
      </c>
    </row>
    <row r="548" spans="1:3" x14ac:dyDescent="0.45">
      <c r="A548" s="2">
        <f>'Daily Returns'!A536</f>
        <v>45856</v>
      </c>
      <c r="B548" s="6">
        <f>0.33*'Daily Returns'!B536+0.127*'Daily Returns'!C536+0.12*'Daily Returns'!D536+0.086*'Daily Returns'!E536+0.337*'Daily Returns'!F536</f>
        <v>-1.7150784672108979E-3</v>
      </c>
      <c r="C548" s="13">
        <f t="shared" si="8"/>
        <v>1.4156088936555851</v>
      </c>
    </row>
    <row r="549" spans="1:3" x14ac:dyDescent="0.45">
      <c r="A549" s="2">
        <f>'Daily Returns'!A537</f>
        <v>45859</v>
      </c>
      <c r="B549" s="6">
        <f>0.33*'Daily Returns'!B537+0.127*'Daily Returns'!C537+0.12*'Daily Returns'!D537+0.086*'Daily Returns'!E537+0.337*'Daily Returns'!F537</f>
        <v>-5.4000028977540969E-3</v>
      </c>
      <c r="C549" s="13">
        <f t="shared" si="8"/>
        <v>1.4079646015277585</v>
      </c>
    </row>
    <row r="550" spans="1:3" x14ac:dyDescent="0.45">
      <c r="A550" s="2">
        <f>'Daily Returns'!A538</f>
        <v>45860</v>
      </c>
      <c r="B550" s="6">
        <f>0.33*'Daily Returns'!B538+0.127*'Daily Returns'!C538+0.12*'Daily Returns'!D538+0.086*'Daily Returns'!E538+0.337*'Daily Returns'!F538</f>
        <v>2.3706578941130019E-3</v>
      </c>
      <c r="C550" s="13">
        <f t="shared" si="8"/>
        <v>1.4113024039250019</v>
      </c>
    </row>
    <row r="551" spans="1:3" x14ac:dyDescent="0.45">
      <c r="A551" s="2">
        <f>'Daily Returns'!A539</f>
        <v>45861</v>
      </c>
      <c r="B551" s="6">
        <f>0.33*'Daily Returns'!B539+0.127*'Daily Returns'!C539+0.12*'Daily Returns'!D539+0.086*'Daily Returns'!E539+0.337*'Daily Returns'!F539</f>
        <v>4.8569503019935721E-3</v>
      </c>
      <c r="C551" s="13">
        <f t="shared" si="8"/>
        <v>1.4181570295619497</v>
      </c>
    </row>
    <row r="552" spans="1:3" x14ac:dyDescent="0.45">
      <c r="A552" s="2">
        <f>'Daily Returns'!A540</f>
        <v>45862</v>
      </c>
      <c r="B552" s="6">
        <f>0.33*'Daily Returns'!B540+0.127*'Daily Returns'!C540+0.12*'Daily Returns'!D540+0.086*'Daily Returns'!E540+0.337*'Daily Returns'!F540</f>
        <v>-9.2026970454680136E-4</v>
      </c>
      <c r="C552" s="13">
        <f t="shared" si="8"/>
        <v>1.4168519426113537</v>
      </c>
    </row>
    <row r="553" spans="1:3" x14ac:dyDescent="0.45">
      <c r="A553" s="2">
        <f>'Daily Returns'!A541</f>
        <v>45863</v>
      </c>
      <c r="B553" s="6">
        <f>0.33*'Daily Returns'!B541+0.127*'Daily Returns'!C541+0.12*'Daily Returns'!D541+0.086*'Daily Returns'!E541+0.337*'Daily Returns'!F541</f>
        <v>2.125245614841642E-3</v>
      </c>
      <c r="C553" s="13">
        <f t="shared" si="8"/>
        <v>1.4198631009892684</v>
      </c>
    </row>
    <row r="554" spans="1:3" x14ac:dyDescent="0.45">
      <c r="A554" s="2">
        <f>'Daily Returns'!A542</f>
        <v>45866</v>
      </c>
      <c r="B554" s="6">
        <f>0.33*'Daily Returns'!B542+0.127*'Daily Returns'!C542+0.12*'Daily Returns'!D542+0.086*'Daily Returns'!E542+0.337*'Daily Returns'!F542</f>
        <v>-5.8567485981503714E-3</v>
      </c>
      <c r="C554" s="13">
        <f t="shared" si="8"/>
        <v>1.4115473197629842</v>
      </c>
    </row>
    <row r="555" spans="1:3" x14ac:dyDescent="0.45">
      <c r="A555" s="2">
        <f>'Daily Returns'!A543</f>
        <v>45867</v>
      </c>
      <c r="B555" s="6">
        <f>0.33*'Daily Returns'!B543+0.127*'Daily Returns'!C543+0.12*'Daily Returns'!D543+0.086*'Daily Returns'!E543+0.337*'Daily Returns'!F543</f>
        <v>-2.1934915515955133E-3</v>
      </c>
      <c r="C555" s="13">
        <f t="shared" si="8"/>
        <v>1.4084511026424067</v>
      </c>
    </row>
    <row r="556" spans="1:3" x14ac:dyDescent="0.45">
      <c r="A556" s="2">
        <f>'Daily Returns'!A544</f>
        <v>45868</v>
      </c>
      <c r="B556" s="6">
        <f>0.33*'Daily Returns'!B544+0.127*'Daily Returns'!C544+0.12*'Daily Returns'!D544+0.086*'Daily Returns'!E544+0.337*'Daily Returns'!F544</f>
        <v>-1.4044583171939349E-3</v>
      </c>
      <c r="C556" s="13">
        <f t="shared" si="8"/>
        <v>1.4064729917769396</v>
      </c>
    </row>
    <row r="557" spans="1:3" x14ac:dyDescent="0.45">
      <c r="A557" s="2">
        <f>'Daily Returns'!A545</f>
        <v>45869</v>
      </c>
      <c r="B557" s="6">
        <f>0.33*'Daily Returns'!B545+0.127*'Daily Returns'!C545+0.12*'Daily Returns'!D545+0.086*'Daily Returns'!E545+0.337*'Daily Returns'!F545</f>
        <v>1.0798738329295225E-3</v>
      </c>
      <c r="C557" s="13">
        <f t="shared" si="8"/>
        <v>1.4079918051574818</v>
      </c>
    </row>
    <row r="558" spans="1:3" x14ac:dyDescent="0.45">
      <c r="A558" s="2">
        <f>'Daily Returns'!A546</f>
        <v>45870</v>
      </c>
      <c r="B558" s="6">
        <f>0.33*'Daily Returns'!B546+0.127*'Daily Returns'!C546+0.12*'Daily Returns'!D546+0.086*'Daily Returns'!E546+0.337*'Daily Returns'!F546</f>
        <v>-8.8135482261060844E-3</v>
      </c>
      <c r="C558" s="13">
        <f t="shared" si="8"/>
        <v>1.3955824014807641</v>
      </c>
    </row>
    <row r="559" spans="1:3" x14ac:dyDescent="0.45">
      <c r="A559" s="2">
        <f>'Daily Returns'!A547</f>
        <v>45873</v>
      </c>
      <c r="B559" s="6">
        <f>0.33*'Daily Returns'!B547+0.127*'Daily Returns'!C547+0.12*'Daily Returns'!D547+0.086*'Daily Returns'!E547+0.337*'Daily Returns'!F547</f>
        <v>4.1551657895755158E-3</v>
      </c>
      <c r="C559" s="13">
        <f t="shared" si="8"/>
        <v>1.4013812777319306</v>
      </c>
    </row>
    <row r="560" spans="1:3" x14ac:dyDescent="0.45">
      <c r="A560" s="2">
        <f>'Daily Returns'!A548</f>
        <v>45874</v>
      </c>
      <c r="B560" s="6">
        <f>0.33*'Daily Returns'!B548+0.127*'Daily Returns'!C548+0.12*'Daily Returns'!D548+0.086*'Daily Returns'!E548+0.337*'Daily Returns'!F548</f>
        <v>-9.8779988725033671E-4</v>
      </c>
      <c r="C560" s="13">
        <f t="shared" si="8"/>
        <v>1.3999969934637924</v>
      </c>
    </row>
    <row r="561" spans="1:3" x14ac:dyDescent="0.45">
      <c r="A561" s="2">
        <f>'Daily Returns'!A549</f>
        <v>45875</v>
      </c>
      <c r="B561" s="6">
        <f>0.33*'Daily Returns'!B549+0.127*'Daily Returns'!C549+0.12*'Daily Returns'!D549+0.086*'Daily Returns'!E549+0.337*'Daily Returns'!F549</f>
        <v>8.4125426848450551E-4</v>
      </c>
      <c r="C561" s="13">
        <f t="shared" si="8"/>
        <v>1.4011747469104094</v>
      </c>
    </row>
    <row r="562" spans="1:3" x14ac:dyDescent="0.45">
      <c r="A562" s="2">
        <f>'Daily Returns'!A550</f>
        <v>45876</v>
      </c>
      <c r="B562" s="6">
        <f>0.33*'Daily Returns'!B550+0.127*'Daily Returns'!C550+0.12*'Daily Returns'!D550+0.086*'Daily Returns'!E550+0.337*'Daily Returns'!F550</f>
        <v>-1.9251284509812685E-3</v>
      </c>
      <c r="C562" s="13">
        <f t="shared" si="8"/>
        <v>1.3984773055403357</v>
      </c>
    </row>
    <row r="563" spans="1:3" x14ac:dyDescent="0.45">
      <c r="A563" s="2">
        <f>'Daily Returns'!A551</f>
        <v>45877</v>
      </c>
      <c r="B563" s="6">
        <f>0.33*'Daily Returns'!B551+0.127*'Daily Returns'!C551+0.12*'Daily Returns'!D551+0.086*'Daily Returns'!E551+0.337*'Daily Returns'!F551</f>
        <v>6.220820351700942E-3</v>
      </c>
      <c r="C563" s="13">
        <f t="shared" si="8"/>
        <v>1.4071769816240329</v>
      </c>
    </row>
    <row r="564" spans="1:3" x14ac:dyDescent="0.45">
      <c r="A564" s="2">
        <f>'Daily Returns'!A552</f>
        <v>45880</v>
      </c>
      <c r="B564" s="6">
        <f>0.33*'Daily Returns'!B552+0.127*'Daily Returns'!C552+0.12*'Daily Returns'!D552+0.086*'Daily Returns'!E552+0.337*'Daily Returns'!F552</f>
        <v>-2.7176140080644108E-3</v>
      </c>
      <c r="C564" s="13">
        <f t="shared" si="8"/>
        <v>1.4033528177469456</v>
      </c>
    </row>
    <row r="565" spans="1:3" x14ac:dyDescent="0.45">
      <c r="A565" s="2">
        <f>'Daily Returns'!A553</f>
        <v>45881</v>
      </c>
      <c r="B565" s="6">
        <f>0.33*'Daily Returns'!B553+0.127*'Daily Returns'!C553+0.12*'Daily Returns'!D553+0.086*'Daily Returns'!E553+0.337*'Daily Returns'!F553</f>
        <v>4.8459968369966248E-3</v>
      </c>
      <c r="C565" s="13">
        <f t="shared" si="8"/>
        <v>1.4101534610629378</v>
      </c>
    </row>
    <row r="566" spans="1:3" x14ac:dyDescent="0.45">
      <c r="A566" s="2">
        <f>'Daily Returns'!A554</f>
        <v>45882</v>
      </c>
      <c r="B566" s="6">
        <f>0.33*'Daily Returns'!B554+0.127*'Daily Returns'!C554+0.12*'Daily Returns'!D554+0.086*'Daily Returns'!E554+0.337*'Daily Returns'!F554</f>
        <v>3.1207317552331454E-3</v>
      </c>
      <c r="C566" s="13">
        <f t="shared" si="8"/>
        <v>1.4145541717486287</v>
      </c>
    </row>
    <row r="567" spans="1:3" x14ac:dyDescent="0.45">
      <c r="A567" s="2">
        <f>'Daily Returns'!A555</f>
        <v>45883</v>
      </c>
      <c r="B567" s="6">
        <f>0.33*'Daily Returns'!B555+0.127*'Daily Returns'!C555+0.12*'Daily Returns'!D555+0.086*'Daily Returns'!E555+0.337*'Daily Returns'!F555</f>
        <v>-1.3084343889533865E-3</v>
      </c>
      <c r="C567" s="13">
        <f t="shared" si="8"/>
        <v>1.4127033204252755</v>
      </c>
    </row>
    <row r="568" spans="1:3" x14ac:dyDescent="0.45">
      <c r="A568" s="2">
        <f>'Daily Returns'!A556</f>
        <v>45884</v>
      </c>
      <c r="B568" s="6">
        <f>0.33*'Daily Returns'!B556+0.127*'Daily Returns'!C556+0.12*'Daily Returns'!D556+0.086*'Daily Returns'!E556+0.337*'Daily Returns'!F556</f>
        <v>-3.70842153008197E-3</v>
      </c>
      <c r="C568" s="13">
        <f t="shared" si="8"/>
        <v>1.407464421016192</v>
      </c>
    </row>
    <row r="569" spans="1:3" x14ac:dyDescent="0.45">
      <c r="A569" s="2">
        <f>'Daily Returns'!A557</f>
        <v>45887</v>
      </c>
      <c r="B569" s="6">
        <f>0.33*'Daily Returns'!B557+0.127*'Daily Returns'!C557+0.12*'Daily Returns'!D557+0.086*'Daily Returns'!E557+0.337*'Daily Returns'!F557</f>
        <v>5.1093694776150418E-4</v>
      </c>
      <c r="C569" s="13">
        <f t="shared" si="8"/>
        <v>1.4081835465915491</v>
      </c>
    </row>
    <row r="570" spans="1:3" x14ac:dyDescent="0.45">
      <c r="A570" s="2">
        <f>'Daily Returns'!A558</f>
        <v>45888</v>
      </c>
      <c r="B570" s="6">
        <f>0.33*'Daily Returns'!B558+0.127*'Daily Returns'!C558+0.12*'Daily Returns'!D558+0.086*'Daily Returns'!E558+0.337*'Daily Returns'!F558</f>
        <v>-2.1698662497265564E-4</v>
      </c>
      <c r="C570" s="13">
        <f t="shared" si="8"/>
        <v>1.4078779895964322</v>
      </c>
    </row>
    <row r="571" spans="1:3" x14ac:dyDescent="0.45">
      <c r="A571" s="2">
        <f>'Daily Returns'!A559</f>
        <v>45889</v>
      </c>
      <c r="B571" s="6">
        <f>0.33*'Daily Returns'!B559+0.127*'Daily Returns'!C559+0.12*'Daily Returns'!D559+0.086*'Daily Returns'!E559+0.337*'Daily Returns'!F559</f>
        <v>-1.5290374866164579E-3</v>
      </c>
      <c r="C571" s="13">
        <f t="shared" si="8"/>
        <v>1.405725291373757</v>
      </c>
    </row>
    <row r="572" spans="1:3" x14ac:dyDescent="0.45">
      <c r="A572" s="2">
        <f>'Daily Returns'!A560</f>
        <v>45890</v>
      </c>
      <c r="B572" s="6">
        <f>0.33*'Daily Returns'!B560+0.127*'Daily Returns'!C560+0.12*'Daily Returns'!D560+0.086*'Daily Returns'!E560+0.337*'Daily Returns'!F560</f>
        <v>-1.4624390341965445E-3</v>
      </c>
      <c r="C572" s="13">
        <f t="shared" si="8"/>
        <v>1.4036695038362947</v>
      </c>
    </row>
    <row r="573" spans="1:3" x14ac:dyDescent="0.45">
      <c r="A573" s="2">
        <f>'Daily Returns'!A561</f>
        <v>45891</v>
      </c>
      <c r="B573" s="6">
        <f>0.33*'Daily Returns'!B561+0.127*'Daily Returns'!C561+0.12*'Daily Returns'!D561+0.086*'Daily Returns'!E561+0.337*'Daily Returns'!F561</f>
        <v>4.8697705376837576E-3</v>
      </c>
      <c r="C573" s="13">
        <f t="shared" si="8"/>
        <v>1.4105050522307219</v>
      </c>
    </row>
    <row r="574" spans="1:3" x14ac:dyDescent="0.45">
      <c r="A574" s="2">
        <f>'Daily Returns'!A562</f>
        <v>45894</v>
      </c>
      <c r="B574" s="6">
        <f>0.33*'Daily Returns'!B562+0.127*'Daily Returns'!C562+0.12*'Daily Returns'!D562+0.086*'Daily Returns'!E562+0.337*'Daily Returns'!F562</f>
        <v>-4.1098965194131731E-3</v>
      </c>
      <c r="C574" s="13">
        <f t="shared" si="8"/>
        <v>1.4047080224259441</v>
      </c>
    </row>
    <row r="575" spans="1:3" x14ac:dyDescent="0.45">
      <c r="A575" s="2">
        <f>'Daily Returns'!A563</f>
        <v>45895</v>
      </c>
      <c r="B575" s="6">
        <f>0.33*'Daily Returns'!B563+0.127*'Daily Returns'!C563+0.12*'Daily Returns'!D563+0.086*'Daily Returns'!E563+0.337*'Daily Returns'!F563</f>
        <v>4.1061889787602007E-3</v>
      </c>
      <c r="C575" s="13">
        <f t="shared" si="8"/>
        <v>1.4104760190260055</v>
      </c>
    </row>
    <row r="576" spans="1:3" x14ac:dyDescent="0.45">
      <c r="A576" s="2">
        <f>'Daily Returns'!A564</f>
        <v>45896</v>
      </c>
      <c r="B576" s="6">
        <f>0.33*'Daily Returns'!B564+0.127*'Daily Returns'!C564+0.12*'Daily Returns'!D564+0.086*'Daily Returns'!E564+0.337*'Daily Returns'!F564</f>
        <v>1.1637898776047674E-3</v>
      </c>
      <c r="C576" s="13">
        <f t="shared" si="8"/>
        <v>1.4121175167395521</v>
      </c>
    </row>
    <row r="577" spans="1:3" x14ac:dyDescent="0.45">
      <c r="A577" s="2">
        <f>'Daily Returns'!A565</f>
        <v>45897</v>
      </c>
      <c r="B577" s="6">
        <f>0.33*'Daily Returns'!B565+0.127*'Daily Returns'!C565+0.12*'Daily Returns'!D565+0.086*'Daily Returns'!E565+0.337*'Daily Returns'!F565</f>
        <v>9.0800787560635951E-4</v>
      </c>
      <c r="C577" s="13">
        <f t="shared" si="8"/>
        <v>1.4133997305660333</v>
      </c>
    </row>
    <row r="578" spans="1:3" x14ac:dyDescent="0.45">
      <c r="A578" s="2">
        <f>'Daily Returns'!A566</f>
        <v>45898</v>
      </c>
      <c r="B578" s="6">
        <f>0.33*'Daily Returns'!B566+0.127*'Daily Returns'!C566+0.12*'Daily Returns'!D566+0.086*'Daily Returns'!E566+0.337*'Daily Returns'!F566</f>
        <v>5.7751931938602877E-4</v>
      </c>
      <c r="C578" s="13">
        <f t="shared" si="8"/>
        <v>1.4142159962164502</v>
      </c>
    </row>
    <row r="579" spans="1:3" x14ac:dyDescent="0.45">
      <c r="A579" s="2">
        <f>'Daily Returns'!A567</f>
        <v>45902</v>
      </c>
      <c r="B579" s="6">
        <f>0.33*'Daily Returns'!B567+0.127*'Daily Returns'!C567+0.12*'Daily Returns'!D567+0.086*'Daily Returns'!E567+0.337*'Daily Returns'!F567</f>
        <v>-3.7078434768583789E-3</v>
      </c>
      <c r="C579" s="13">
        <f t="shared" si="8"/>
        <v>1.4089723046600102</v>
      </c>
    </row>
    <row r="580" spans="1:3" x14ac:dyDescent="0.45">
      <c r="A580" s="2">
        <f>'Daily Returns'!A568</f>
        <v>45903</v>
      </c>
      <c r="B580" s="6">
        <f>0.33*'Daily Returns'!B568+0.127*'Daily Returns'!C568+0.12*'Daily Returns'!D568+0.086*'Daily Returns'!E568+0.337*'Daily Returns'!F568</f>
        <v>1.6857417595650599E-3</v>
      </c>
      <c r="C580" s="13">
        <f t="shared" si="8"/>
        <v>1.4113474681120461</v>
      </c>
    </row>
    <row r="581" spans="1:3" x14ac:dyDescent="0.45">
      <c r="A581" s="2">
        <f>'Daily Returns'!A569</f>
        <v>45904</v>
      </c>
      <c r="B581" s="6">
        <f>0.33*'Daily Returns'!B569+0.127*'Daily Returns'!C569+0.12*'Daily Returns'!D569+0.086*'Daily Returns'!E569+0.337*'Daily Returns'!F569</f>
        <v>4.389824507995934E-3</v>
      </c>
      <c r="C581" s="13">
        <f t="shared" si="8"/>
        <v>1.4175430358168624</v>
      </c>
    </row>
    <row r="582" spans="1:3" x14ac:dyDescent="0.45">
      <c r="A582" s="2">
        <f>'Daily Returns'!A570</f>
        <v>45905</v>
      </c>
      <c r="B582" s="6">
        <f>0.33*'Daily Returns'!B570+0.127*'Daily Returns'!C570+0.12*'Daily Returns'!D570+0.086*'Daily Returns'!E570+0.337*'Daily Returns'!F570</f>
        <v>-1.7899216094783212E-3</v>
      </c>
      <c r="C582" s="13">
        <f t="shared" si="8"/>
        <v>1.4150057449046882</v>
      </c>
    </row>
    <row r="583" spans="1:3" x14ac:dyDescent="0.45">
      <c r="A583" s="2">
        <f>'Daily Returns'!A571</f>
        <v>45908</v>
      </c>
      <c r="B583" s="6">
        <f>0.33*'Daily Returns'!B571+0.127*'Daily Returns'!C571+0.12*'Daily Returns'!D571+0.086*'Daily Returns'!E571+0.337*'Daily Returns'!F571</f>
        <v>1.3553716465591911E-3</v>
      </c>
      <c r="C583" s="13">
        <f t="shared" si="8"/>
        <v>1.4169236035710506</v>
      </c>
    </row>
    <row r="584" spans="1:3" x14ac:dyDescent="0.45">
      <c r="A584" s="2">
        <f>'Daily Returns'!A572</f>
        <v>45909</v>
      </c>
      <c r="B584" s="6">
        <f>0.33*'Daily Returns'!B572+0.127*'Daily Returns'!C572+0.12*'Daily Returns'!D572+0.086*'Daily Returns'!E572+0.337*'Daily Returns'!F572</f>
        <v>-2.2851581853458496E-3</v>
      </c>
      <c r="C584" s="13">
        <f t="shared" si="8"/>
        <v>1.4136857090003405</v>
      </c>
    </row>
    <row r="585" spans="1:3" x14ac:dyDescent="0.45">
      <c r="A585" s="2">
        <f>'Daily Returns'!A573</f>
        <v>45910</v>
      </c>
      <c r="B585" s="6">
        <f>0.33*'Daily Returns'!B573+0.127*'Daily Returns'!C573+0.12*'Daily Returns'!D573+0.086*'Daily Returns'!E573+0.337*'Daily Returns'!F573</f>
        <v>7.0160734912507079E-4</v>
      </c>
      <c r="C585" s="13">
        <f t="shared" si="8"/>
        <v>1.4146775612831282</v>
      </c>
    </row>
    <row r="586" spans="1:3" x14ac:dyDescent="0.45">
      <c r="A586" s="2">
        <f>'Daily Returns'!A574</f>
        <v>45911</v>
      </c>
      <c r="B586" s="6">
        <f>0.33*'Daily Returns'!B574+0.127*'Daily Returns'!C574+0.12*'Daily Returns'!D574+0.086*'Daily Returns'!E574+0.337*'Daily Returns'!F574</f>
        <v>4.374266281048241E-3</v>
      </c>
      <c r="C586" s="13">
        <f t="shared" si="8"/>
        <v>1.4208657376380045</v>
      </c>
    </row>
    <row r="587" spans="1:3" x14ac:dyDescent="0.45">
      <c r="A587" s="2">
        <f>'Daily Returns'!A575</f>
        <v>45912</v>
      </c>
      <c r="B587" s="6">
        <f>0.33*'Daily Returns'!B575+0.127*'Daily Returns'!C575+0.12*'Daily Returns'!D575+0.086*'Daily Returns'!E575+0.337*'Daily Returns'!F575</f>
        <v>-1.0642913409587883E-3</v>
      </c>
      <c r="C587" s="13">
        <f t="shared" si="8"/>
        <v>1.4193535225367715</v>
      </c>
    </row>
    <row r="588" spans="1:3" x14ac:dyDescent="0.45">
      <c r="A588" s="2">
        <f>'Daily Returns'!A576</f>
        <v>45915</v>
      </c>
      <c r="B588" s="6">
        <f>0.33*'Daily Returns'!B576+0.127*'Daily Returns'!C576+0.12*'Daily Returns'!D576+0.086*'Daily Returns'!E576+0.337*'Daily Returns'!F576</f>
        <v>-7.6557184882722028E-3</v>
      </c>
      <c r="C588" s="13">
        <f t="shared" si="8"/>
        <v>1.4084873515328924</v>
      </c>
    </row>
    <row r="589" spans="1:3" x14ac:dyDescent="0.45">
      <c r="A589" s="2">
        <f>'Daily Returns'!A577</f>
        <v>45916</v>
      </c>
      <c r="B589" s="6">
        <f>0.33*'Daily Returns'!B577+0.127*'Daily Returns'!C577+0.12*'Daily Returns'!D577+0.086*'Daily Returns'!E577+0.337*'Daily Returns'!F577</f>
        <v>-2.7253713138219535E-3</v>
      </c>
      <c r="C589" s="13">
        <f t="shared" si="8"/>
        <v>1.4046487005091435</v>
      </c>
    </row>
    <row r="590" spans="1:3" x14ac:dyDescent="0.45">
      <c r="A590" s="2">
        <f>'Daily Returns'!A578</f>
        <v>45917</v>
      </c>
      <c r="B590" s="6">
        <f>0.33*'Daily Returns'!B578+0.127*'Daily Returns'!C578+0.12*'Daily Returns'!D578+0.086*'Daily Returns'!E578+0.337*'Daily Returns'!F578</f>
        <v>-6.0656683227209261E-7</v>
      </c>
      <c r="C590" s="13">
        <f t="shared" si="8"/>
        <v>1.4046478484958307</v>
      </c>
    </row>
    <row r="591" spans="1:3" x14ac:dyDescent="0.45">
      <c r="A591" s="2">
        <f>'Daily Returns'!A579</f>
        <v>45918</v>
      </c>
      <c r="B591" s="6">
        <f>0.33*'Daily Returns'!B579+0.127*'Daily Returns'!C579+0.12*'Daily Returns'!D579+0.086*'Daily Returns'!E579+0.337*'Daily Returns'!F579</f>
        <v>5.6321592776789461E-3</v>
      </c>
      <c r="C591" s="13">
        <f t="shared" ref="C591:C654" si="9">C590*(1+B591)</f>
        <v>1.4125590489076081</v>
      </c>
    </row>
    <row r="592" spans="1:3" x14ac:dyDescent="0.45">
      <c r="A592" s="2">
        <f>'Daily Returns'!A580</f>
        <v>45919</v>
      </c>
      <c r="B592" s="6">
        <f>0.33*'Daily Returns'!B580+0.127*'Daily Returns'!C580+0.12*'Daily Returns'!D580+0.086*'Daily Returns'!E580+0.337*'Daily Returns'!F580</f>
        <v>2.1085517624612688E-3</v>
      </c>
      <c r="C592" s="13">
        <f t="shared" si="9"/>
        <v>1.4155375027797628</v>
      </c>
    </row>
    <row r="593" spans="1:3" x14ac:dyDescent="0.45">
      <c r="A593" s="2">
        <f>'Daily Returns'!A581</f>
        <v>45922</v>
      </c>
      <c r="B593" s="6">
        <f>0.33*'Daily Returns'!B581+0.127*'Daily Returns'!C581+0.12*'Daily Returns'!D581+0.086*'Daily Returns'!E581+0.337*'Daily Returns'!F581</f>
        <v>-5.8077436323778009E-3</v>
      </c>
      <c r="C593" s="13">
        <f t="shared" si="9"/>
        <v>1.4073164238616016</v>
      </c>
    </row>
    <row r="594" spans="1:3" x14ac:dyDescent="0.45">
      <c r="A594" s="2">
        <f>'Daily Returns'!A582</f>
        <v>45923</v>
      </c>
      <c r="B594" s="6">
        <f>0.33*'Daily Returns'!B582+0.127*'Daily Returns'!C582+0.12*'Daily Returns'!D582+0.086*'Daily Returns'!E582+0.337*'Daily Returns'!F582</f>
        <v>-2.5166787210162203E-3</v>
      </c>
      <c r="C594" s="13">
        <f t="shared" si="9"/>
        <v>1.4037746605639325</v>
      </c>
    </row>
    <row r="595" spans="1:3" x14ac:dyDescent="0.45">
      <c r="A595" s="2">
        <f>'Daily Returns'!A583</f>
        <v>45924</v>
      </c>
      <c r="B595" s="6">
        <f>0.33*'Daily Returns'!B583+0.127*'Daily Returns'!C583+0.12*'Daily Returns'!D583+0.086*'Daily Returns'!E583+0.337*'Daily Returns'!F583</f>
        <v>-6.6391939907386099E-3</v>
      </c>
      <c r="C595" s="13">
        <f t="shared" si="9"/>
        <v>1.3944547282731652</v>
      </c>
    </row>
    <row r="596" spans="1:3" x14ac:dyDescent="0.45">
      <c r="A596" s="2">
        <f>'Daily Returns'!A584</f>
        <v>45925</v>
      </c>
      <c r="B596" s="6">
        <f>0.33*'Daily Returns'!B584+0.127*'Daily Returns'!C584+0.12*'Daily Returns'!D584+0.086*'Daily Returns'!E584+0.337*'Daily Returns'!F584</f>
        <v>1.0590680656745279E-3</v>
      </c>
      <c r="C596" s="13">
        <f t="shared" si="9"/>
        <v>1.3959315507449082</v>
      </c>
    </row>
    <row r="597" spans="1:3" x14ac:dyDescent="0.45">
      <c r="A597" s="2">
        <f>'Daily Returns'!A585</f>
        <v>45926</v>
      </c>
      <c r="B597" s="6">
        <f>0.33*'Daily Returns'!B585+0.127*'Daily Returns'!C585+0.12*'Daily Returns'!D585+0.086*'Daily Returns'!E585+0.337*'Daily Returns'!F585</f>
        <v>1.3621807752108598E-4</v>
      </c>
      <c r="C597" s="13">
        <f t="shared" si="9"/>
        <v>1.3961217018571017</v>
      </c>
    </row>
    <row r="598" spans="1:3" x14ac:dyDescent="0.45">
      <c r="A598" s="2">
        <f>'Daily Returns'!A586</f>
        <v>45929</v>
      </c>
      <c r="B598" s="6">
        <f>0.33*'Daily Returns'!B586+0.127*'Daily Returns'!C586+0.12*'Daily Returns'!D586+0.086*'Daily Returns'!E586+0.337*'Daily Returns'!F586</f>
        <v>3.5064622435395558E-4</v>
      </c>
      <c r="C598" s="13">
        <f t="shared" si="9"/>
        <v>1.3966112466605964</v>
      </c>
    </row>
    <row r="599" spans="1:3" x14ac:dyDescent="0.45">
      <c r="A599" s="2">
        <f>'Daily Returns'!A587</f>
        <v>45930</v>
      </c>
      <c r="B599" s="6">
        <f>0.33*'Daily Returns'!B587+0.127*'Daily Returns'!C587+0.12*'Daily Returns'!D587+0.086*'Daily Returns'!E587+0.337*'Daily Returns'!F587</f>
        <v>1.2264980300106718E-3</v>
      </c>
      <c r="C599" s="13">
        <f t="shared" si="9"/>
        <v>1.3983241876033166</v>
      </c>
    </row>
    <row r="600" spans="1:3" x14ac:dyDescent="0.45">
      <c r="A600" s="2">
        <f>'Daily Returns'!A588</f>
        <v>45931</v>
      </c>
      <c r="B600" s="6">
        <f>0.33*'Daily Returns'!B588+0.127*'Daily Returns'!C588+0.12*'Daily Returns'!D588+0.086*'Daily Returns'!E588+0.337*'Daily Returns'!F588</f>
        <v>-4.2531171426658217E-3</v>
      </c>
      <c r="C600" s="13">
        <f t="shared" si="9"/>
        <v>1.3923769510300166</v>
      </c>
    </row>
    <row r="601" spans="1:3" x14ac:dyDescent="0.45">
      <c r="A601" s="2">
        <f>'Daily Returns'!A589</f>
        <v>45932</v>
      </c>
      <c r="B601" s="6">
        <f>0.33*'Daily Returns'!B589+0.127*'Daily Returns'!C589+0.12*'Daily Returns'!D589+0.086*'Daily Returns'!E589+0.337*'Daily Returns'!F589</f>
        <v>5.8551331046031397E-3</v>
      </c>
      <c r="C601" s="13">
        <f t="shared" si="9"/>
        <v>1.4005295034100786</v>
      </c>
    </row>
    <row r="602" spans="1:3" x14ac:dyDescent="0.45">
      <c r="A602" s="2">
        <f>'Daily Returns'!A590</f>
        <v>45933</v>
      </c>
      <c r="B602" s="6">
        <f>0.33*'Daily Returns'!B590+0.127*'Daily Returns'!C590+0.12*'Daily Returns'!D590+0.086*'Daily Returns'!E590+0.337*'Daily Returns'!F590</f>
        <v>-2.9895920152450376E-3</v>
      </c>
      <c r="C602" s="13">
        <f t="shared" si="9"/>
        <v>1.3963424915895688</v>
      </c>
    </row>
    <row r="603" spans="1:3" x14ac:dyDescent="0.45">
      <c r="A603" s="2">
        <f>'Daily Returns'!A591</f>
        <v>45936</v>
      </c>
      <c r="B603" s="6">
        <f>0.33*'Daily Returns'!B591+0.127*'Daily Returns'!C591+0.12*'Daily Returns'!D591+0.086*'Daily Returns'!E591+0.337*'Daily Returns'!F591</f>
        <v>-4.3469511307044333E-4</v>
      </c>
      <c r="C603" s="13">
        <f t="shared" si="9"/>
        <v>1.3957355083323022</v>
      </c>
    </row>
    <row r="604" spans="1:3" x14ac:dyDescent="0.45">
      <c r="A604" s="2">
        <f>'Daily Returns'!A592</f>
        <v>45937</v>
      </c>
      <c r="B604" s="6">
        <f>0.33*'Daily Returns'!B592+0.127*'Daily Returns'!C592+0.12*'Daily Returns'!D592+0.086*'Daily Returns'!E592+0.337*'Daily Returns'!F592</f>
        <v>-5.958038689997701E-3</v>
      </c>
      <c r="C604" s="13">
        <f t="shared" si="9"/>
        <v>1.3874196621726549</v>
      </c>
    </row>
    <row r="605" spans="1:3" x14ac:dyDescent="0.45">
      <c r="A605" s="2">
        <f>'Daily Returns'!A593</f>
        <v>45938</v>
      </c>
      <c r="B605" s="6">
        <f>0.33*'Daily Returns'!B593+0.127*'Daily Returns'!C593+0.12*'Daily Returns'!D593+0.086*'Daily Returns'!E593+0.337*'Daily Returns'!F593</f>
        <v>-1.4997206449361166E-5</v>
      </c>
      <c r="C605" s="13">
        <f t="shared" si="9"/>
        <v>1.3873988547535494</v>
      </c>
    </row>
    <row r="606" spans="1:3" x14ac:dyDescent="0.45">
      <c r="A606" s="2">
        <f>'Daily Returns'!A594</f>
        <v>45939</v>
      </c>
      <c r="B606" s="6">
        <f>0.33*'Daily Returns'!B594+0.127*'Daily Returns'!C594+0.12*'Daily Returns'!D594+0.086*'Daily Returns'!E594+0.337*'Daily Returns'!F594</f>
        <v>-9.8010808091853474E-3</v>
      </c>
      <c r="C606" s="13">
        <f t="shared" si="9"/>
        <v>1.3738008464635387</v>
      </c>
    </row>
    <row r="607" spans="1:3" x14ac:dyDescent="0.45">
      <c r="A607" s="2">
        <f>'Daily Returns'!A595</f>
        <v>45940</v>
      </c>
      <c r="B607" s="6">
        <f>0.33*'Daily Returns'!B595+0.127*'Daily Returns'!C595+0.12*'Daily Returns'!D595+0.086*'Daily Returns'!E595+0.337*'Daily Returns'!F595</f>
        <v>-1.2069411952386524E-2</v>
      </c>
      <c r="C607" s="13">
        <f t="shared" si="9"/>
        <v>1.357219878107033</v>
      </c>
    </row>
    <row r="608" spans="1:3" x14ac:dyDescent="0.45">
      <c r="A608" s="2">
        <f>'Daily Returns'!A596</f>
        <v>45943</v>
      </c>
      <c r="B608" s="6">
        <f>0.33*'Daily Returns'!B596+0.127*'Daily Returns'!C596+0.12*'Daily Returns'!D596+0.086*'Daily Returns'!E596+0.337*'Daily Returns'!F596</f>
        <v>1.7167094644827994E-2</v>
      </c>
      <c r="C608" s="13">
        <f t="shared" si="9"/>
        <v>1.3805194002083383</v>
      </c>
    </row>
    <row r="609" spans="1:3" x14ac:dyDescent="0.45">
      <c r="A609" s="2">
        <f>'Daily Returns'!A597</f>
        <v>45944</v>
      </c>
      <c r="B609" s="6">
        <f>0.33*'Daily Returns'!B597+0.127*'Daily Returns'!C597+0.12*'Daily Returns'!D597+0.086*'Daily Returns'!E597+0.337*'Daily Returns'!F597</f>
        <v>5.1512643728161738E-3</v>
      </c>
      <c r="C609" s="13">
        <f t="shared" si="9"/>
        <v>1.3876308206106132</v>
      </c>
    </row>
    <row r="610" spans="1:3" x14ac:dyDescent="0.45">
      <c r="A610" s="2">
        <f>'Daily Returns'!A598</f>
        <v>45945</v>
      </c>
      <c r="B610" s="6">
        <f>0.33*'Daily Returns'!B598+0.127*'Daily Returns'!C598+0.12*'Daily Returns'!D598+0.086*'Daily Returns'!E598+0.337*'Daily Returns'!F598</f>
        <v>2.3462120840217612E-3</v>
      </c>
      <c r="C610" s="13">
        <f t="shared" si="9"/>
        <v>1.3908864968100909</v>
      </c>
    </row>
    <row r="611" spans="1:3" x14ac:dyDescent="0.45">
      <c r="A611" s="2">
        <f>'Daily Returns'!A599</f>
        <v>45946</v>
      </c>
      <c r="B611" s="6">
        <f>0.33*'Daily Returns'!B599+0.127*'Daily Returns'!C599+0.12*'Daily Returns'!D599+0.086*'Daily Returns'!E599+0.337*'Daily Returns'!F599</f>
        <v>-1.0193010457422696E-2</v>
      </c>
      <c r="C611" s="13">
        <f t="shared" si="9"/>
        <v>1.3767091762030177</v>
      </c>
    </row>
    <row r="612" spans="1:3" x14ac:dyDescent="0.45">
      <c r="A612" s="2">
        <f>'Daily Returns'!A600</f>
        <v>45947</v>
      </c>
      <c r="B612" s="6">
        <f>0.33*'Daily Returns'!B600+0.127*'Daily Returns'!C600+0.12*'Daily Returns'!D600+0.086*'Daily Returns'!E600+0.337*'Daily Returns'!F600</f>
        <v>3.0530253176681388E-3</v>
      </c>
      <c r="C612" s="13">
        <f t="shared" si="9"/>
        <v>1.3809123041730316</v>
      </c>
    </row>
    <row r="613" spans="1:3" x14ac:dyDescent="0.45">
      <c r="A613" s="2">
        <f>'Daily Returns'!A601</f>
        <v>45950</v>
      </c>
      <c r="B613" s="6">
        <f>0.33*'Daily Returns'!B601+0.127*'Daily Returns'!C601+0.12*'Daily Returns'!D601+0.086*'Daily Returns'!E601+0.337*'Daily Returns'!F601</f>
        <v>4.9878890836603075E-3</v>
      </c>
      <c r="C613" s="13">
        <f t="shared" si="9"/>
        <v>1.3878001415805084</v>
      </c>
    </row>
    <row r="614" spans="1:3" x14ac:dyDescent="0.45">
      <c r="A614" s="2">
        <f>'Daily Returns'!A602</f>
        <v>45951</v>
      </c>
      <c r="B614" s="6">
        <f>0.33*'Daily Returns'!B602+0.127*'Daily Returns'!C602+0.12*'Daily Returns'!D602+0.086*'Daily Returns'!E602+0.337*'Daily Returns'!F602</f>
        <v>4.9590343063937968E-3</v>
      </c>
      <c r="C614" s="13">
        <f t="shared" si="9"/>
        <v>1.3946822900930245</v>
      </c>
    </row>
    <row r="615" spans="1:3" x14ac:dyDescent="0.45">
      <c r="A615" s="2">
        <f>'Daily Returns'!A603</f>
        <v>45952</v>
      </c>
      <c r="B615" s="6">
        <f>0.33*'Daily Returns'!B603+0.127*'Daily Returns'!C603+0.12*'Daily Returns'!D603+0.086*'Daily Returns'!E603+0.337*'Daily Returns'!F603</f>
        <v>-1.6895501986629177E-3</v>
      </c>
      <c r="C615" s="13">
        <f t="shared" si="9"/>
        <v>1.3923259043527261</v>
      </c>
    </row>
    <row r="616" spans="1:3" x14ac:dyDescent="0.45">
      <c r="A616" s="2">
        <f>'Daily Returns'!A604</f>
        <v>45953</v>
      </c>
      <c r="B616" s="6">
        <f>0.33*'Daily Returns'!B604+0.127*'Daily Returns'!C604+0.12*'Daily Returns'!D604+0.086*'Daily Returns'!E604+0.337*'Daily Returns'!F604</f>
        <v>3.6448401446650385E-3</v>
      </c>
      <c r="C616" s="13">
        <f t="shared" si="9"/>
        <v>1.3974007097033678</v>
      </c>
    </row>
    <row r="617" spans="1:3" x14ac:dyDescent="0.45">
      <c r="A617" s="2">
        <f>'Daily Returns'!A605</f>
        <v>45954</v>
      </c>
      <c r="B617" s="6">
        <f>0.33*'Daily Returns'!B605+0.127*'Daily Returns'!C605+0.12*'Daily Returns'!D605+0.086*'Daily Returns'!E605+0.337*'Daily Returns'!F605</f>
        <v>6.3411121469628285E-3</v>
      </c>
      <c r="C617" s="13">
        <f t="shared" si="9"/>
        <v>1.4062617843178422</v>
      </c>
    </row>
    <row r="618" spans="1:3" x14ac:dyDescent="0.45">
      <c r="A618" s="2">
        <f>'Daily Returns'!A606</f>
        <v>45957</v>
      </c>
      <c r="B618" s="6">
        <f>0.33*'Daily Returns'!B606+0.127*'Daily Returns'!C606+0.12*'Daily Returns'!D606+0.086*'Daily Returns'!E606+0.337*'Daily Returns'!F606</f>
        <v>8.384193449396015E-3</v>
      </c>
      <c r="C618" s="13">
        <f t="shared" si="9"/>
        <v>1.4180521551580558</v>
      </c>
    </row>
    <row r="619" spans="1:3" x14ac:dyDescent="0.45">
      <c r="A619" s="2">
        <f>'Daily Returns'!A607</f>
        <v>45958</v>
      </c>
      <c r="B619" s="6">
        <f>0.33*'Daily Returns'!B607+0.127*'Daily Returns'!C607+0.12*'Daily Returns'!D607+0.086*'Daily Returns'!E607+0.337*'Daily Returns'!F607</f>
        <v>2.7904888332207817E-3</v>
      </c>
      <c r="C619" s="13">
        <f t="shared" si="9"/>
        <v>1.4220092138619491</v>
      </c>
    </row>
    <row r="620" spans="1:3" x14ac:dyDescent="0.45">
      <c r="A620" s="2">
        <f>'Daily Returns'!A608</f>
        <v>45959</v>
      </c>
      <c r="B620" s="6">
        <f>0.33*'Daily Returns'!B608+0.127*'Daily Returns'!C608+0.12*'Daily Returns'!D608+0.086*'Daily Returns'!E608+0.337*'Daily Returns'!F608</f>
        <v>-6.2444955784253119E-4</v>
      </c>
      <c r="C620" s="13">
        <f t="shared" si="9"/>
        <v>1.421121240837105</v>
      </c>
    </row>
    <row r="621" spans="1:3" x14ac:dyDescent="0.45">
      <c r="A621" s="2">
        <f>'Daily Returns'!A609</f>
        <v>45960</v>
      </c>
      <c r="B621" s="6">
        <f>0.33*'Daily Returns'!B609+0.127*'Daily Returns'!C609+0.12*'Daily Returns'!D609+0.086*'Daily Returns'!E609+0.337*'Daily Returns'!F609</f>
        <v>-9.4963032497150969E-3</v>
      </c>
      <c r="C621" s="13">
        <f t="shared" si="9"/>
        <v>1.4076258425795045</v>
      </c>
    </row>
    <row r="622" spans="1:3" x14ac:dyDescent="0.45">
      <c r="A622" s="2">
        <f>'Daily Returns'!A610</f>
        <v>45961</v>
      </c>
      <c r="B622" s="6">
        <f>0.33*'Daily Returns'!B610+0.127*'Daily Returns'!C610+0.12*'Daily Returns'!D610+0.086*'Daily Returns'!E610+0.337*'Daily Returns'!F610</f>
        <v>2.8830848266893092E-3</v>
      </c>
      <c r="C622" s="13">
        <f t="shared" si="9"/>
        <v>1.4116841472879014</v>
      </c>
    </row>
    <row r="623" spans="1:3" x14ac:dyDescent="0.45">
      <c r="A623" s="2">
        <f>'Daily Returns'!A611</f>
        <v>45964</v>
      </c>
      <c r="B623" s="6">
        <f>0.33*'Daily Returns'!B611+0.127*'Daily Returns'!C611+0.12*'Daily Returns'!D611+0.086*'Daily Returns'!E611+0.337*'Daily Returns'!F611</f>
        <v>9.4691440849490021E-4</v>
      </c>
      <c r="C623" s="13">
        <f t="shared" si="9"/>
        <v>1.413020891347212</v>
      </c>
    </row>
    <row r="624" spans="1:3" x14ac:dyDescent="0.45">
      <c r="A624" s="2">
        <f>'Daily Returns'!A612</f>
        <v>45965</v>
      </c>
      <c r="B624" s="6">
        <f>0.33*'Daily Returns'!B612+0.127*'Daily Returns'!C612+0.12*'Daily Returns'!D612+0.086*'Daily Returns'!E612+0.337*'Daily Returns'!F612</f>
        <v>-6.8282935747257054E-3</v>
      </c>
      <c r="C624" s="13">
        <f t="shared" si="9"/>
        <v>1.4033723698738727</v>
      </c>
    </row>
    <row r="625" spans="1:3" x14ac:dyDescent="0.45">
      <c r="A625" s="2">
        <f>'Daily Returns'!A613</f>
        <v>45966</v>
      </c>
      <c r="B625" s="6">
        <f>0.33*'Daily Returns'!B613+0.127*'Daily Returns'!C613+0.12*'Daily Returns'!D613+0.086*'Daily Returns'!E613+0.337*'Daily Returns'!F613</f>
        <v>-1.1380216726147934E-3</v>
      </c>
      <c r="C625" s="13">
        <f t="shared" si="9"/>
        <v>1.4017753017022074</v>
      </c>
    </row>
    <row r="626" spans="1:3" x14ac:dyDescent="0.45">
      <c r="A626" s="2">
        <f>'Daily Returns'!A614</f>
        <v>45967</v>
      </c>
      <c r="B626" s="6">
        <f>0.33*'Daily Returns'!B614+0.127*'Daily Returns'!C614+0.12*'Daily Returns'!D614+0.086*'Daily Returns'!E614+0.337*'Daily Returns'!F614</f>
        <v>-1.0082582601929586E-2</v>
      </c>
      <c r="C626" s="13">
        <f t="shared" si="9"/>
        <v>1.38764178643345</v>
      </c>
    </row>
    <row r="627" spans="1:3" x14ac:dyDescent="0.45">
      <c r="A627" s="2">
        <f>'Daily Returns'!A615</f>
        <v>45968</v>
      </c>
      <c r="B627" s="6">
        <f>0.33*'Daily Returns'!B615+0.127*'Daily Returns'!C615+0.12*'Daily Returns'!D615+0.086*'Daily Returns'!E615+0.337*'Daily Returns'!F615</f>
        <v>3.5542740269124151E-3</v>
      </c>
      <c r="C627" s="13">
        <f t="shared" si="9"/>
        <v>1.3925738455936287</v>
      </c>
    </row>
    <row r="628" spans="1:3" x14ac:dyDescent="0.45">
      <c r="A628" s="2">
        <f>'Daily Returns'!A616</f>
        <v>45971</v>
      </c>
      <c r="B628" s="6">
        <f>0.33*'Daily Returns'!B616+0.127*'Daily Returns'!C616+0.12*'Daily Returns'!D616+0.086*'Daily Returns'!E616+0.337*'Daily Returns'!F616</f>
        <v>4.9710270807898178E-3</v>
      </c>
      <c r="C628" s="13">
        <f t="shared" si="9"/>
        <v>1.3994963678920744</v>
      </c>
    </row>
    <row r="629" spans="1:3" x14ac:dyDescent="0.45">
      <c r="A629" s="2">
        <f>'Daily Returns'!A617</f>
        <v>45972</v>
      </c>
      <c r="B629" s="6">
        <f>0.33*'Daily Returns'!B617+0.127*'Daily Returns'!C617+0.12*'Daily Returns'!D617+0.086*'Daily Returns'!E617+0.337*'Daily Returns'!F617</f>
        <v>2.9078130168874693E-3</v>
      </c>
      <c r="C629" s="13">
        <f t="shared" si="9"/>
        <v>1.4035658416477177</v>
      </c>
    </row>
    <row r="630" spans="1:3" x14ac:dyDescent="0.45">
      <c r="A630" s="2">
        <f>'Daily Returns'!A618</f>
        <v>45973</v>
      </c>
      <c r="B630" s="6">
        <f>0.33*'Daily Returns'!B618+0.127*'Daily Returns'!C618+0.12*'Daily Returns'!D618+0.086*'Daily Returns'!E618+0.337*'Daily Returns'!F618</f>
        <v>2.0973441947908533E-3</v>
      </c>
      <c r="C630" s="13">
        <f t="shared" si="9"/>
        <v>1.4065096023177044</v>
      </c>
    </row>
    <row r="631" spans="1:3" x14ac:dyDescent="0.45">
      <c r="A631" s="2">
        <f>'Daily Returns'!A619</f>
        <v>45974</v>
      </c>
      <c r="B631" s="6">
        <f>0.33*'Daily Returns'!B619+0.127*'Daily Returns'!C619+0.12*'Daily Returns'!D619+0.086*'Daily Returns'!E619+0.337*'Daily Returns'!F619</f>
        <v>-7.4192576213593479E-3</v>
      </c>
      <c r="C631" s="13">
        <f t="shared" si="9"/>
        <v>1.3960743452311937</v>
      </c>
    </row>
    <row r="632" spans="1:3" x14ac:dyDescent="0.45">
      <c r="A632" s="2">
        <f>'Daily Returns'!A620</f>
        <v>45975</v>
      </c>
      <c r="B632" s="6">
        <f>0.33*'Daily Returns'!B620+0.127*'Daily Returns'!C620+0.12*'Daily Returns'!D620+0.086*'Daily Returns'!E620+0.337*'Daily Returns'!F620</f>
        <v>-1.03907441448585E-3</v>
      </c>
      <c r="C632" s="13">
        <f t="shared" si="9"/>
        <v>1.394623720098344</v>
      </c>
    </row>
    <row r="633" spans="1:3" x14ac:dyDescent="0.45">
      <c r="A633" s="2">
        <f>'Daily Returns'!A621</f>
        <v>45978</v>
      </c>
      <c r="B633" s="6">
        <f>0.33*'Daily Returns'!B621+0.127*'Daily Returns'!C621+0.12*'Daily Returns'!D621+0.086*'Daily Returns'!E621+0.337*'Daily Returns'!F621</f>
        <v>-1.0359169839315925E-2</v>
      </c>
      <c r="C633" s="13">
        <f t="shared" si="9"/>
        <v>1.3801765761199067</v>
      </c>
    </row>
    <row r="634" spans="1:3" x14ac:dyDescent="0.45">
      <c r="A634" s="2">
        <f>'Daily Returns'!A622</f>
        <v>45979</v>
      </c>
      <c r="B634" s="6">
        <f>0.33*'Daily Returns'!B622+0.127*'Daily Returns'!C622+0.12*'Daily Returns'!D622+0.086*'Daily Returns'!E622+0.337*'Daily Returns'!F622</f>
        <v>-2.6458181999059359E-3</v>
      </c>
      <c r="C634" s="13">
        <f t="shared" si="9"/>
        <v>1.3765248798157248</v>
      </c>
    </row>
    <row r="635" spans="1:3" x14ac:dyDescent="0.45">
      <c r="A635" s="2">
        <f>'Daily Returns'!A623</f>
        <v>45980</v>
      </c>
      <c r="B635" s="6">
        <f>0.33*'Daily Returns'!B623+0.127*'Daily Returns'!C623+0.12*'Daily Returns'!D623+0.086*'Daily Returns'!E623+0.337*'Daily Returns'!F623</f>
        <v>7.753952657019418E-4</v>
      </c>
      <c r="C635" s="13">
        <f t="shared" si="9"/>
        <v>1.3775922306906547</v>
      </c>
    </row>
    <row r="636" spans="1:3" x14ac:dyDescent="0.45">
      <c r="A636" s="2">
        <f>'Daily Returns'!A624</f>
        <v>45981</v>
      </c>
      <c r="B636" s="6">
        <f>0.33*'Daily Returns'!B624+0.127*'Daily Returns'!C624+0.12*'Daily Returns'!D624+0.086*'Daily Returns'!E624+0.337*'Daily Returns'!F624</f>
        <v>-5.9313863061895193E-3</v>
      </c>
      <c r="C636" s="13">
        <f t="shared" si="9"/>
        <v>1.3694211989980232</v>
      </c>
    </row>
    <row r="637" spans="1:3" x14ac:dyDescent="0.45">
      <c r="A637" s="2">
        <f>'Daily Returns'!A625</f>
        <v>45982</v>
      </c>
      <c r="B637" s="6">
        <f>0.33*'Daily Returns'!B625+0.127*'Daily Returns'!C625+0.12*'Daily Returns'!D625+0.086*'Daily Returns'!E625+0.337*'Daily Returns'!F625</f>
        <v>9.9091210032569051E-3</v>
      </c>
      <c r="C637" s="13">
        <f t="shared" si="9"/>
        <v>1.3829909593633198</v>
      </c>
    </row>
    <row r="638" spans="1:3" x14ac:dyDescent="0.45">
      <c r="A638" s="2">
        <f>'Daily Returns'!A626</f>
        <v>45985</v>
      </c>
      <c r="B638" s="6">
        <f>0.33*'Daily Returns'!B626+0.127*'Daily Returns'!C626+0.12*'Daily Returns'!D626+0.086*'Daily Returns'!E626+0.337*'Daily Returns'!F626</f>
        <v>7.799446803723931E-3</v>
      </c>
      <c r="C638" s="13">
        <f t="shared" si="9"/>
        <v>1.3937775237809051</v>
      </c>
    </row>
    <row r="639" spans="1:3" x14ac:dyDescent="0.45">
      <c r="A639" s="2">
        <f>'Daily Returns'!A627</f>
        <v>45986</v>
      </c>
      <c r="B639" s="6">
        <f>0.33*'Daily Returns'!B627+0.127*'Daily Returns'!C627+0.12*'Daily Returns'!D627+0.086*'Daily Returns'!E627+0.337*'Daily Returns'!F627</f>
        <v>7.582625488400184E-3</v>
      </c>
      <c r="C639" s="13">
        <f t="shared" si="9"/>
        <v>1.4043460167578854</v>
      </c>
    </row>
    <row r="640" spans="1:3" x14ac:dyDescent="0.45">
      <c r="A640" s="2">
        <f>'Daily Returns'!A628</f>
        <v>45987</v>
      </c>
      <c r="B640" s="6">
        <f>0.33*'Daily Returns'!B628+0.127*'Daily Returns'!C628+0.12*'Daily Returns'!D628+0.086*'Daily Returns'!E628+0.337*'Daily Returns'!F628</f>
        <v>4.812301606606029E-3</v>
      </c>
      <c r="C640" s="13">
        <f t="shared" si="9"/>
        <v>1.4111041533505599</v>
      </c>
    </row>
    <row r="641" spans="1:3" x14ac:dyDescent="0.45">
      <c r="A641" s="2">
        <f>'Daily Returns'!A629</f>
        <v>45989</v>
      </c>
      <c r="B641" s="6">
        <f>0.33*'Daily Returns'!B629+0.127*'Daily Returns'!C629+0.12*'Daily Returns'!D629+0.086*'Daily Returns'!E629+0.337*'Daily Returns'!F629</f>
        <v>3.8818463690811285E-3</v>
      </c>
      <c r="C641" s="13">
        <f t="shared" si="9"/>
        <v>1.4165818428846391</v>
      </c>
    </row>
    <row r="642" spans="1:3" x14ac:dyDescent="0.45">
      <c r="A642" s="2">
        <f>'Daily Returns'!A630</f>
        <v>45992</v>
      </c>
      <c r="B642" s="6">
        <f>0.33*'Daily Returns'!B630+0.127*'Daily Returns'!C630+0.12*'Daily Returns'!D630+0.086*'Daily Returns'!E630+0.337*'Daily Returns'!F630</f>
        <v>-2.248255745027889E-3</v>
      </c>
      <c r="C642" s="13">
        <f t="shared" si="9"/>
        <v>1.4133970046180715</v>
      </c>
    </row>
    <row r="643" spans="1:3" x14ac:dyDescent="0.45">
      <c r="A643" s="2">
        <f>'Daily Returns'!A631</f>
        <v>45993</v>
      </c>
      <c r="B643" s="6">
        <f>0.33*'Daily Returns'!B631+0.127*'Daily Returns'!C631+0.12*'Daily Returns'!D631+0.086*'Daily Returns'!E631+0.337*'Daily Returns'!F631</f>
        <v>1.1275756218294061E-3</v>
      </c>
      <c r="C643" s="13">
        <f t="shared" si="9"/>
        <v>1.4149907166244455</v>
      </c>
    </row>
    <row r="644" spans="1:3" x14ac:dyDescent="0.45">
      <c r="A644" s="2">
        <f>'Daily Returns'!A632</f>
        <v>45994</v>
      </c>
      <c r="B644" s="6">
        <f>0.33*'Daily Returns'!B632+0.127*'Daily Returns'!C632+0.12*'Daily Returns'!D632+0.086*'Daily Returns'!E632+0.337*'Daily Returns'!F632</f>
        <v>6.4482547037350785E-3</v>
      </c>
      <c r="C644" s="13">
        <f t="shared" si="9"/>
        <v>1.4241149371686606</v>
      </c>
    </row>
    <row r="645" spans="1:3" x14ac:dyDescent="0.45">
      <c r="A645" s="2">
        <f>'Daily Returns'!A633</f>
        <v>45995</v>
      </c>
      <c r="B645" s="6">
        <f>0.33*'Daily Returns'!B633+0.127*'Daily Returns'!C633+0.12*'Daily Returns'!D633+0.086*'Daily Returns'!E633+0.337*'Daily Returns'!F633</f>
        <v>1.8550216756190413E-3</v>
      </c>
      <c r="C645" s="13">
        <f t="shared" si="9"/>
        <v>1.4267567012456812</v>
      </c>
    </row>
    <row r="646" spans="1:3" x14ac:dyDescent="0.45">
      <c r="A646" s="2">
        <f>'Daily Returns'!A634</f>
        <v>45996</v>
      </c>
      <c r="B646" s="6">
        <f>0.33*'Daily Returns'!B634+0.127*'Daily Returns'!C634+0.12*'Daily Returns'!D634+0.086*'Daily Returns'!E634+0.337*'Daily Returns'!F634</f>
        <v>1.3637260012499962E-3</v>
      </c>
      <c r="C646" s="13">
        <f t="shared" si="9"/>
        <v>1.4287024064566276</v>
      </c>
    </row>
    <row r="647" spans="1:3" x14ac:dyDescent="0.45">
      <c r="A647" s="2">
        <f>'Daily Returns'!A635</f>
        <v>45999</v>
      </c>
      <c r="B647" s="6">
        <f>0.33*'Daily Returns'!B635+0.127*'Daily Returns'!C635+0.12*'Daily Returns'!D635+0.086*'Daily Returns'!E635+0.337*'Daily Returns'!F635</f>
        <v>-9.2189324222279436E-4</v>
      </c>
      <c r="C647" s="13">
        <f t="shared" si="9"/>
        <v>1.4273852953629678</v>
      </c>
    </row>
    <row r="648" spans="1:3" x14ac:dyDescent="0.45">
      <c r="A648" s="2">
        <f>'Daily Returns'!A636</f>
        <v>46000</v>
      </c>
      <c r="B648" s="6">
        <f>0.33*'Daily Returns'!B636+0.127*'Daily Returns'!C636+0.12*'Daily Returns'!D636+0.086*'Daily Returns'!E636+0.337*'Daily Returns'!F636</f>
        <v>1.146132319214475E-3</v>
      </c>
      <c r="C648" s="13">
        <f t="shared" si="9"/>
        <v>1.4290212677819549</v>
      </c>
    </row>
    <row r="649" spans="1:3" x14ac:dyDescent="0.45">
      <c r="A649" s="2">
        <f>'Daily Returns'!A637</f>
        <v>46001</v>
      </c>
      <c r="B649" s="6">
        <f>0.33*'Daily Returns'!B637+0.127*'Daily Returns'!C637+0.12*'Daily Returns'!D637+0.086*'Daily Returns'!E637+0.337*'Daily Returns'!F637</f>
        <v>3.4600828156647325E-3</v>
      </c>
      <c r="C649" s="13">
        <f t="shared" si="9"/>
        <v>1.4339657997138269</v>
      </c>
    </row>
    <row r="650" spans="1:3" x14ac:dyDescent="0.45">
      <c r="A650" s="2">
        <f>'Daily Returns'!A638</f>
        <v>46002</v>
      </c>
      <c r="B650" s="6">
        <f>0.33*'Daily Returns'!B638+0.127*'Daily Returns'!C638+0.12*'Daily Returns'!D638+0.086*'Daily Returns'!E638+0.337*'Daily Returns'!F638</f>
        <v>-1.733276397662936E-3</v>
      </c>
      <c r="C650" s="13">
        <f t="shared" si="9"/>
        <v>1.4314803406381269</v>
      </c>
    </row>
    <row r="651" spans="1:3" x14ac:dyDescent="0.45">
      <c r="A651" s="2">
        <f>'Daily Returns'!A639</f>
        <v>46003</v>
      </c>
      <c r="B651" s="6">
        <f>0.33*'Daily Returns'!B639+0.127*'Daily Returns'!C639+0.12*'Daily Returns'!D639+0.086*'Daily Returns'!E639+0.337*'Daily Returns'!F639</f>
        <v>-3.349849098688558E-3</v>
      </c>
      <c r="C651" s="13">
        <f t="shared" si="9"/>
        <v>1.42668509750925</v>
      </c>
    </row>
    <row r="652" spans="1:3" x14ac:dyDescent="0.45">
      <c r="A652" s="2">
        <f>'Daily Returns'!A640</f>
        <v>46006</v>
      </c>
      <c r="B652" s="6">
        <f>0.33*'Daily Returns'!B640+0.127*'Daily Returns'!C640+0.12*'Daily Returns'!D640+0.086*'Daily Returns'!E640+0.337*'Daily Returns'!F640</f>
        <v>-2.3358127275722798E-3</v>
      </c>
      <c r="C652" s="13">
        <f t="shared" si="9"/>
        <v>1.4233526283002502</v>
      </c>
    </row>
    <row r="653" spans="1:3" x14ac:dyDescent="0.45">
      <c r="A653" s="2">
        <f>'Daily Returns'!A641</f>
        <v>46007</v>
      </c>
      <c r="B653" s="6">
        <f>0.33*'Daily Returns'!B641+0.127*'Daily Returns'!C641+0.12*'Daily Returns'!D641+0.086*'Daily Returns'!E641+0.337*'Daily Returns'!F641</f>
        <v>-2.7911285633860613E-3</v>
      </c>
      <c r="C653" s="13">
        <f t="shared" si="9"/>
        <v>1.4193798681236307</v>
      </c>
    </row>
    <row r="654" spans="1:3" x14ac:dyDescent="0.45">
      <c r="A654" s="2">
        <f>'Daily Returns'!A642</f>
        <v>46008</v>
      </c>
      <c r="B654" s="6">
        <f>0.33*'Daily Returns'!B642+0.127*'Daily Returns'!C642+0.12*'Daily Returns'!D642+0.086*'Daily Returns'!E642+0.337*'Daily Returns'!F642</f>
        <v>-4.206776301218209E-3</v>
      </c>
      <c r="C654" s="13">
        <f t="shared" si="9"/>
        <v>1.4134088545319818</v>
      </c>
    </row>
    <row r="655" spans="1:3" x14ac:dyDescent="0.45">
      <c r="A655" s="2">
        <f>'Daily Returns'!A643</f>
        <v>46009</v>
      </c>
      <c r="B655" s="6">
        <f>0.33*'Daily Returns'!B643+0.127*'Daily Returns'!C643+0.12*'Daily Returns'!D643+0.086*'Daily Returns'!E643+0.337*'Daily Returns'!F643</f>
        <v>1.6461482033853472E-3</v>
      </c>
      <c r="C655" s="13">
        <f t="shared" ref="C655:C718" si="10">C654*(1+B655)</f>
        <v>1.4157355349785186</v>
      </c>
    </row>
    <row r="656" spans="1:3" x14ac:dyDescent="0.45">
      <c r="A656" s="2">
        <f>'Daily Returns'!A644</f>
        <v>46010</v>
      </c>
      <c r="B656" s="6">
        <f>0.33*'Daily Returns'!B644+0.127*'Daily Returns'!C644+0.12*'Daily Returns'!D644+0.086*'Daily Returns'!E644+0.337*'Daily Returns'!F644</f>
        <v>2.978530982638267E-4</v>
      </c>
      <c r="C656" s="13">
        <f t="shared" si="10"/>
        <v>1.416157216193934</v>
      </c>
    </row>
    <row r="657" spans="1:3" x14ac:dyDescent="0.45">
      <c r="A657" s="2">
        <f>'Daily Returns'!A645</f>
        <v>46013</v>
      </c>
      <c r="B657" s="6">
        <f>0.33*'Daily Returns'!B645+0.127*'Daily Returns'!C645+0.12*'Daily Returns'!D645+0.086*'Daily Returns'!E645+0.337*'Daily Returns'!F645</f>
        <v>2.9843897891545113E-4</v>
      </c>
      <c r="C657" s="13">
        <f t="shared" si="10"/>
        <v>1.4165798527075184</v>
      </c>
    </row>
    <row r="658" spans="1:3" x14ac:dyDescent="0.45">
      <c r="A658" s="2">
        <f>'Daily Returns'!A646</f>
        <v>46014</v>
      </c>
      <c r="B658" s="6">
        <f>0.33*'Daily Returns'!B646+0.127*'Daily Returns'!C646+0.12*'Daily Returns'!D646+0.086*'Daily Returns'!E646+0.337*'Daily Returns'!F646</f>
        <v>-1.3113814959730703E-5</v>
      </c>
      <c r="C658" s="13">
        <f t="shared" si="10"/>
        <v>1.4165612759414543</v>
      </c>
    </row>
    <row r="659" spans="1:3" x14ac:dyDescent="0.45">
      <c r="A659" s="2">
        <f>'Daily Returns'!A647</f>
        <v>46015</v>
      </c>
      <c r="B659" s="6">
        <f>0.33*'Daily Returns'!B647+0.127*'Daily Returns'!C647+0.12*'Daily Returns'!D647+0.086*'Daily Returns'!E647+0.337*'Daily Returns'!F647</f>
        <v>3.5494180463462388E-3</v>
      </c>
      <c r="C659" s="13">
        <f t="shared" si="10"/>
        <v>1.4215892440980362</v>
      </c>
    </row>
    <row r="660" spans="1:3" x14ac:dyDescent="0.45">
      <c r="A660" s="2">
        <f>'Daily Returns'!A648</f>
        <v>46017</v>
      </c>
      <c r="B660" s="6">
        <f>0.33*'Daily Returns'!B648+0.127*'Daily Returns'!C648+0.12*'Daily Returns'!D648+0.086*'Daily Returns'!E648+0.337*'Daily Returns'!F648</f>
        <v>3.143851052940651E-3</v>
      </c>
      <c r="C660" s="13">
        <f t="shared" si="10"/>
        <v>1.4260585089399429</v>
      </c>
    </row>
    <row r="661" spans="1:3" x14ac:dyDescent="0.45">
      <c r="A661" s="2">
        <f>'Daily Returns'!A649</f>
        <v>46020</v>
      </c>
      <c r="B661" s="6">
        <f>0.33*'Daily Returns'!B649+0.127*'Daily Returns'!C649+0.12*'Daily Returns'!D649+0.086*'Daily Returns'!E649+0.337*'Daily Returns'!F649</f>
        <v>-1.9346242203478969E-3</v>
      </c>
      <c r="C661" s="13">
        <f t="shared" si="10"/>
        <v>1.4232996216089147</v>
      </c>
    </row>
    <row r="662" spans="1:3" x14ac:dyDescent="0.45">
      <c r="A662" s="2">
        <f>'Daily Returns'!A650</f>
        <v>46021</v>
      </c>
      <c r="B662" s="6">
        <f>0.33*'Daily Returns'!B650+0.127*'Daily Returns'!C650+0.12*'Daily Returns'!D650+0.086*'Daily Returns'!E650+0.337*'Daily Returns'!F650</f>
        <v>1.6745152834206981E-3</v>
      </c>
      <c r="C662" s="13">
        <f t="shared" si="10"/>
        <v>1.4256829585781858</v>
      </c>
    </row>
    <row r="663" spans="1:3" x14ac:dyDescent="0.45">
      <c r="A663" s="2">
        <f>'Daily Returns'!A651</f>
        <v>46022</v>
      </c>
      <c r="B663" s="6">
        <f>0.33*'Daily Returns'!B651+0.127*'Daily Returns'!C651+0.12*'Daily Returns'!D651+0.086*'Daily Returns'!E651+0.337*'Daily Returns'!F651</f>
        <v>-3.7604680390371232E-3</v>
      </c>
      <c r="C663" s="13">
        <f t="shared" si="10"/>
        <v>1.4203217233786527</v>
      </c>
    </row>
    <row r="664" spans="1:3" x14ac:dyDescent="0.45">
      <c r="A664" s="2">
        <f>'Daily Returns'!A652</f>
        <v>46024</v>
      </c>
      <c r="B664" s="6">
        <f>0.33*'Daily Returns'!B652+0.127*'Daily Returns'!C652+0.12*'Daily Returns'!D652+0.086*'Daily Returns'!E652+0.337*'Daily Returns'!F652</f>
        <v>2.6305279021899106E-3</v>
      </c>
      <c r="C664" s="13">
        <f t="shared" si="10"/>
        <v>1.4240579193020866</v>
      </c>
    </row>
    <row r="665" spans="1:3" x14ac:dyDescent="0.45">
      <c r="A665" s="2">
        <f>'Daily Returns'!A653</f>
        <v>46027</v>
      </c>
      <c r="B665" s="6">
        <f>0.33*'Daily Returns'!B653+0.127*'Daily Returns'!C653+0.12*'Daily Returns'!D653+0.086*'Daily Returns'!E653+0.337*'Daily Returns'!F653</f>
        <v>7.5696328610662588E-3</v>
      </c>
      <c r="C665" s="13">
        <f t="shared" si="10"/>
        <v>1.4348375149240971</v>
      </c>
    </row>
    <row r="666" spans="1:3" x14ac:dyDescent="0.45">
      <c r="A666" s="2">
        <f>'Daily Returns'!A654</f>
        <v>46028</v>
      </c>
      <c r="B666" s="6">
        <f>0.33*'Daily Returns'!B654+0.127*'Daily Returns'!C654+0.12*'Daily Returns'!D654+0.086*'Daily Returns'!E654+0.337*'Daily Returns'!F654</f>
        <v>-1.1208762441457891E-3</v>
      </c>
      <c r="C666" s="13">
        <f t="shared" si="10"/>
        <v>1.4332292396394095</v>
      </c>
    </row>
    <row r="667" spans="1:3" x14ac:dyDescent="0.45">
      <c r="A667" s="2">
        <f>'Daily Returns'!A655</f>
        <v>46029</v>
      </c>
      <c r="B667" s="6">
        <f>0.33*'Daily Returns'!B655+0.127*'Daily Returns'!C655+0.12*'Daily Returns'!D655+0.086*'Daily Returns'!E655+0.337*'Daily Returns'!F655</f>
        <v>-1.0636039465904667E-2</v>
      </c>
      <c r="C667" s="13">
        <f t="shared" si="10"/>
        <v>1.4179853568829162</v>
      </c>
    </row>
    <row r="668" spans="1:3" x14ac:dyDescent="0.45">
      <c r="A668" s="2">
        <f>'Daily Returns'!A656</f>
        <v>46030</v>
      </c>
      <c r="B668" s="6">
        <f>0.33*'Daily Returns'!B656+0.127*'Daily Returns'!C656+0.12*'Daily Returns'!D656+0.086*'Daily Returns'!E656+0.337*'Daily Returns'!F656</f>
        <v>1.0408163743630572E-2</v>
      </c>
      <c r="C668" s="13">
        <f t="shared" si="10"/>
        <v>1.4327439806634241</v>
      </c>
    </row>
    <row r="669" spans="1:3" x14ac:dyDescent="0.45">
      <c r="A669" s="2">
        <f>'Daily Returns'!A657</f>
        <v>46031</v>
      </c>
      <c r="B669" s="6">
        <f>0.33*'Daily Returns'!B657+0.127*'Daily Returns'!C657+0.12*'Daily Returns'!D657+0.086*'Daily Returns'!E657+0.337*'Daily Returns'!F657</f>
        <v>7.5195117766721118E-4</v>
      </c>
      <c r="C669" s="13">
        <f t="shared" si="10"/>
        <v>1.4338213341869797</v>
      </c>
    </row>
    <row r="670" spans="1:3" x14ac:dyDescent="0.45">
      <c r="A670" s="2">
        <f>'Daily Returns'!A658</f>
        <v>46034</v>
      </c>
      <c r="B670" s="6">
        <f>0.33*'Daily Returns'!B658+0.127*'Daily Returns'!C658+0.12*'Daily Returns'!D658+0.086*'Daily Returns'!E658+0.337*'Daily Returns'!F658</f>
        <v>-1.3744561542658692E-3</v>
      </c>
      <c r="C670" s="13">
        <f t="shared" si="10"/>
        <v>1.4318506096300887</v>
      </c>
    </row>
    <row r="671" spans="1:3" x14ac:dyDescent="0.45">
      <c r="A671" s="2">
        <f>'Daily Returns'!A659</f>
        <v>46035</v>
      </c>
      <c r="B671" s="6">
        <f>0.33*'Daily Returns'!B659+0.127*'Daily Returns'!C659+0.12*'Daily Returns'!D659+0.086*'Daily Returns'!E659+0.337*'Daily Returns'!F659</f>
        <v>-2.7651501179519217E-3</v>
      </c>
      <c r="C671" s="13">
        <f t="shared" si="10"/>
        <v>1.4278913277479806</v>
      </c>
    </row>
    <row r="672" spans="1:3" x14ac:dyDescent="0.45">
      <c r="A672" s="2">
        <f>'Daily Returns'!A660</f>
        <v>46036</v>
      </c>
      <c r="B672" s="6">
        <f>0.33*'Daily Returns'!B660+0.127*'Daily Returns'!C660+0.12*'Daily Returns'!D660+0.086*'Daily Returns'!E660+0.337*'Daily Returns'!F660</f>
        <v>4.9158785638433681E-3</v>
      </c>
      <c r="C672" s="13">
        <f t="shared" si="10"/>
        <v>1.4349106681175547</v>
      </c>
    </row>
    <row r="673" spans="1:3" x14ac:dyDescent="0.45">
      <c r="A673" s="2">
        <f>'Daily Returns'!A661</f>
        <v>46037</v>
      </c>
      <c r="B673" s="6">
        <f>0.33*'Daily Returns'!B661+0.127*'Daily Returns'!C661+0.12*'Daily Returns'!D661+0.086*'Daily Returns'!E661+0.337*'Daily Returns'!F661</f>
        <v>4.0885338978025572E-3</v>
      </c>
      <c r="C673" s="13">
        <f t="shared" si="10"/>
        <v>1.4407773490244717</v>
      </c>
    </row>
    <row r="674" spans="1:3" x14ac:dyDescent="0.45">
      <c r="A674" s="2">
        <f>'Daily Returns'!A662</f>
        <v>46038</v>
      </c>
      <c r="B674" s="6">
        <f>0.33*'Daily Returns'!B662+0.127*'Daily Returns'!C662+0.12*'Daily Returns'!D662+0.086*'Daily Returns'!E662+0.337*'Daily Returns'!F662</f>
        <v>-9.1823112581390068E-4</v>
      </c>
      <c r="C674" s="13">
        <f t="shared" si="10"/>
        <v>1.4394543824172299</v>
      </c>
    </row>
    <row r="675" spans="1:3" x14ac:dyDescent="0.45">
      <c r="A675" s="2">
        <f>'Daily Returns'!A663</f>
        <v>46042</v>
      </c>
      <c r="B675" s="6">
        <f>0.33*'Daily Returns'!B663+0.127*'Daily Returns'!C663+0.12*'Daily Returns'!D663+0.086*'Daily Returns'!E663+0.337*'Daily Returns'!F663</f>
        <v>-1.0706889419602459E-2</v>
      </c>
      <c r="C675" s="13">
        <f t="shared" si="10"/>
        <v>1.4240423035201266</v>
      </c>
    </row>
    <row r="676" spans="1:3" x14ac:dyDescent="0.45">
      <c r="A676" s="2">
        <f>'Daily Returns'!A664</f>
        <v>46043</v>
      </c>
      <c r="B676" s="6">
        <f>0.33*'Daily Returns'!B664+0.127*'Daily Returns'!C664+0.12*'Daily Returns'!D664+0.086*'Daily Returns'!E664+0.337*'Daily Returns'!F664</f>
        <v>9.8257494140438304E-3</v>
      </c>
      <c r="C676" s="13">
        <f t="shared" si="10"/>
        <v>1.4380345863495132</v>
      </c>
    </row>
    <row r="677" spans="1:3" x14ac:dyDescent="0.45">
      <c r="A677" s="2">
        <f>'Daily Returns'!A665</f>
        <v>46044</v>
      </c>
      <c r="B677" s="6">
        <f>0.33*'Daily Returns'!B665+0.127*'Daily Returns'!C665+0.12*'Daily Returns'!D665+0.086*'Daily Returns'!E665+0.337*'Daily Returns'!F665</f>
        <v>3.6798388379216359E-4</v>
      </c>
      <c r="C677" s="13">
        <f t="shared" si="10"/>
        <v>1.4385637599016257</v>
      </c>
    </row>
    <row r="678" spans="1:3" x14ac:dyDescent="0.45">
      <c r="A678" s="2">
        <f>'Daily Returns'!A666</f>
        <v>46045</v>
      </c>
      <c r="B678" s="6">
        <f>0.33*'Daily Returns'!B666+0.127*'Daily Returns'!C666+0.12*'Daily Returns'!D666+0.086*'Daily Returns'!E666+0.337*'Daily Returns'!F666</f>
        <v>-2.5928638159103058E-3</v>
      </c>
      <c r="C678" s="13">
        <f t="shared" si="10"/>
        <v>1.4348337599816969</v>
      </c>
    </row>
    <row r="679" spans="1:3" x14ac:dyDescent="0.45">
      <c r="A679" s="2">
        <f>'Daily Returns'!A667</f>
        <v>46048</v>
      </c>
      <c r="B679" s="6">
        <f>0.33*'Daily Returns'!B667+0.127*'Daily Returns'!C667+0.12*'Daily Returns'!D667+0.086*'Daily Returns'!E667+0.337*'Daily Returns'!F667</f>
        <v>-2.066892715287311E-3</v>
      </c>
      <c r="C679" s="13">
        <f t="shared" si="10"/>
        <v>1.4318681125355426</v>
      </c>
    </row>
    <row r="680" spans="1:3" x14ac:dyDescent="0.45">
      <c r="A680" s="2">
        <f>'Daily Returns'!A668</f>
        <v>46049</v>
      </c>
      <c r="B680" s="6">
        <f>0.33*'Daily Returns'!B668+0.127*'Daily Returns'!C668+0.12*'Daily Returns'!D668+0.086*'Daily Returns'!E668+0.337*'Daily Returns'!F668</f>
        <v>3.0845964216807873E-3</v>
      </c>
      <c r="C680" s="13">
        <f t="shared" si="10"/>
        <v>1.4362848477917884</v>
      </c>
    </row>
    <row r="681" spans="1:3" x14ac:dyDescent="0.45">
      <c r="A681" s="2">
        <f>'Daily Returns'!A669</f>
        <v>46050</v>
      </c>
      <c r="B681" s="6">
        <f>0.33*'Daily Returns'!B669+0.127*'Daily Returns'!C669+0.12*'Daily Returns'!D669+0.086*'Daily Returns'!E669+0.337*'Daily Returns'!F669</f>
        <v>-2.0376906299438419E-3</v>
      </c>
      <c r="C681" s="13">
        <f t="shared" si="10"/>
        <v>1.4333581436155127</v>
      </c>
    </row>
    <row r="682" spans="1:3" x14ac:dyDescent="0.45">
      <c r="A682" s="2">
        <f>'Daily Returns'!A670</f>
        <v>46051</v>
      </c>
      <c r="B682" s="6">
        <f>0.33*'Daily Returns'!B670+0.127*'Daily Returns'!C670+0.12*'Daily Returns'!D670+0.086*'Daily Returns'!E670+0.337*'Daily Returns'!F670</f>
        <v>-1.1861732974539629E-3</v>
      </c>
      <c r="C682" s="13">
        <f t="shared" si="10"/>
        <v>1.4316579324598677</v>
      </c>
    </row>
    <row r="683" spans="1:3" x14ac:dyDescent="0.45">
      <c r="A683" s="2">
        <f>'Daily Returns'!A671</f>
        <v>46052</v>
      </c>
      <c r="B683" s="6">
        <f>0.33*'Daily Returns'!B671+0.127*'Daily Returns'!C671+0.12*'Daily Returns'!D671+0.086*'Daily Returns'!E671+0.337*'Daily Returns'!F671</f>
        <v>-4.4367180343566391E-3</v>
      </c>
      <c r="C683" s="13">
        <f t="shared" si="10"/>
        <v>1.4253060698918933</v>
      </c>
    </row>
    <row r="684" spans="1:3" x14ac:dyDescent="0.45">
      <c r="A684" s="2">
        <f>'Daily Returns'!A672</f>
        <v>46055</v>
      </c>
      <c r="B684" s="6">
        <f>0.33*'Daily Returns'!B672+0.127*'Daily Returns'!C672+0.12*'Daily Returns'!D672+0.086*'Daily Returns'!E672+0.337*'Daily Returns'!F672</f>
        <v>-5.7664272831374642E-3</v>
      </c>
      <c r="C684" s="13">
        <f t="shared" si="10"/>
        <v>1.4170871460836474</v>
      </c>
    </row>
    <row r="685" spans="1:3" x14ac:dyDescent="0.45">
      <c r="A685" s="2">
        <f>'Daily Returns'!A673</f>
        <v>46056</v>
      </c>
      <c r="B685" s="6">
        <f>0.33*'Daily Returns'!B673+0.127*'Daily Returns'!C673+0.12*'Daily Returns'!D673+0.086*'Daily Returns'!E673+0.337*'Daily Returns'!F673</f>
        <v>-1.0567373441498877E-2</v>
      </c>
      <c r="C685" s="13">
        <f t="shared" si="10"/>
        <v>1.4021122570118336</v>
      </c>
    </row>
    <row r="686" spans="1:3" x14ac:dyDescent="0.45">
      <c r="A686" s="2">
        <f>'Daily Returns'!A674</f>
        <v>46057</v>
      </c>
      <c r="B686" s="6">
        <f>0.33*'Daily Returns'!B674+0.127*'Daily Returns'!C674+0.12*'Daily Returns'!D674+0.086*'Daily Returns'!E674+0.337*'Daily Returns'!F674</f>
        <v>3.3905007076712635E-3</v>
      </c>
      <c r="C686" s="13">
        <f t="shared" si="10"/>
        <v>1.4068661196114669</v>
      </c>
    </row>
    <row r="687" spans="1:3" x14ac:dyDescent="0.45">
      <c r="A687" s="2">
        <f>'Daily Returns'!A675</f>
        <v>46058</v>
      </c>
      <c r="B687" s="6">
        <f>0.33*'Daily Returns'!B675+0.127*'Daily Returns'!C675+0.12*'Daily Returns'!D675+0.086*'Daily Returns'!E675+0.337*'Daily Returns'!F675</f>
        <v>-1.3304367468242309E-2</v>
      </c>
      <c r="C687" s="13">
        <f t="shared" si="10"/>
        <v>1.3881486557775358</v>
      </c>
    </row>
    <row r="688" spans="1:3" x14ac:dyDescent="0.45">
      <c r="A688" s="2">
        <f>'Daily Returns'!A676</f>
        <v>46059</v>
      </c>
      <c r="B688" s="6">
        <f>0.33*'Daily Returns'!B676+0.127*'Daily Returns'!C676+0.12*'Daily Returns'!D676+0.086*'Daily Returns'!E676+0.337*'Daily Returns'!F676</f>
        <v>9.9690862863002321E-3</v>
      </c>
      <c r="C688" s="13">
        <f t="shared" si="10"/>
        <v>1.4019872295051936</v>
      </c>
    </row>
    <row r="689" spans="1:3" x14ac:dyDescent="0.45">
      <c r="A689" s="2">
        <f>'Daily Returns'!A677</f>
        <v>46062</v>
      </c>
      <c r="B689" s="6">
        <f>0.33*'Daily Returns'!B677+0.127*'Daily Returns'!C677+0.12*'Daily Returns'!D677+0.086*'Daily Returns'!E677+0.337*'Daily Returns'!F677</f>
        <v>2.5163436115150308E-3</v>
      </c>
      <c r="C689" s="13">
        <f t="shared" si="10"/>
        <v>1.4055151111135846</v>
      </c>
    </row>
    <row r="690" spans="1:3" x14ac:dyDescent="0.45">
      <c r="A690" s="2">
        <f>'Daily Returns'!A678</f>
        <v>46063</v>
      </c>
      <c r="B690" s="6">
        <f>0.33*'Daily Returns'!B678+0.127*'Daily Returns'!C678+0.12*'Daily Returns'!D678+0.086*'Daily Returns'!E678+0.337*'Daily Returns'!F678</f>
        <v>5.961081649654836E-3</v>
      </c>
      <c r="C690" s="13">
        <f t="shared" si="10"/>
        <v>1.4138935014507565</v>
      </c>
    </row>
    <row r="691" spans="1:3" x14ac:dyDescent="0.45">
      <c r="A691" s="2">
        <f>'Daily Returns'!A679</f>
        <v>46064</v>
      </c>
      <c r="B691" s="6">
        <f>0.33*'Daily Returns'!B679+0.127*'Daily Returns'!C679+0.12*'Daily Returns'!D679+0.086*'Daily Returns'!E679+0.337*'Daily Returns'!F679</f>
        <v>-2.7901149372344201E-3</v>
      </c>
      <c r="C691" s="13">
        <f t="shared" si="10"/>
        <v>1.4099485760727</v>
      </c>
    </row>
    <row r="692" spans="1:3" x14ac:dyDescent="0.45">
      <c r="A692" s="2">
        <f>'Daily Returns'!A680</f>
        <v>46065</v>
      </c>
      <c r="B692" s="6">
        <f>0.33*'Daily Returns'!B680+0.127*'Daily Returns'!C680+0.12*'Daily Returns'!D680+0.086*'Daily Returns'!E680+0.337*'Daily Returns'!F680</f>
        <v>-8.3057071707085574E-3</v>
      </c>
      <c r="C692" s="13">
        <f t="shared" si="10"/>
        <v>1.3982379560740825</v>
      </c>
    </row>
    <row r="693" spans="1:3" x14ac:dyDescent="0.45">
      <c r="A693" s="2">
        <f>'Daily Returns'!A681</f>
        <v>46066</v>
      </c>
      <c r="B693" s="6">
        <f>0.33*'Daily Returns'!B681+0.127*'Daily Returns'!C681+0.12*'Daily Returns'!D681+0.086*'Daily Returns'!E681+0.337*'Daily Returns'!F681</f>
        <v>-7.256438026684759E-3</v>
      </c>
      <c r="C693" s="13">
        <f t="shared" si="10"/>
        <v>1.3880917289992727</v>
      </c>
    </row>
    <row r="694" spans="1:3" x14ac:dyDescent="0.45">
      <c r="A694" s="2">
        <f>'Daily Returns'!A682</f>
        <v>46070</v>
      </c>
      <c r="B694" s="6">
        <f>0.33*'Daily Returns'!B682+0.127*'Daily Returns'!C682+0.12*'Daily Returns'!D682+0.086*'Daily Returns'!E682+0.337*'Daily Returns'!F682</f>
        <v>-3.4696856351524052E-3</v>
      </c>
      <c r="C694" s="13">
        <f t="shared" si="10"/>
        <v>1.3832754870668902</v>
      </c>
    </row>
    <row r="695" spans="1:3" x14ac:dyDescent="0.45">
      <c r="A695" s="2">
        <f>'Daily Returns'!A683</f>
        <v>46071</v>
      </c>
      <c r="B695" s="6">
        <f>0.33*'Daily Returns'!B683+0.127*'Daily Returns'!C683+0.12*'Daily Returns'!D683+0.086*'Daily Returns'!E683+0.337*'Daily Returns'!F683</f>
        <v>5.7783588444954908E-3</v>
      </c>
      <c r="C695" s="13">
        <f t="shared" si="10"/>
        <v>1.391268549211957</v>
      </c>
    </row>
    <row r="696" spans="1:3" x14ac:dyDescent="0.45">
      <c r="A696" s="2">
        <f>'Daily Returns'!A684</f>
        <v>46072</v>
      </c>
      <c r="B696" s="6">
        <f>0.33*'Daily Returns'!B684+0.127*'Daily Returns'!C684+0.12*'Daily Returns'!D684+0.086*'Daily Returns'!E684+0.337*'Daily Returns'!F684</f>
        <v>-9.38804922959432E-3</v>
      </c>
      <c r="C696" s="13">
        <f t="shared" si="10"/>
        <v>1.3782072515803687</v>
      </c>
    </row>
    <row r="697" spans="1:3" x14ac:dyDescent="0.45">
      <c r="A697" s="2">
        <f>'Daily Returns'!A685</f>
        <v>46073</v>
      </c>
      <c r="B697" s="6">
        <f>0.33*'Daily Returns'!B685+0.127*'Daily Returns'!C685+0.12*'Daily Returns'!D685+0.086*'Daily Returns'!E685+0.337*'Daily Returns'!F685</f>
        <v>-2.2054505017373945E-4</v>
      </c>
      <c r="C697" s="13">
        <f t="shared" si="10"/>
        <v>1.3779032947929191</v>
      </c>
    </row>
    <row r="698" spans="1:3" x14ac:dyDescent="0.45">
      <c r="A698" s="2">
        <f>'Daily Returns'!A686</f>
        <v>46076</v>
      </c>
      <c r="B698" s="6">
        <f>0.33*'Daily Returns'!B686+0.127*'Daily Returns'!C686+0.12*'Daily Returns'!D686+0.086*'Daily Returns'!E686+0.337*'Daily Returns'!F686</f>
        <v>-5.7972530613010611E-3</v>
      </c>
      <c r="C698" s="13">
        <f t="shared" si="10"/>
        <v>1.3699152406990041</v>
      </c>
    </row>
    <row r="699" spans="1:3" x14ac:dyDescent="0.45">
      <c r="A699" s="2">
        <f>'Daily Returns'!A687</f>
        <v>46077</v>
      </c>
      <c r="B699" s="6">
        <f>0.33*'Daily Returns'!B687+0.127*'Daily Returns'!C687+0.12*'Daily Returns'!D687+0.086*'Daily Returns'!E687+0.337*'Daily Returns'!F687</f>
        <v>5.0448299131754639E-3</v>
      </c>
      <c r="C699" s="13">
        <f t="shared" si="10"/>
        <v>1.3768262300837975</v>
      </c>
    </row>
    <row r="700" spans="1:3" x14ac:dyDescent="0.45">
      <c r="A700" s="2">
        <f>'Daily Returns'!A688</f>
        <v>46078</v>
      </c>
      <c r="B700" s="6">
        <f>0.33*'Daily Returns'!B688+0.127*'Daily Returns'!C688+0.12*'Daily Returns'!D688+0.086*'Daily Returns'!E688+0.337*'Daily Returns'!F688</f>
        <v>9.8674418356488516E-3</v>
      </c>
      <c r="C700" s="13">
        <f t="shared" si="10"/>
        <v>1.390411982826945</v>
      </c>
    </row>
    <row r="701" spans="1:3" x14ac:dyDescent="0.45">
      <c r="A701" s="2">
        <f>'Daily Returns'!A689</f>
        <v>46079</v>
      </c>
      <c r="B701" s="6">
        <f>0.33*'Daily Returns'!B689+0.127*'Daily Returns'!C689+0.12*'Daily Returns'!D689+0.086*'Daily Returns'!E689+0.337*'Daily Returns'!F689</f>
        <v>-5.1206163276867993E-3</v>
      </c>
      <c r="C701" s="13">
        <f t="shared" si="10"/>
        <v>1.38329221652547</v>
      </c>
    </row>
    <row r="702" spans="1:3" x14ac:dyDescent="0.45">
      <c r="A702" s="2">
        <f>'Daily Returns'!A690</f>
        <v>46080</v>
      </c>
      <c r="B702" s="6">
        <f>0.33*'Daily Returns'!B690+0.127*'Daily Returns'!C690+0.12*'Daily Returns'!D690+0.086*'Daily Returns'!E690+0.337*'Daily Returns'!F690</f>
        <v>-1.3586563608847026E-2</v>
      </c>
      <c r="C702" s="13">
        <f t="shared" si="10"/>
        <v>1.3644980288360238</v>
      </c>
    </row>
    <row r="703" spans="1:3" x14ac:dyDescent="0.45">
      <c r="A703" s="2">
        <f>'Daily Returns'!A691</f>
        <v>46083</v>
      </c>
      <c r="B703" s="6">
        <f>0.33*'Daily Returns'!B691+0.127*'Daily Returns'!C691+0.12*'Daily Returns'!D691+0.086*'Daily Returns'!E691+0.337*'Daily Returns'!F691</f>
        <v>8.5753428386956283E-3</v>
      </c>
      <c r="C703" s="13">
        <f t="shared" si="10"/>
        <v>1.3761990672360171</v>
      </c>
    </row>
    <row r="704" spans="1:3" x14ac:dyDescent="0.45">
      <c r="A704" s="2">
        <f>'Daily Returns'!A692</f>
        <v>46084</v>
      </c>
      <c r="B704" s="6">
        <f>0.33*'Daily Returns'!B692+0.127*'Daily Returns'!C692+0.12*'Daily Returns'!D692+0.086*'Daily Returns'!E692+0.337*'Daily Returns'!F692</f>
        <v>-4.3776035447101545E-3</v>
      </c>
      <c r="C704" s="13">
        <f t="shared" si="10"/>
        <v>1.3701746133210579</v>
      </c>
    </row>
    <row r="705" spans="1:3" x14ac:dyDescent="0.45">
      <c r="A705" s="2">
        <f>'Daily Returns'!A693</f>
        <v>46085</v>
      </c>
      <c r="B705" s="6">
        <f>0.33*'Daily Returns'!B693+0.127*'Daily Returns'!C693+0.12*'Daily Returns'!D693+0.086*'Daily Returns'!E693+0.337*'Daily Returns'!F693</f>
        <v>8.4329348956675623E-3</v>
      </c>
      <c r="C705" s="13">
        <f t="shared" si="10"/>
        <v>1.3817292066308908</v>
      </c>
    </row>
    <row r="706" spans="1:3" x14ac:dyDescent="0.45">
      <c r="A706" s="2">
        <f>'Daily Returns'!A694</f>
        <v>46086</v>
      </c>
      <c r="B706" s="6">
        <f>0.33*'Daily Returns'!B694+0.127*'Daily Returns'!C694+0.12*'Daily Returns'!D694+0.086*'Daily Returns'!E694+0.337*'Daily Returns'!F694</f>
        <v>-4.2706566050964585E-3</v>
      </c>
      <c r="C706" s="13">
        <f t="shared" si="10"/>
        <v>1.3758283156681379</v>
      </c>
    </row>
    <row r="707" spans="1:3" x14ac:dyDescent="0.45">
      <c r="A707" s="2">
        <f>'Daily Returns'!A695</f>
        <v>46087</v>
      </c>
      <c r="B707" s="6">
        <f>0.33*'Daily Returns'!B695+0.127*'Daily Returns'!C695+0.12*'Daily Returns'!D695+0.086*'Daily Returns'!E695+0.337*'Daily Returns'!F695</f>
        <v>-7.6484932583265408E-3</v>
      </c>
      <c r="C707" s="13">
        <f t="shared" si="10"/>
        <v>1.3653053020711354</v>
      </c>
    </row>
    <row r="708" spans="1:3" x14ac:dyDescent="0.45">
      <c r="A708" s="2">
        <f>'Daily Returns'!A696</f>
        <v>46090</v>
      </c>
      <c r="B708" s="6">
        <f>0.33*'Daily Returns'!B696+0.127*'Daily Returns'!C696+0.12*'Daily Returns'!D696+0.086*'Daily Returns'!E696+0.337*'Daily Returns'!F696</f>
        <v>4.0270840737293779E-3</v>
      </c>
      <c r="C708" s="13">
        <f t="shared" si="10"/>
        <v>1.3708035013088844</v>
      </c>
    </row>
    <row r="709" spans="1:3" x14ac:dyDescent="0.45">
      <c r="A709" s="2">
        <f>'Daily Returns'!A697</f>
        <v>46091</v>
      </c>
      <c r="B709" s="6">
        <f>0.33*'Daily Returns'!B697+0.127*'Daily Returns'!C697+0.12*'Daily Returns'!D697+0.086*'Daily Returns'!E697+0.337*'Daily Returns'!F697</f>
        <v>-2.2329858598710436E-3</v>
      </c>
      <c r="C709" s="13">
        <f t="shared" si="10"/>
        <v>1.3677425164738</v>
      </c>
    </row>
    <row r="710" spans="1:3" x14ac:dyDescent="0.45">
      <c r="A710" s="2">
        <f>'Daily Returns'!A698</f>
        <v>46092</v>
      </c>
      <c r="B710" s="6">
        <f>0.33*'Daily Returns'!B698+0.127*'Daily Returns'!C698+0.12*'Daily Returns'!D698+0.086*'Daily Returns'!E698+0.337*'Daily Returns'!F698</f>
        <v>-5.0664131422313856E-4</v>
      </c>
      <c r="C710" s="13">
        <f t="shared" si="10"/>
        <v>1.3670495616077347</v>
      </c>
    </row>
    <row r="711" spans="1:3" x14ac:dyDescent="0.45">
      <c r="A711" s="2">
        <f>'Daily Returns'!A699</f>
        <v>46093</v>
      </c>
      <c r="B711" s="6">
        <f>0.33*'Daily Returns'!B699+0.127*'Daily Returns'!C699+0.12*'Daily Returns'!D699+0.086*'Daily Returns'!E699+0.337*'Daily Returns'!F699</f>
        <v>-1.1580181260086569E-2</v>
      </c>
      <c r="C711" s="13">
        <f t="shared" si="10"/>
        <v>1.3512188798927953</v>
      </c>
    </row>
    <row r="712" spans="1:3" x14ac:dyDescent="0.45">
      <c r="A712" s="2">
        <f>'Daily Returns'!A700</f>
        <v>46094</v>
      </c>
      <c r="B712" s="6">
        <f>0.33*'Daily Returns'!B700+0.127*'Daily Returns'!C700+0.12*'Daily Returns'!D700+0.086*'Daily Returns'!E700+0.337*'Daily Returns'!F700</f>
        <v>-1.6279960489325369E-3</v>
      </c>
      <c r="C712" s="13">
        <f t="shared" si="10"/>
        <v>1.3490191008950869</v>
      </c>
    </row>
    <row r="713" spans="1:3" x14ac:dyDescent="0.45">
      <c r="A713" s="2">
        <f>'Daily Returns'!A701</f>
        <v>46097</v>
      </c>
      <c r="B713" s="6">
        <f>0.33*'Daily Returns'!B701+0.127*'Daily Returns'!C701+0.12*'Daily Returns'!D701+0.086*'Daily Returns'!E701+0.337*'Daily Returns'!F701</f>
        <v>5.7685157053427617E-3</v>
      </c>
      <c r="C713" s="13">
        <f t="shared" si="10"/>
        <v>1.3568009387654076</v>
      </c>
    </row>
    <row r="714" spans="1:3" x14ac:dyDescent="0.45">
      <c r="A714" s="2">
        <f>'Daily Returns'!A702</f>
        <v>46098</v>
      </c>
      <c r="B714" s="6">
        <f>0.33*'Daily Returns'!B702+0.127*'Daily Returns'!C702+0.12*'Daily Returns'!D702+0.086*'Daily Returns'!E702+0.337*'Daily Returns'!F702</f>
        <v>1.203209719249522E-2</v>
      </c>
      <c r="C714" s="13">
        <f t="shared" si="10"/>
        <v>1.3731260995315018</v>
      </c>
    </row>
    <row r="715" spans="1:3" x14ac:dyDescent="0.45">
      <c r="A715" s="2">
        <f>'Daily Returns'!A703</f>
        <v>46099</v>
      </c>
      <c r="B715" s="6">
        <f>0.33*'Daily Returns'!B703+0.127*'Daily Returns'!C703+0.12*'Daily Returns'!D703+0.086*'Daily Returns'!E703+0.337*'Daily Returns'!F703</f>
        <v>-6.4291205071849667E-3</v>
      </c>
      <c r="C715" s="13">
        <f t="shared" si="10"/>
        <v>1.3642981063660529</v>
      </c>
    </row>
    <row r="716" spans="1:3" x14ac:dyDescent="0.45">
      <c r="A716" s="2">
        <f>'Daily Returns'!A704</f>
        <v>46100</v>
      </c>
      <c r="B716" s="6">
        <f>0.33*'Daily Returns'!B704+0.127*'Daily Returns'!C704+0.12*'Daily Returns'!D704+0.086*'Daily Returns'!E704+0.337*'Daily Returns'!F704</f>
        <v>-1.9191333138519025E-3</v>
      </c>
      <c r="C716" s="13">
        <f t="shared" si="10"/>
        <v>1.3616798364201008</v>
      </c>
    </row>
    <row r="717" spans="1:3" x14ac:dyDescent="0.45">
      <c r="A717" s="2">
        <f>'Daily Returns'!A705</f>
        <v>46101</v>
      </c>
      <c r="B717" s="6">
        <f>0.33*'Daily Returns'!B705+0.127*'Daily Returns'!C705+0.12*'Daily Returns'!D705+0.086*'Daily Returns'!E705+0.337*'Daily Returns'!F705</f>
        <v>-1.1327174716172455E-2</v>
      </c>
      <c r="C717" s="13">
        <f t="shared" si="10"/>
        <v>1.3462558510054812</v>
      </c>
    </row>
    <row r="718" spans="1:3" x14ac:dyDescent="0.45">
      <c r="A718" s="2">
        <f>'Daily Returns'!A706</f>
        <v>46104</v>
      </c>
      <c r="B718" s="6">
        <f>0.33*'Daily Returns'!B706+0.127*'Daily Returns'!C706+0.12*'Daily Returns'!D706+0.086*'Daily Returns'!E706+0.337*'Daily Returns'!F706</f>
        <v>1.1714678753605188E-2</v>
      </c>
      <c r="C718" s="13">
        <f t="shared" si="10"/>
        <v>1.3620268058201717</v>
      </c>
    </row>
    <row r="719" spans="1:3" x14ac:dyDescent="0.45">
      <c r="A719" s="2">
        <f>'Daily Returns'!A707</f>
        <v>46105</v>
      </c>
      <c r="B719" s="6">
        <f>0.33*'Daily Returns'!B707+0.127*'Daily Returns'!C707+0.12*'Daily Returns'!D707+0.086*'Daily Returns'!E707+0.337*'Daily Returns'!F707</f>
        <v>-7.6514638597296302E-3</v>
      </c>
      <c r="C719" s="13">
        <f t="shared" ref="C719:C782" si="11">C718*(1+B719)</f>
        <v>1.3516053069394556</v>
      </c>
    </row>
    <row r="720" spans="1:3" x14ac:dyDescent="0.45">
      <c r="A720" s="2">
        <f>'Daily Returns'!A708</f>
        <v>46106</v>
      </c>
      <c r="B720" s="6">
        <f>0.33*'Daily Returns'!B708+0.127*'Daily Returns'!C708+0.12*'Daily Returns'!D708+0.086*'Daily Returns'!E708+0.337*'Daily Returns'!F708</f>
        <v>2.7238109717636571E-3</v>
      </c>
      <c r="C720" s="13">
        <f t="shared" si="11"/>
        <v>1.3552868243039911</v>
      </c>
    </row>
    <row r="721" spans="1:3" x14ac:dyDescent="0.45">
      <c r="A721" s="2">
        <f>'Daily Returns'!A709</f>
        <v>46107</v>
      </c>
      <c r="B721" s="6">
        <f>0.33*'Daily Returns'!B709+0.127*'Daily Returns'!C709+0.12*'Daily Returns'!D709+0.086*'Daily Returns'!E709+0.337*'Daily Returns'!F709</f>
        <v>-8.0045095981954566E-3</v>
      </c>
      <c r="C721" s="13">
        <f t="shared" si="11"/>
        <v>1.344438417910542</v>
      </c>
    </row>
    <row r="722" spans="1:3" x14ac:dyDescent="0.45">
      <c r="A722" s="2">
        <f>'Daily Returns'!A710</f>
        <v>46108</v>
      </c>
      <c r="B722" s="6">
        <f>0.33*'Daily Returns'!B710+0.127*'Daily Returns'!C710+0.12*'Daily Returns'!D710+0.086*'Daily Returns'!E710+0.337*'Daily Returns'!F710</f>
        <v>-1.1941570243627221E-2</v>
      </c>
      <c r="C722" s="13">
        <f t="shared" si="11"/>
        <v>1.3283837121048323</v>
      </c>
    </row>
    <row r="723" spans="1:3" x14ac:dyDescent="0.45">
      <c r="A723" s="2">
        <f>'Daily Returns'!A711</f>
        <v>46111</v>
      </c>
      <c r="B723" s="6">
        <f>0.33*'Daily Returns'!B711+0.127*'Daily Returns'!C711+0.12*'Daily Returns'!D711+0.086*'Daily Returns'!E711+0.337*'Daily Returns'!F711</f>
        <v>5.1441158462264738E-3</v>
      </c>
      <c r="C723" s="13">
        <f t="shared" si="11"/>
        <v>1.3352170718081398</v>
      </c>
    </row>
    <row r="724" spans="1:3" x14ac:dyDescent="0.45">
      <c r="A724" s="2">
        <f>'Daily Returns'!A712</f>
        <v>46112</v>
      </c>
      <c r="B724" s="6">
        <f>0.33*'Daily Returns'!B712+0.127*'Daily Returns'!C712+0.12*'Daily Returns'!D712+0.086*'Daily Returns'!E712+0.337*'Daily Returns'!F712</f>
        <v>1.7425937962354698E-2</v>
      </c>
      <c r="C724" s="13">
        <f t="shared" si="11"/>
        <v>1.3584844816677453</v>
      </c>
    </row>
    <row r="725" spans="1:3" x14ac:dyDescent="0.45">
      <c r="A725" s="2">
        <f>'Daily Returns'!A713</f>
        <v>46113</v>
      </c>
      <c r="B725" s="6">
        <f>0.33*'Daily Returns'!B713+0.127*'Daily Returns'!C713+0.12*'Daily Returns'!D713+0.086*'Daily Returns'!E713+0.337*'Daily Returns'!F713</f>
        <v>-2.6632989173361208E-3</v>
      </c>
      <c r="C725" s="13">
        <f t="shared" si="11"/>
        <v>1.3548664314185017</v>
      </c>
    </row>
    <row r="726" spans="1:3" x14ac:dyDescent="0.45">
      <c r="A726" s="2">
        <f>'Daily Returns'!A714</f>
        <v>46114</v>
      </c>
      <c r="B726" s="6">
        <f>0.33*'Daily Returns'!B714+0.127*'Daily Returns'!C714+0.12*'Daily Returns'!D714+0.086*'Daily Returns'!E714+0.337*'Daily Returns'!F714</f>
        <v>7.8483080312062633E-3</v>
      </c>
      <c r="C726" s="13">
        <f t="shared" si="11"/>
        <v>1.3654998405134151</v>
      </c>
    </row>
    <row r="727" spans="1:3" x14ac:dyDescent="0.45">
      <c r="A727" s="2">
        <f>'Daily Returns'!A715</f>
        <v>46118</v>
      </c>
      <c r="B727" s="6">
        <f>0.33*'Daily Returns'!B715+0.127*'Daily Returns'!C715+0.12*'Daily Returns'!D715+0.086*'Daily Returns'!E715+0.337*'Daily Returns'!F715</f>
        <v>3.96800550178122E-3</v>
      </c>
      <c r="C727" s="13">
        <f t="shared" si="11"/>
        <v>1.3709181513932538</v>
      </c>
    </row>
    <row r="728" spans="1:3" x14ac:dyDescent="0.45">
      <c r="A728" s="2">
        <f>'Daily Returns'!A716</f>
        <v>46119</v>
      </c>
      <c r="B728" s="6">
        <f>0.33*'Daily Returns'!B716+0.127*'Daily Returns'!C716+0.12*'Daily Returns'!D716+0.086*'Daily Returns'!E716+0.337*'Daily Returns'!F716</f>
        <v>-5.8125330658863501E-3</v>
      </c>
      <c r="C728" s="13">
        <f t="shared" si="11"/>
        <v>1.3629496443076567</v>
      </c>
    </row>
    <row r="729" spans="1:3" x14ac:dyDescent="0.45">
      <c r="A729" s="2">
        <f>'Daily Returns'!A717</f>
        <v>46120</v>
      </c>
      <c r="B729" s="6">
        <f>0.33*'Daily Returns'!B717+0.127*'Daily Returns'!C717+0.12*'Daily Returns'!D717+0.086*'Daily Returns'!E717+0.337*'Daily Returns'!F717</f>
        <v>5.6517450359243699E-3</v>
      </c>
      <c r="C729" s="13">
        <f t="shared" si="11"/>
        <v>1.3706526881940875</v>
      </c>
    </row>
    <row r="730" spans="1:3" x14ac:dyDescent="0.45">
      <c r="A730" s="2">
        <f>'Daily Returns'!A718</f>
        <v>46121</v>
      </c>
      <c r="B730" s="6">
        <f>0.33*'Daily Returns'!B718+0.127*'Daily Returns'!C718+0.12*'Daily Returns'!D718+0.086*'Daily Returns'!E718+0.337*'Daily Returns'!F718</f>
        <v>6.8727542457950328E-4</v>
      </c>
      <c r="C730" s="13">
        <f t="shared" si="11"/>
        <v>1.3715947041023171</v>
      </c>
    </row>
    <row r="731" spans="1:3" x14ac:dyDescent="0.45">
      <c r="A731" s="2">
        <f>'Daily Returns'!A719</f>
        <v>46122</v>
      </c>
      <c r="B731" s="6">
        <f>0.33*'Daily Returns'!B719+0.127*'Daily Returns'!C719+0.12*'Daily Returns'!D719+0.086*'Daily Returns'!E719+0.337*'Daily Returns'!F719</f>
        <v>1.9420832430195355E-3</v>
      </c>
      <c r="C731" s="13">
        <f t="shared" si="11"/>
        <v>1.3742584551933685</v>
      </c>
    </row>
    <row r="732" spans="1:3" x14ac:dyDescent="0.45">
      <c r="A732" s="2">
        <f>'Daily Returns'!A720</f>
        <v>46125</v>
      </c>
      <c r="B732" s="6">
        <f>0.33*'Daily Returns'!B720+0.127*'Daily Returns'!C720+0.12*'Daily Returns'!D720+0.086*'Daily Returns'!E720+0.337*'Daily Returns'!F720</f>
        <v>7.3395048908994126E-3</v>
      </c>
      <c r="C732" s="13">
        <f t="shared" si="11"/>
        <v>1.3843448318466203</v>
      </c>
    </row>
    <row r="733" spans="1:3" x14ac:dyDescent="0.45">
      <c r="A733" s="2">
        <f>'Daily Returns'!A721</f>
        <v>46126</v>
      </c>
      <c r="B733" s="6">
        <f>0.33*'Daily Returns'!B721+0.127*'Daily Returns'!C721+0.12*'Daily Returns'!D721+0.086*'Daily Returns'!E721+0.337*'Daily Returns'!F721</f>
        <v>1.1617243743858818E-2</v>
      </c>
      <c r="C733" s="13">
        <f t="shared" si="11"/>
        <v>1.4004271031837339</v>
      </c>
    </row>
    <row r="734" spans="1:3" x14ac:dyDescent="0.45">
      <c r="A734" s="2">
        <f>'Daily Returns'!A722</f>
        <v>46127</v>
      </c>
      <c r="B734" s="6">
        <f>0.33*'Daily Returns'!B722+0.127*'Daily Returns'!C722+0.12*'Daily Returns'!D722+0.086*'Daily Returns'!E722+0.337*'Daily Returns'!F722</f>
        <v>1.0572011049785167E-2</v>
      </c>
      <c r="C734" s="13">
        <f t="shared" si="11"/>
        <v>1.4152324339930109</v>
      </c>
    </row>
    <row r="735" spans="1:3" x14ac:dyDescent="0.45">
      <c r="A735" s="2">
        <f>'Daily Returns'!A723</f>
        <v>46128</v>
      </c>
      <c r="B735" s="6">
        <f>0.33*'Daily Returns'!B723+0.127*'Daily Returns'!C723+0.12*'Daily Returns'!D723+0.086*'Daily Returns'!E723+0.337*'Daily Returns'!F723</f>
        <v>-1.2850871203680459E-3</v>
      </c>
      <c r="C735" s="13">
        <f t="shared" si="11"/>
        <v>1.4134137370197595</v>
      </c>
    </row>
    <row r="736" spans="1:3" x14ac:dyDescent="0.45">
      <c r="A736" s="2">
        <f>'Daily Returns'!A724</f>
        <v>46129</v>
      </c>
      <c r="B736" s="6">
        <f>0.33*'Daily Returns'!B724+0.127*'Daily Returns'!C724+0.12*'Daily Returns'!D724+0.086*'Daily Returns'!E724+0.337*'Daily Returns'!F724</f>
        <v>8.1048224343943254E-3</v>
      </c>
      <c r="C736" s="13">
        <f t="shared" si="11"/>
        <v>1.4248692043846383</v>
      </c>
    </row>
    <row r="737" spans="1:3" x14ac:dyDescent="0.45">
      <c r="A737" s="2">
        <f>'Daily Returns'!A725</f>
        <v>46132</v>
      </c>
      <c r="B737" s="6">
        <f>0.33*'Daily Returns'!B725+0.127*'Daily Returns'!C725+0.12*'Daily Returns'!D725+0.086*'Daily Returns'!E725+0.337*'Daily Returns'!F725</f>
        <v>-1.1892631742956713E-3</v>
      </c>
      <c r="C737" s="13">
        <f t="shared" si="11"/>
        <v>1.4231746599116757</v>
      </c>
    </row>
    <row r="738" spans="1:3" x14ac:dyDescent="0.45">
      <c r="A738" s="2">
        <f>'Daily Returns'!A726</f>
        <v>46133</v>
      </c>
      <c r="B738" s="6">
        <f>0.33*'Daily Returns'!B726+0.127*'Daily Returns'!C726+0.12*'Daily Returns'!D726+0.086*'Daily Returns'!E726+0.337*'Daily Returns'!F726</f>
        <v>-7.0472815642874864E-3</v>
      </c>
      <c r="C738" s="13">
        <f t="shared" si="11"/>
        <v>1.4131451473681191</v>
      </c>
    </row>
    <row r="739" spans="1:3" x14ac:dyDescent="0.45">
      <c r="A739" s="2">
        <f>'Daily Returns'!A727</f>
        <v>46134</v>
      </c>
      <c r="B739" s="6">
        <f>0.33*'Daily Returns'!B727+0.127*'Daily Returns'!C727+0.12*'Daily Returns'!D727+0.086*'Daily Returns'!E727+0.337*'Daily Returns'!F727</f>
        <v>4.0338151949851258E-3</v>
      </c>
      <c r="C739" s="13">
        <f t="shared" si="11"/>
        <v>1.4188455137362921</v>
      </c>
    </row>
    <row r="740" spans="1:3" x14ac:dyDescent="0.45">
      <c r="A740" s="2">
        <f>'Daily Returns'!A728</f>
        <v>46135</v>
      </c>
      <c r="B740" s="6">
        <f>0.33*'Daily Returns'!B728+0.127*'Daily Returns'!C728+0.12*'Daily Returns'!D728+0.086*'Daily Returns'!E728+0.337*'Daily Returns'!F728</f>
        <v>-8.367209056327183E-3</v>
      </c>
      <c r="C740" s="13">
        <f t="shared" si="11"/>
        <v>1.4069737367042285</v>
      </c>
    </row>
    <row r="741" spans="1:3" x14ac:dyDescent="0.45">
      <c r="A741" s="2">
        <f>'Daily Returns'!A729</f>
        <v>46136</v>
      </c>
      <c r="B741" s="6">
        <f>0.33*'Daily Returns'!B729+0.127*'Daily Returns'!C729+0.12*'Daily Returns'!D729+0.086*'Daily Returns'!E729+0.337*'Daily Returns'!F729</f>
        <v>2.8557588261830923E-3</v>
      </c>
      <c r="C741" s="13">
        <f t="shared" si="11"/>
        <v>1.4109917143710293</v>
      </c>
    </row>
    <row r="742" spans="1:3" x14ac:dyDescent="0.45">
      <c r="A742" s="2">
        <f>'Daily Returns'!A730</f>
        <v>46139</v>
      </c>
      <c r="B742" s="6">
        <f>0.33*'Daily Returns'!B730+0.127*'Daily Returns'!C730+0.12*'Daily Returns'!D730+0.086*'Daily Returns'!E730+0.337*'Daily Returns'!F730</f>
        <v>2.2533538112400266E-3</v>
      </c>
      <c r="C742" s="13">
        <f t="shared" si="11"/>
        <v>1.4141711779282353</v>
      </c>
    </row>
    <row r="743" spans="1:3" x14ac:dyDescent="0.45">
      <c r="A743" s="2">
        <f>'Daily Returns'!A731</f>
        <v>46140</v>
      </c>
      <c r="B743" s="6">
        <f>0.33*'Daily Returns'!B731+0.127*'Daily Returns'!C731+0.12*'Daily Returns'!D731+0.086*'Daily Returns'!E731+0.337*'Daily Returns'!F731</f>
        <v>2.44721325562176E-3</v>
      </c>
      <c r="C743" s="13">
        <f t="shared" si="11"/>
        <v>1.4176319563805795</v>
      </c>
    </row>
    <row r="744" spans="1:3" x14ac:dyDescent="0.45">
      <c r="A744" s="2">
        <f>'Daily Returns'!A732</f>
        <v>46141</v>
      </c>
      <c r="B744" s="6">
        <f>0.33*'Daily Returns'!B732+0.127*'Daily Returns'!C732+0.12*'Daily Returns'!D732+0.086*'Daily Returns'!E732+0.337*'Daily Returns'!F732</f>
        <v>-2.2550472897375413E-3</v>
      </c>
      <c r="C744" s="13">
        <f t="shared" si="11"/>
        <v>1.4144351292794981</v>
      </c>
    </row>
    <row r="745" spans="1:3" x14ac:dyDescent="0.45">
      <c r="A745" s="2">
        <f>'Daily Returns'!A733</f>
        <v>46142</v>
      </c>
      <c r="B745" s="6">
        <f>0.33*'Daily Returns'!B733+0.127*'Daily Returns'!C733+0.12*'Daily Returns'!D733+0.086*'Daily Returns'!E733+0.337*'Daily Returns'!F733</f>
        <v>1.398537899366431E-2</v>
      </c>
      <c r="C745" s="13">
        <f t="shared" si="11"/>
        <v>1.4342165406244245</v>
      </c>
    </row>
    <row r="746" spans="1:3" x14ac:dyDescent="0.45">
      <c r="A746" s="2">
        <f>'Daily Returns'!A734</f>
        <v>46143</v>
      </c>
      <c r="B746" s="6">
        <f>0.33*'Daily Returns'!B734+0.127*'Daily Returns'!C734+0.12*'Daily Returns'!D734+0.086*'Daily Returns'!E734+0.337*'Daily Returns'!F734</f>
        <v>2.475294952872653E-3</v>
      </c>
      <c r="C746" s="13">
        <f t="shared" si="11"/>
        <v>1.4377666495887584</v>
      </c>
    </row>
    <row r="747" spans="1:3" x14ac:dyDescent="0.45">
      <c r="A747" s="2">
        <f>'Daily Returns'!A735</f>
        <v>46146</v>
      </c>
      <c r="B747" s="6">
        <f>0.33*'Daily Returns'!B735+0.127*'Daily Returns'!C735+0.12*'Daily Returns'!D735+0.086*'Daily Returns'!E735+0.337*'Daily Returns'!F735</f>
        <v>-1.8764631684854184E-3</v>
      </c>
      <c r="C747" s="13">
        <f t="shared" si="11"/>
        <v>1.4350687334259284</v>
      </c>
    </row>
    <row r="748" spans="1:3" x14ac:dyDescent="0.45">
      <c r="A748" s="2">
        <f>'Daily Returns'!A736</f>
        <v>46147</v>
      </c>
      <c r="B748" s="6">
        <f>0.33*'Daily Returns'!B736+0.127*'Daily Returns'!C736+0.12*'Daily Returns'!D736+0.086*'Daily Returns'!E736+0.337*'Daily Returns'!F736</f>
        <v>3.6769864967170864E-3</v>
      </c>
      <c r="C748" s="13">
        <f t="shared" si="11"/>
        <v>1.4403454617805964</v>
      </c>
    </row>
    <row r="749" spans="1:3" x14ac:dyDescent="0.45">
      <c r="A749" s="2">
        <f>'Daily Returns'!A737</f>
        <v>46148</v>
      </c>
      <c r="B749" s="6">
        <f>0.33*'Daily Returns'!B737+0.127*'Daily Returns'!C737+0.12*'Daily Returns'!D737+0.086*'Daily Returns'!E737+0.337*'Daily Returns'!F737</f>
        <v>-8.070705496475249E-3</v>
      </c>
      <c r="C749" s="13">
        <f t="shared" si="11"/>
        <v>1.4287208577453805</v>
      </c>
    </row>
    <row r="750" spans="1:3" x14ac:dyDescent="0.45">
      <c r="A750" s="2">
        <f>'Daily Returns'!A738</f>
        <v>46149</v>
      </c>
      <c r="B750" s="6">
        <f>0.33*'Daily Returns'!B738+0.127*'Daily Returns'!C738+0.12*'Daily Returns'!D738+0.086*'Daily Returns'!E738+0.337*'Daily Returns'!F738</f>
        <v>-3.1549081675126866E-3</v>
      </c>
      <c r="C750" s="13">
        <f t="shared" si="11"/>
        <v>1.4242133746421839</v>
      </c>
    </row>
    <row r="751" spans="1:3" x14ac:dyDescent="0.45">
      <c r="A751" s="2">
        <f>'Daily Returns'!A739</f>
        <v>46150</v>
      </c>
      <c r="B751" s="6">
        <f>0.33*'Daily Returns'!B739+0.127*'Daily Returns'!C739+0.12*'Daily Returns'!D739+0.086*'Daily Returns'!E739+0.337*'Daily Returns'!F739</f>
        <v>2.8000906221210672E-3</v>
      </c>
      <c r="C751" s="13">
        <f t="shared" si="11"/>
        <v>1.4282013011564187</v>
      </c>
    </row>
    <row r="752" spans="1:3" x14ac:dyDescent="0.45">
      <c r="A752" s="2">
        <f>'Daily Returns'!A740</f>
        <v>46153</v>
      </c>
      <c r="B752" s="6">
        <f>0.33*'Daily Returns'!B740+0.127*'Daily Returns'!C740+0.12*'Daily Returns'!D740+0.086*'Daily Returns'!E740+0.337*'Daily Returns'!F740</f>
        <v>-7.0156533322097946E-3</v>
      </c>
      <c r="C752" s="13">
        <f t="shared" si="11"/>
        <v>1.4181815359388943</v>
      </c>
    </row>
    <row r="753" spans="1:3" x14ac:dyDescent="0.45">
      <c r="A753" s="2">
        <f>'Daily Returns'!A741</f>
        <v>46154</v>
      </c>
      <c r="B753" s="6">
        <f>0.33*'Daily Returns'!B741+0.127*'Daily Returns'!C741+0.12*'Daily Returns'!D741+0.086*'Daily Returns'!E741+0.337*'Daily Returns'!F741</f>
        <v>2.2377424683795192E-3</v>
      </c>
      <c r="C753" s="13">
        <f t="shared" si="11"/>
        <v>1.4213550609897363</v>
      </c>
    </row>
    <row r="754" spans="1:3" x14ac:dyDescent="0.45">
      <c r="A754" s="2">
        <f>'Daily Returns'!A742</f>
        <v>46155</v>
      </c>
      <c r="B754" s="6">
        <f>0.33*'Daily Returns'!B742+0.127*'Daily Returns'!C742+0.12*'Daily Returns'!D742+0.086*'Daily Returns'!E742+0.337*'Daily Returns'!F742</f>
        <v>-1.1677651336920302E-5</v>
      </c>
      <c r="C754" s="13">
        <f t="shared" si="11"/>
        <v>1.421338462900908</v>
      </c>
    </row>
    <row r="755" spans="1:3" x14ac:dyDescent="0.45">
      <c r="A755" s="2">
        <f>'Daily Returns'!A743</f>
        <v>46156</v>
      </c>
      <c r="B755" s="6">
        <f>0.33*'Daily Returns'!B743+0.127*'Daily Returns'!C743+0.12*'Daily Returns'!D743+0.086*'Daily Returns'!E743+0.337*'Daily Returns'!F743</f>
        <v>8.8410828691842767E-3</v>
      </c>
      <c r="C755" s="13">
        <f t="shared" si="11"/>
        <v>1.433904634036574</v>
      </c>
    </row>
    <row r="756" spans="1:3" x14ac:dyDescent="0.45">
      <c r="A756" s="2">
        <f>'Daily Returns'!A744</f>
        <v>46157</v>
      </c>
      <c r="B756" s="6">
        <f>0.33*'Daily Returns'!B744+0.127*'Daily Returns'!C744+0.12*'Daily Returns'!D744+0.086*'Daily Returns'!E744+0.337*'Daily Returns'!F744</f>
        <v>-5.8620734821288809E-3</v>
      </c>
      <c r="C756" s="13">
        <f t="shared" si="11"/>
        <v>1.4254989797054864</v>
      </c>
    </row>
    <row r="757" spans="1:3" x14ac:dyDescent="0.45">
      <c r="A757" s="2">
        <f>'Daily Returns'!A745</f>
        <v>46160</v>
      </c>
      <c r="B757" s="6">
        <f>0.33*'Daily Returns'!B745+0.127*'Daily Returns'!C745+0.12*'Daily Returns'!D745+0.086*'Daily Returns'!E745+0.337*'Daily Returns'!F745</f>
        <v>-2.2288891045786187E-3</v>
      </c>
      <c r="C757" s="13">
        <f t="shared" si="11"/>
        <v>1.4223217005610329</v>
      </c>
    </row>
    <row r="758" spans="1:3" x14ac:dyDescent="0.45">
      <c r="A758" s="2">
        <f>'Daily Returns'!A746</f>
        <v>46161</v>
      </c>
      <c r="B758" s="6">
        <f>0.33*'Daily Returns'!B746+0.127*'Daily Returns'!C746+0.12*'Daily Returns'!D746+0.086*'Daily Returns'!E746+0.337*'Daily Returns'!F746</f>
        <v>-5.1756137222684134E-3</v>
      </c>
      <c r="C758" s="13">
        <f t="shared" si="11"/>
        <v>1.4149603128501291</v>
      </c>
    </row>
    <row r="759" spans="1:3" x14ac:dyDescent="0.45">
      <c r="A759" s="2">
        <f>'Daily Returns'!A747</f>
        <v>46162</v>
      </c>
      <c r="B759" s="6">
        <f>0.33*'Daily Returns'!B747+0.127*'Daily Returns'!C747+0.12*'Daily Returns'!D747+0.086*'Daily Returns'!E747+0.337*'Daily Returns'!F747</f>
        <v>4.2969611955645352E-3</v>
      </c>
      <c r="C759" s="13">
        <f t="shared" si="11"/>
        <v>1.42104034240771</v>
      </c>
    </row>
    <row r="760" spans="1:3" x14ac:dyDescent="0.45">
      <c r="A760" s="2">
        <f>'Daily Returns'!A748</f>
        <v>46163</v>
      </c>
      <c r="B760" s="6">
        <f>0.33*'Daily Returns'!B748+0.127*'Daily Returns'!C748+0.12*'Daily Returns'!D748+0.086*'Daily Returns'!E748+0.337*'Daily Returns'!F748</f>
        <v>-2.1258711090383516E-4</v>
      </c>
      <c r="C760" s="13">
        <f t="shared" si="11"/>
        <v>1.4207382475468397</v>
      </c>
    </row>
    <row r="761" spans="1:3" x14ac:dyDescent="0.45">
      <c r="A761" s="2">
        <f>'Daily Returns'!A749</f>
        <v>46164</v>
      </c>
      <c r="B761" s="6">
        <f>0.33*'Daily Returns'!B749+0.127*'Daily Returns'!C749+0.12*'Daily Returns'!D749+0.086*'Daily Returns'!E749+0.337*'Daily Returns'!F749</f>
        <v>-1.960040002997493E-3</v>
      </c>
      <c r="C761" s="13">
        <f t="shared" si="11"/>
        <v>1.4179535437478594</v>
      </c>
    </row>
    <row r="762" spans="1:3" x14ac:dyDescent="0.45">
      <c r="A762" s="2">
        <f>'Daily Returns'!A750</f>
        <v>46168</v>
      </c>
      <c r="B762" s="6">
        <f>0.33*'Daily Returns'!B750+0.127*'Daily Returns'!C750+0.12*'Daily Returns'!D750+0.086*'Daily Returns'!E750+0.337*'Daily Returns'!F750</f>
        <v>5.5652587018236409E-3</v>
      </c>
      <c r="C762" s="13">
        <f t="shared" si="11"/>
        <v>1.4258448220459838</v>
      </c>
    </row>
    <row r="763" spans="1:3" x14ac:dyDescent="0.45">
      <c r="A763" s="2">
        <f>'Daily Returns'!A751</f>
        <v>46169</v>
      </c>
      <c r="B763" s="6">
        <f>0.33*'Daily Returns'!B751+0.127*'Daily Returns'!C751+0.12*'Daily Returns'!D751+0.086*'Daily Returns'!E751+0.337*'Daily Returns'!F751</f>
        <v>6.3155002177644592E-4</v>
      </c>
      <c r="C763" s="13">
        <f t="shared" si="11"/>
        <v>1.4267453143743967</v>
      </c>
    </row>
    <row r="764" spans="1:3" x14ac:dyDescent="0.45">
      <c r="A764" s="2">
        <f>'Daily Returns'!A752</f>
        <v>46170</v>
      </c>
      <c r="B764" s="6">
        <f>0.33*'Daily Returns'!B752+0.127*'Daily Returns'!C752+0.12*'Daily Returns'!D752+0.086*'Daily Returns'!E752+0.337*'Daily Returns'!F752</f>
        <v>1.6753571757463135E-3</v>
      </c>
      <c r="C764" s="13">
        <f t="shared" si="11"/>
        <v>1.4291356223747964</v>
      </c>
    </row>
    <row r="765" spans="1:3" x14ac:dyDescent="0.45">
      <c r="A765" s="2">
        <f>'Daily Returns'!A753</f>
        <v>46171</v>
      </c>
      <c r="B765" s="6">
        <f>0.33*'Daily Returns'!B753+0.127*'Daily Returns'!C753+0.12*'Daily Returns'!D753+0.086*'Daily Returns'!E753+0.337*'Daily Returns'!F753</f>
        <v>2.2011161864239357E-3</v>
      </c>
      <c r="C765" s="13">
        <f t="shared" si="11"/>
        <v>1.4322813159258005</v>
      </c>
    </row>
    <row r="767" spans="1:3" x14ac:dyDescent="0.45">
      <c r="A767" s="4" t="s">
        <v>7</v>
      </c>
      <c r="B767" s="4"/>
    </row>
    <row r="768" spans="1:3" x14ac:dyDescent="0.45">
      <c r="A768" s="5" t="s">
        <v>8</v>
      </c>
      <c r="B768" s="6">
        <f>C765-1</f>
        <v>0.43228131592580055</v>
      </c>
    </row>
    <row r="769" spans="1:2" x14ac:dyDescent="0.45">
      <c r="A769" s="5" t="s">
        <v>9</v>
      </c>
      <c r="B769" s="6">
        <f>C765^(252/ROWS(B14:B765))-1</f>
        <v>0.12794023350316697</v>
      </c>
    </row>
    <row r="770" spans="1:2" x14ac:dyDescent="0.45">
      <c r="A770" s="5" t="s">
        <v>10</v>
      </c>
      <c r="B770" s="6">
        <f>AVERAGE(B14:B765)*252</f>
        <v>0.12464847350075514</v>
      </c>
    </row>
    <row r="771" spans="1:2" x14ac:dyDescent="0.45">
      <c r="A771" s="5" t="s">
        <v>11</v>
      </c>
      <c r="B771" s="6">
        <f>STDEV(B14:B765)*SQRT(252)</f>
        <v>9.2075289010979208E-2</v>
      </c>
    </row>
    <row r="773" spans="1:2" x14ac:dyDescent="0.45">
      <c r="A773" s="4" t="s">
        <v>12</v>
      </c>
      <c r="B773" s="4"/>
    </row>
    <row r="774" spans="1:2" x14ac:dyDescent="0.45">
      <c r="A774" s="5" t="s">
        <v>13</v>
      </c>
      <c r="B774" s="6">
        <v>-0.120755033558598</v>
      </c>
    </row>
    <row r="775" spans="1:2" x14ac:dyDescent="0.45">
      <c r="A775" s="5" t="s">
        <v>14</v>
      </c>
      <c r="B775" s="6">
        <f>-PERCENTILE(B14:B765,0.05)</f>
        <v>8.6339272135026422E-3</v>
      </c>
    </row>
    <row r="776" spans="1:2" x14ac:dyDescent="0.45">
      <c r="A776" s="5" t="s">
        <v>15</v>
      </c>
      <c r="B776" s="6">
        <f>-AVERAGEIF(B14:B765,"&lt;="&amp;PERCENTILE(B14:B765,0.05))</f>
        <v>1.2945098236551931E-2</v>
      </c>
    </row>
    <row r="778" spans="1:2" x14ac:dyDescent="0.45">
      <c r="A778" s="4" t="s">
        <v>17</v>
      </c>
      <c r="B778" s="4"/>
    </row>
    <row r="779" spans="1:2" x14ac:dyDescent="0.45">
      <c r="A779" s="5" t="s">
        <v>18</v>
      </c>
      <c r="B779" s="8">
        <f>(AVERAGE(B14:B765)*252-0.04)/(STDEV(B14:B765)*SQRT(252))</f>
        <v>0.91933975347784691</v>
      </c>
    </row>
    <row r="780" spans="1:2" x14ac:dyDescent="0.45">
      <c r="A780" s="5" t="s">
        <v>19</v>
      </c>
      <c r="B780" s="8">
        <f>(AVERAGE(B14:B765)*252-0.04)/(SQRT(SUMPRODUCT((((B14:B765)-0.000158730158730158)*((B14:B765)&lt;0.000158730158730158))^2)/ROWS(B14:B765))*SQRT(252))</f>
        <v>1.3278507331632314</v>
      </c>
    </row>
    <row r="781" spans="1:2" x14ac:dyDescent="0.45">
      <c r="A781" s="5" t="s">
        <v>20</v>
      </c>
      <c r="B781" s="8">
        <f>(AVERAGE(B14:B765)*252-0.04)/B784</f>
        <v>0.15839444445977011</v>
      </c>
    </row>
    <row r="783" spans="1:2" x14ac:dyDescent="0.45">
      <c r="A783" s="4" t="s">
        <v>21</v>
      </c>
      <c r="B783" s="4"/>
    </row>
    <row r="784" spans="1:2" x14ac:dyDescent="0.45">
      <c r="A784" s="5" t="s">
        <v>22</v>
      </c>
      <c r="B784" s="8">
        <f>SLOPE(B14:B765,'Daily Returns'!G2:'Daily Returns'!G753)</f>
        <v>0.53441567214975538</v>
      </c>
    </row>
    <row r="785" spans="1:2" x14ac:dyDescent="0.45">
      <c r="A785" s="5" t="s">
        <v>24</v>
      </c>
      <c r="B785" s="6">
        <f>(AVERAGE(B14:B765)*252-0.04)-B784*(AVERAGE('Daily Returns'!G2:'Daily Returns'!G753)*252-0.04)</f>
        <v>-5.3888947945166105E-3</v>
      </c>
    </row>
    <row r="786" spans="1:2" x14ac:dyDescent="0.45">
      <c r="A786" s="5" t="s">
        <v>25</v>
      </c>
      <c r="B786" s="6">
        <f>AVERAGE(B14:B765)*252-AVERAGE('Daily Returns'!G2:'Daily Returns'!G753)*252</f>
        <v>-8.3829684957968414E-2</v>
      </c>
    </row>
    <row r="787" spans="1:2" x14ac:dyDescent="0.45">
      <c r="A787" s="5" t="s">
        <v>26</v>
      </c>
      <c r="B787" s="6">
        <f>SQRT(SUMPRODUCT((B14:B765-'Daily Returns'!G2:'Daily Returns'!G753-AVERAGE(B14:B765)+AVERAGE('Daily Returns'!G2:'Daily Returns'!G753))^2)/(ROWS(B14:B765)-1))*SQRT(252)</f>
        <v>8.3417034218489547E-2</v>
      </c>
    </row>
    <row r="788" spans="1:2" x14ac:dyDescent="0.45">
      <c r="A788" s="5" t="s">
        <v>27</v>
      </c>
      <c r="B788" s="8">
        <f>B786/B787</f>
        <v>-1.0049468402148898</v>
      </c>
    </row>
    <row r="790" spans="1:2" x14ac:dyDescent="0.45">
      <c r="A790" s="7" t="s">
        <v>36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Adj Close Prices</vt:lpstr>
      <vt:lpstr>Daily Returns</vt:lpstr>
      <vt:lpstr>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FinCoFella LLC</cp:lastModifiedBy>
  <dcterms:created xsi:type="dcterms:W3CDTF">2026-05-30T14:12:27Z</dcterms:created>
  <dcterms:modified xsi:type="dcterms:W3CDTF">2026-05-30T14:14:46Z</dcterms:modified>
</cp:coreProperties>
</file>